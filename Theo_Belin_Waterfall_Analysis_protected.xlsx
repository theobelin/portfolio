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F:\Documents\Theo\Internships\"/>
    </mc:Choice>
  </mc:AlternateContent>
  <xr:revisionPtr revIDLastSave="0" documentId="8_{E0F8B7E5-8F86-46AE-BA34-2AD1858496DA}" xr6:coauthVersionLast="47" xr6:coauthVersionMax="47" xr10:uidLastSave="{00000000-0000-0000-0000-000000000000}"/>
  <workbookProtection lockStructure="1"/>
  <bookViews>
    <workbookView xWindow="-120" yWindow="-120" windowWidth="29040" windowHeight="17520" tabRatio="700" activeTab="1" xr2:uid="{00000000-000D-0000-FFFF-FFFF00000000}"/>
  </bookViews>
  <sheets>
    <sheet name="Instructions" sheetId="6" r:id="rId1"/>
    <sheet name="Inputs" sheetId="1" r:id="rId2"/>
    <sheet name="Construction" sheetId="18" r:id="rId3"/>
    <sheet name="Libor" sheetId="20" r:id="rId4"/>
    <sheet name="Diagram 1" sheetId="26" r:id="rId5"/>
    <sheet name="Diagram 2" sheetId="27" r:id="rId6"/>
    <sheet name="Scenario" sheetId="22" r:id="rId7"/>
    <sheet name="Summary Analysis" sheetId="23" r:id="rId8"/>
    <sheet name="NOI" sheetId="17" r:id="rId9"/>
    <sheet name="Valuation" sheetId="8" r:id="rId10"/>
    <sheet name="Provided - CAP Acct. 1" sheetId="19" r:id="rId11"/>
    <sheet name="Q1 - CAP Acct. 2" sheetId="24" r:id="rId12"/>
    <sheet name="Q2 - Equity Waterfall 1" sheetId="21" r:id="rId13"/>
    <sheet name="Q3 - Equity Waterfall 2" sheetId="25" r:id="rId14"/>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localSheetId="4" hidden="1">1</definedName>
    <definedName name="_AtRisk_SimSetting_StdRecalcBehavior" localSheetId="5"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cquisitionFee">'Provided - CAP Acct. 1'!$H$114</definedName>
    <definedName name="AssetManagementFee">'Provided - CAP Acct. 1'!$H$115</definedName>
    <definedName name="ClosingDate">'Provided - CAP Acct. 1'!$H$18</definedName>
    <definedName name="CoInvestorEquityContributionPct">'Provided - CAP Acct. 1'!$M$13</definedName>
    <definedName name="CommonEquityOBalance">'Provided - CAP Acct. 1'!$L$11</definedName>
    <definedName name="CommonEquityWeight">'Q1 - CAP Acct. 2'!$I$23</definedName>
    <definedName name="ConstLoanExtensionDate">'Provided - CAP Acct. 1'!$R$17</definedName>
    <definedName name="ConstLoanExtensionDummy">'Provided - CAP Acct. 1'!$R$16</definedName>
    <definedName name="ConstLoanExtensionFee">'Provided - CAP Acct. 1'!$R$15</definedName>
    <definedName name="ConstLoanMaturity">'Provided - CAP Acct. 1'!$Q$13</definedName>
    <definedName name="ConstLoanMaturityDate">'Provided - CAP Acct. 1'!$R$13</definedName>
    <definedName name="ConstLoanOBalance">'Provided - CAP Acct. 1'!$R$9</definedName>
    <definedName name="ConstLoanOFees">'Provided - CAP Acct. 1'!$H$14</definedName>
    <definedName name="ConstLoanOriginationDate">'Provided - CAP Acct. 1'!$R$12</definedName>
    <definedName name="ConstLoanSpread">'Provided - CAP Acct. 1'!$R$11</definedName>
    <definedName name="ConstLoanType">'Provided - CAP Acct. 1'!$R$14</definedName>
    <definedName name="Contingency">'Provided - CAP Acct. 1'!$H$12</definedName>
    <definedName name="CumulEquityInvested">'Provided - CAP Acct. 1'!A$56</definedName>
    <definedName name="DaysInMonth">'Provided - CAP Acct. 1'!A$29</definedName>
    <definedName name="DaysOpen">Inputs!$F$8</definedName>
    <definedName name="DiscountRateHotel">Inputs!$C$13</definedName>
    <definedName name="DispositionFee">'Provided - CAP Acct. 1'!$H$116</definedName>
    <definedName name="ExitDate">'Provided - CAP Acct. 1'!$H$20</definedName>
    <definedName name="GraphVariable">Inputs!$B$35</definedName>
    <definedName name="GrossSaleProceedsHotel">Valuation!$G$20</definedName>
    <definedName name="GroupADR">Inputs!$F$14</definedName>
    <definedName name="GroupFBWeight">Inputs!$F$17</definedName>
    <definedName name="HardCost">'Provided - CAP Acct. 1'!$H$11</definedName>
    <definedName name="HistOccupancy">Inputs!$F$9</definedName>
    <definedName name="HoldingDates">'Provided - CAP Acct. 1'!$I$28:$CO$28</definedName>
    <definedName name="HoldingPeriod">Inputs!$C$12</definedName>
    <definedName name="HotelForecastTable">Inputs!$B$23:$H$32</definedName>
    <definedName name="InterestReserve">'Provided - CAP Acct. 1'!$H$13</definedName>
    <definedName name="LandCost">'Provided - CAP Acct. 1'!$H$9</definedName>
    <definedName name="MiscRate">Inputs!$F$18</definedName>
    <definedName name="NOI_Today">'Provided - CAP Acct. 1'!A$38</definedName>
    <definedName name="NumberRooms">Inputs!$F$7</definedName>
    <definedName name="OccGroupWeight">Inputs!$F$11</definedName>
    <definedName name="OccTransientWeight">Inputs!$F$10</definedName>
    <definedName name="OpeningDate">'Provided - CAP Acct. 1'!$H$19</definedName>
    <definedName name="PermanentLoanAmortization">'Provided - CAP Acct. 1'!$V$14</definedName>
    <definedName name="PermanentLoanDebtServiceDummy">'Provided - CAP Acct. 1'!A$108</definedName>
    <definedName name="PermanentLoanDSCR">'Provided - CAP Acct. 1'!$V$11</definedName>
    <definedName name="PermanentLoanMaturityDate">'Provided - CAP Acct. 1'!$V$17</definedName>
    <definedName name="PermanentLoanMortgageConstant">'Provided - CAP Acct. 1'!$V$15</definedName>
    <definedName name="PermanentLoanNOI">'Provided - CAP Acct. 1'!$V$10</definedName>
    <definedName name="PermanentLoanOBalance">'Provided - CAP Acct. 1'!$V$9</definedName>
    <definedName name="PermanentLoanOriginationDate">'Provided - CAP Acct. 1'!$V$16</definedName>
    <definedName name="PermanentLoanPoints">'Provided - CAP Acct. 1'!$V$12</definedName>
    <definedName name="PermanentLoanPPMTDummy">'Provided - CAP Acct. 1'!$V$19</definedName>
    <definedName name="PermanentLoanPPMTFee">'Provided - CAP Acct. 1'!$V$18</definedName>
    <definedName name="PermanentLoanRate">'Provided - CAP Acct. 1'!$V$13</definedName>
    <definedName name="PreferredEquityOBalance">'Provided - CAP Acct. 1'!$R$19</definedName>
    <definedName name="PreferredEquityReturn_Case1">'Provided - CAP Acct. 1'!$R$20</definedName>
    <definedName name="PreferredEquityReturn_Case2">'Q1 - CAP Acct. 2'!$R$20</definedName>
    <definedName name="PreferredEquityWeight">'Q1 - CAP Acct. 2'!$I$24</definedName>
    <definedName name="_xlnm.Print_Area" localSheetId="2">Construction!$A$1:$AC$61</definedName>
    <definedName name="_xlnm.Print_Area" localSheetId="4">'Diagram 1'!$A$1:$M$43</definedName>
    <definedName name="_xlnm.Print_Area" localSheetId="5">'Diagram 2'!$A$1:$M$43</definedName>
    <definedName name="_xlnm.Print_Area" localSheetId="1">Inputs!$A$1:$J$93</definedName>
    <definedName name="_xlnm.Print_Area" localSheetId="0">Instructions!$A$1:$E$118</definedName>
    <definedName name="_xlnm.Print_Area" localSheetId="3">Libor!$A$1:$M$40</definedName>
    <definedName name="_xlnm.Print_Area" localSheetId="8">NOI!$A$1:$AG$83</definedName>
    <definedName name="_xlnm.Print_Area" localSheetId="10">'Provided - CAP Acct. 1'!$A$1:$CO$128</definedName>
    <definedName name="_xlnm.Print_Area" localSheetId="11">'Q1 - CAP Acct. 2'!$A$1:$CO$130</definedName>
    <definedName name="_xlnm.Print_Area" localSheetId="12">'Q2 - Equity Waterfall 1'!$A$1:$BY$134</definedName>
    <definedName name="_xlnm.Print_Area" localSheetId="13">'Q3 - Equity Waterfall 2'!$A$1:$BZ$153</definedName>
    <definedName name="_xlnm.Print_Area" localSheetId="6">Scenario!$A$1:$Q$29</definedName>
    <definedName name="_xlnm.Print_Area" localSheetId="7">'Summary Analysis'!$A$1:$K$127</definedName>
    <definedName name="_xlnm.Print_Area" localSheetId="9">Valuation!$A$1:$H$40</definedName>
    <definedName name="Probabilities">Scenario!$P$19:$P$21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localSheetId="4" hidden="1">2</definedName>
    <definedName name="RiskStandardRecalc" localSheetId="5" hidden="1">2</definedName>
    <definedName name="RiskStandardRecalc" hidden="1">1</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FALSE</definedName>
    <definedName name="ScenarioTable">Scenario!$B$19:$O$23</definedName>
    <definedName name="SellingCost">Inputs!$C$15</definedName>
    <definedName name="SoftCost">'Provided - CAP Acct. 1'!$H$10</definedName>
    <definedName name="SponsorEquityContributionPct">'Provided - CAP Acct. 1'!$M$12</definedName>
    <definedName name="TerminalCapRateHotel">Inputs!$C$14</definedName>
    <definedName name="ThereafterPromote">'Q2 - Equity Waterfall 1'!$G$13</definedName>
    <definedName name="Tier1_CoInvestorPctCF_Case1">'Q2 - Equity Waterfall 1'!$H$10</definedName>
    <definedName name="Tier1_CoInvestorPctCF_Case2">'Q3 - Equity Waterfall 2'!$J$10</definedName>
    <definedName name="Tier1_Hurdle_Case1">'Q2 - Equity Waterfall 1'!$D$10</definedName>
    <definedName name="Tier1_Hurdle_EM_Case2">'Q3 - Equity Waterfall 2'!$F$10</definedName>
    <definedName name="Tier1_HurdleMonthly_Case2">'Q3 - Equity Waterfall 2'!$D$10</definedName>
    <definedName name="Tier1_HurdleRate_Case2">'Q3 - Equity Waterfall 2'!$E$10</definedName>
    <definedName name="Tier1_Promote_Case1">'Q2 - Equity Waterfall 1'!$G$10</definedName>
    <definedName name="Tier1_Promote_Case2">'Q3 - Equity Waterfall 2'!$I$10</definedName>
    <definedName name="Tier1_SponsorPctCF_Case1">'Q2 - Equity Waterfall 1'!$I$10</definedName>
    <definedName name="Tier1_SponsorPctCF_Case2">'Q3 - Equity Waterfall 2'!$K$10</definedName>
    <definedName name="Tier2_CoInvestorPctCF_Case1">'Q2 - Equity Waterfall 1'!$H$11</definedName>
    <definedName name="Tier2_CoInvestorPctCF_Case2">'Q3 - Equity Waterfall 2'!$J$11</definedName>
    <definedName name="Tier2_Hurdle_Case1">'Q2 - Equity Waterfall 1'!$D$11</definedName>
    <definedName name="Tier2_Hurdle_EM_Case2">'Q3 - Equity Waterfall 2'!$F$11</definedName>
    <definedName name="Tier2_HurdleMonthly_Case2">'Q3 - Equity Waterfall 2'!$D$11</definedName>
    <definedName name="Tier2_HurdleRate_Case2">'Q3 - Equity Waterfall 2'!$E$11</definedName>
    <definedName name="Tier2_Promote_Case1">'Q2 - Equity Waterfall 1'!$G$11</definedName>
    <definedName name="Tier2_Promote_Case2">'Q3 - Equity Waterfall 2'!$I$11</definedName>
    <definedName name="Tier2_SponsorPctCF_Case1">'Q2 - Equity Waterfall 1'!$I$11</definedName>
    <definedName name="Tier2_SponsorPctCF_Case2">'Q3 - Equity Waterfall 2'!$K$11</definedName>
    <definedName name="Tier3_CoInvestorPctCF_Case1">'Q2 - Equity Waterfall 1'!$H$12</definedName>
    <definedName name="Tier3_CoInvestorPctCF_Case2">'Q3 - Equity Waterfall 2'!$J$12</definedName>
    <definedName name="Tier3_Hurdle_Case1">'Q2 - Equity Waterfall 1'!$D$12</definedName>
    <definedName name="Tier3_Hurdle_EM_Case2">'Q3 - Equity Waterfall 2'!$F$12</definedName>
    <definedName name="Tier3_HurdleMonthly_Case2">'Q3 - Equity Waterfall 2'!$D$12</definedName>
    <definedName name="Tier3_HurdleRate_Case2">'Q3 - Equity Waterfall 2'!$E$12</definedName>
    <definedName name="Tier3_Promote_Case1">'Q2 - Equity Waterfall 1'!$G$12</definedName>
    <definedName name="Tier3_Promote_Case2">'Q3 - Equity Waterfall 2'!$I$12</definedName>
    <definedName name="Tier3_SponsorPctCF_Case1">'Q2 - Equity Waterfall 1'!$I$12</definedName>
    <definedName name="Tier3_SponsorPctCF_Case2">'Q3 - Equity Waterfall 2'!$K$12</definedName>
    <definedName name="Tier4_CoInvestorPctCF_Case1">'Q2 - Equity Waterfall 1'!$H$13</definedName>
    <definedName name="Tier4_CoInvestorPctCF_Case2">'Q3 - Equity Waterfall 2'!$J$13</definedName>
    <definedName name="Tier4_Promote_Case2">'Q3 - Equity Waterfall 2'!$I$13</definedName>
    <definedName name="Tier4_SponsorPctCF_Case1">'Q2 - Equity Waterfall 1'!$I$13</definedName>
    <definedName name="Tier4_SponsorPctCF_Case2">'Q3 - Equity Waterfall 2'!$K$13</definedName>
    <definedName name="Today">'Provided - CAP Acct. 1'!A$28</definedName>
    <definedName name="TotalUses">'Provided - CAP Acct. 1'!$H$15</definedName>
    <definedName name="TransientADR">Inputs!$F$13</definedName>
    <definedName name="TransientFBWeight">Inputs!$F$16</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59" i="19" l="1"/>
  <c r="CN59" i="19"/>
  <c r="CM59" i="19"/>
  <c r="CL59" i="19"/>
  <c r="CK59" i="19"/>
  <c r="CJ59" i="19"/>
  <c r="CI59" i="19"/>
  <c r="CH59" i="19"/>
  <c r="CG59" i="19"/>
  <c r="CF59" i="19"/>
  <c r="CE59" i="19"/>
  <c r="CD59" i="19"/>
  <c r="CC59" i="19"/>
  <c r="CB59" i="19"/>
  <c r="CA59" i="19"/>
  <c r="BZ59" i="19"/>
  <c r="BY59" i="19"/>
  <c r="BX59" i="19"/>
  <c r="BW59" i="19"/>
  <c r="BV59" i="19"/>
  <c r="BU59" i="19"/>
  <c r="BT59" i="19"/>
  <c r="BS59" i="19"/>
  <c r="BR59" i="19"/>
  <c r="BQ59" i="19"/>
  <c r="BP59" i="19"/>
  <c r="BO59" i="19"/>
  <c r="BN59" i="19"/>
  <c r="BM59" i="19"/>
  <c r="BL59" i="19"/>
  <c r="BK59" i="19"/>
  <c r="BJ59" i="19"/>
  <c r="BI59" i="19"/>
  <c r="BH59" i="19"/>
  <c r="BG59" i="19"/>
  <c r="BF59" i="19"/>
  <c r="BE59" i="19"/>
  <c r="BD59" i="19"/>
  <c r="BC59" i="19"/>
  <c r="BB59" i="19"/>
  <c r="BA59" i="19"/>
  <c r="AZ59" i="19"/>
  <c r="AY59" i="19"/>
  <c r="AX59" i="19"/>
  <c r="AW59" i="19"/>
  <c r="AV59" i="19"/>
  <c r="AU59" i="19"/>
  <c r="AT59" i="19"/>
  <c r="AS59" i="19"/>
  <c r="AR59" i="19"/>
  <c r="AQ59" i="19"/>
  <c r="AP59" i="19"/>
  <c r="AO59" i="19"/>
  <c r="AN59" i="19"/>
  <c r="AM59" i="19"/>
  <c r="AL59" i="19"/>
  <c r="AK59" i="19"/>
  <c r="AJ59" i="19"/>
  <c r="AI59" i="19"/>
  <c r="AH59" i="19"/>
  <c r="AG59" i="19"/>
  <c r="AF59" i="19"/>
  <c r="AE59" i="19"/>
  <c r="AD59" i="19"/>
  <c r="AC59" i="19"/>
  <c r="AB59" i="19"/>
  <c r="AA59" i="19"/>
  <c r="Z59" i="19"/>
  <c r="Y59" i="19"/>
  <c r="X59" i="19"/>
  <c r="W59" i="19"/>
  <c r="V59" i="19"/>
  <c r="U59" i="19"/>
  <c r="T59" i="19"/>
  <c r="S59" i="19"/>
  <c r="R59" i="19"/>
  <c r="Q59" i="19"/>
  <c r="P59" i="19"/>
  <c r="O59" i="19"/>
  <c r="N59" i="19"/>
  <c r="M59" i="19"/>
  <c r="CO39" i="19"/>
  <c r="CN39" i="19"/>
  <c r="CM39" i="19"/>
  <c r="CL39" i="19"/>
  <c r="CK39" i="19"/>
  <c r="CJ39" i="19"/>
  <c r="CI39" i="19"/>
  <c r="CH39" i="19"/>
  <c r="CG39" i="19"/>
  <c r="CF39" i="19"/>
  <c r="CE39" i="19"/>
  <c r="CD39" i="19"/>
  <c r="CC39" i="19"/>
  <c r="CB39" i="19"/>
  <c r="CA39" i="19"/>
  <c r="BZ39" i="19"/>
  <c r="BY39" i="19"/>
  <c r="BX39" i="19"/>
  <c r="BW39" i="19"/>
  <c r="BV39" i="19"/>
  <c r="BU39" i="19"/>
  <c r="BT39" i="19"/>
  <c r="BS39" i="19"/>
  <c r="BR39" i="19"/>
  <c r="BQ39" i="19"/>
  <c r="BP39" i="19"/>
  <c r="BO39" i="19"/>
  <c r="BN39" i="19"/>
  <c r="BM39" i="19"/>
  <c r="BL39" i="19"/>
  <c r="BK39" i="19"/>
  <c r="BJ39" i="19"/>
  <c r="BI39" i="19"/>
  <c r="BH39" i="19"/>
  <c r="BG39" i="19"/>
  <c r="BF39" i="19"/>
  <c r="BE39" i="19"/>
  <c r="BD39" i="19"/>
  <c r="BC39" i="19"/>
  <c r="BB39" i="19"/>
  <c r="BA39" i="19"/>
  <c r="AZ39" i="19"/>
  <c r="AY39" i="19"/>
  <c r="AX39" i="19"/>
  <c r="AW39" i="19"/>
  <c r="AV39" i="19"/>
  <c r="AU39" i="19"/>
  <c r="AT39" i="19"/>
  <c r="AS39" i="19"/>
  <c r="AR39" i="19"/>
  <c r="AQ39" i="19"/>
  <c r="AP39" i="19"/>
  <c r="AO39" i="19"/>
  <c r="AN39" i="19"/>
  <c r="AM39" i="19"/>
  <c r="AL39" i="19"/>
  <c r="AK39" i="19"/>
  <c r="AJ39" i="19"/>
  <c r="AI39" i="19"/>
  <c r="AH39" i="19"/>
  <c r="AG39" i="19"/>
  <c r="AF39" i="19"/>
  <c r="AE39" i="19"/>
  <c r="AD39" i="19"/>
  <c r="AC39" i="19"/>
  <c r="AB39" i="19"/>
  <c r="AA39" i="19"/>
  <c r="Z39" i="19"/>
  <c r="Y39" i="19"/>
  <c r="X39" i="19"/>
  <c r="W39" i="19"/>
  <c r="V39" i="19"/>
  <c r="U39" i="19"/>
  <c r="T39" i="19"/>
  <c r="S39" i="19"/>
  <c r="R39" i="19"/>
  <c r="Q39" i="19"/>
  <c r="P39" i="19"/>
  <c r="O39" i="19"/>
  <c r="N39" i="19"/>
  <c r="M39" i="19"/>
  <c r="M28" i="19"/>
  <c r="M27" i="19"/>
  <c r="V17" i="19"/>
  <c r="R16" i="19"/>
  <c r="V15" i="19"/>
  <c r="M13" i="19"/>
  <c r="R12" i="19"/>
  <c r="R13" i="19" s="1"/>
  <c r="E88" i="25"/>
  <c r="E61" i="25"/>
  <c r="E35" i="25"/>
  <c r="M114" i="19" l="1"/>
  <c r="M92" i="19"/>
  <c r="M108" i="19"/>
  <c r="M36" i="19"/>
  <c r="N28" i="19"/>
  <c r="M29" i="19"/>
  <c r="R17" i="19"/>
  <c r="V16" i="19"/>
  <c r="U17" i="19"/>
  <c r="V19" i="19" s="1"/>
  <c r="E59" i="25"/>
  <c r="E86" i="25"/>
  <c r="E33" i="25"/>
  <c r="G82" i="24"/>
  <c r="N92" i="19" l="1"/>
  <c r="N108" i="19"/>
  <c r="N114" i="19"/>
  <c r="O28" i="19"/>
  <c r="N29" i="19"/>
  <c r="N36" i="19"/>
  <c r="N27" i="19"/>
  <c r="D101" i="23"/>
  <c r="D102" i="23"/>
  <c r="D100" i="23"/>
  <c r="D91" i="23"/>
  <c r="D92" i="23"/>
  <c r="D90" i="23"/>
  <c r="D77" i="23"/>
  <c r="D78" i="23"/>
  <c r="D76" i="23"/>
  <c r="D67" i="23"/>
  <c r="D68" i="23"/>
  <c r="D66" i="23"/>
  <c r="P28" i="19" l="1"/>
  <c r="O36" i="19"/>
  <c r="O27" i="19"/>
  <c r="O29" i="19"/>
  <c r="O92" i="19"/>
  <c r="O108" i="19"/>
  <c r="O114" i="19"/>
  <c r="D52" i="23"/>
  <c r="D53" i="23"/>
  <c r="D51" i="23"/>
  <c r="D42" i="23"/>
  <c r="D43" i="23"/>
  <c r="D41" i="23"/>
  <c r="I88" i="24"/>
  <c r="E80" i="21"/>
  <c r="E56" i="21"/>
  <c r="E33" i="21"/>
  <c r="P29" i="19" l="1"/>
  <c r="Q28" i="19"/>
  <c r="P36" i="19"/>
  <c r="P92" i="19"/>
  <c r="P108" i="19"/>
  <c r="P114" i="19"/>
  <c r="P27" i="19"/>
  <c r="Q115" i="24"/>
  <c r="P115" i="24"/>
  <c r="O115" i="24"/>
  <c r="N115" i="24"/>
  <c r="M115" i="24"/>
  <c r="L115" i="24"/>
  <c r="K115" i="24"/>
  <c r="J115" i="24"/>
  <c r="I115" i="24"/>
  <c r="CO94" i="24"/>
  <c r="CN94" i="24"/>
  <c r="CM94" i="24"/>
  <c r="CL94" i="24"/>
  <c r="CK94" i="24"/>
  <c r="CJ94" i="24"/>
  <c r="CI94" i="24"/>
  <c r="CH94" i="24"/>
  <c r="CG94" i="24"/>
  <c r="CF94" i="24"/>
  <c r="CE94" i="24"/>
  <c r="CD94" i="24"/>
  <c r="CC94" i="24"/>
  <c r="CB94" i="24"/>
  <c r="CA94" i="24"/>
  <c r="BZ94" i="24"/>
  <c r="BY94" i="24"/>
  <c r="BX94" i="24"/>
  <c r="BW94" i="24"/>
  <c r="BV94" i="24"/>
  <c r="BU94" i="24"/>
  <c r="BT94" i="24"/>
  <c r="BS94" i="24"/>
  <c r="BR94" i="24"/>
  <c r="BQ94" i="24"/>
  <c r="BP94" i="24"/>
  <c r="BO94" i="24"/>
  <c r="BN94" i="24"/>
  <c r="BM94" i="24"/>
  <c r="BL94" i="24"/>
  <c r="BK94" i="24"/>
  <c r="BJ94" i="24"/>
  <c r="BI94" i="24"/>
  <c r="U94" i="24"/>
  <c r="T94" i="24"/>
  <c r="S94" i="24"/>
  <c r="R94" i="24"/>
  <c r="Q94" i="24"/>
  <c r="P94" i="24"/>
  <c r="O94" i="24"/>
  <c r="N94" i="24"/>
  <c r="M94" i="24"/>
  <c r="L94" i="24"/>
  <c r="K94" i="24"/>
  <c r="J94" i="24"/>
  <c r="CO93" i="24"/>
  <c r="CN93" i="24"/>
  <c r="CN95" i="24" s="1"/>
  <c r="CM93" i="24"/>
  <c r="CM95" i="24" s="1"/>
  <c r="CL93" i="24"/>
  <c r="CL95" i="24" s="1"/>
  <c r="CK93" i="24"/>
  <c r="CK95" i="24" s="1"/>
  <c r="CJ93" i="24"/>
  <c r="CJ95" i="24" s="1"/>
  <c r="CI93" i="24"/>
  <c r="CI95" i="24" s="1"/>
  <c r="CH93" i="24"/>
  <c r="CG93" i="24"/>
  <c r="CF93" i="24"/>
  <c r="CE93" i="24"/>
  <c r="CD93" i="24"/>
  <c r="CC93" i="24"/>
  <c r="CB93" i="24"/>
  <c r="CA93" i="24"/>
  <c r="BZ93" i="24"/>
  <c r="BY93" i="24"/>
  <c r="BX93" i="24"/>
  <c r="BW93" i="24"/>
  <c r="BV93" i="24"/>
  <c r="BU93" i="24"/>
  <c r="BT93" i="24"/>
  <c r="BS93" i="24"/>
  <c r="BR93" i="24"/>
  <c r="BQ93" i="24"/>
  <c r="BP93" i="24"/>
  <c r="BO93" i="24"/>
  <c r="BN93" i="24"/>
  <c r="BM93" i="24"/>
  <c r="BL93" i="24"/>
  <c r="BK93" i="24"/>
  <c r="BJ93" i="24"/>
  <c r="BI93" i="24"/>
  <c r="BH93" i="24"/>
  <c r="BG93" i="24"/>
  <c r="BF93" i="24"/>
  <c r="BE93" i="24"/>
  <c r="BD93" i="24"/>
  <c r="BC93" i="24"/>
  <c r="BB93" i="24"/>
  <c r="BA93" i="24"/>
  <c r="AZ93" i="24"/>
  <c r="AY93" i="24"/>
  <c r="AX93" i="24"/>
  <c r="AW93" i="24"/>
  <c r="AV93" i="24"/>
  <c r="AU93" i="24"/>
  <c r="AT93" i="24"/>
  <c r="AS93" i="24"/>
  <c r="AR93" i="24"/>
  <c r="AQ93" i="24"/>
  <c r="AP93" i="24"/>
  <c r="AO93" i="24"/>
  <c r="AN93" i="24"/>
  <c r="AM93" i="24"/>
  <c r="AL93" i="24"/>
  <c r="AK93" i="24"/>
  <c r="AJ93" i="24"/>
  <c r="AI93" i="24"/>
  <c r="AH93" i="24"/>
  <c r="AG93" i="24"/>
  <c r="AF93" i="24"/>
  <c r="AE93" i="24"/>
  <c r="AD93" i="24"/>
  <c r="AC93" i="24"/>
  <c r="AB93" i="24"/>
  <c r="AA93" i="24"/>
  <c r="Z93" i="24"/>
  <c r="Y93" i="24"/>
  <c r="X93" i="24"/>
  <c r="W93" i="24"/>
  <c r="V93" i="24"/>
  <c r="U93" i="24"/>
  <c r="T93" i="24"/>
  <c r="S93" i="24"/>
  <c r="R93" i="24"/>
  <c r="Q93" i="24"/>
  <c r="P93" i="24"/>
  <c r="O93" i="24"/>
  <c r="N93" i="24"/>
  <c r="M93" i="24"/>
  <c r="L93" i="24"/>
  <c r="K93" i="24"/>
  <c r="J93" i="24"/>
  <c r="I93" i="24"/>
  <c r="I87" i="19"/>
  <c r="G94" i="24"/>
  <c r="I82" i="24"/>
  <c r="I81" i="24"/>
  <c r="Q92" i="19" l="1"/>
  <c r="Q108" i="19"/>
  <c r="Q114" i="19"/>
  <c r="R28" i="19"/>
  <c r="Q29" i="19"/>
  <c r="Q27" i="19"/>
  <c r="Q36" i="19"/>
  <c r="CO95" i="24"/>
  <c r="CH95" i="24"/>
  <c r="CG95" i="24"/>
  <c r="CF95" i="24"/>
  <c r="CE95" i="24"/>
  <c r="CD95" i="24"/>
  <c r="CC95" i="24"/>
  <c r="CB95" i="24"/>
  <c r="CA95" i="24"/>
  <c r="BZ95" i="24"/>
  <c r="BY95" i="24"/>
  <c r="BX95" i="24"/>
  <c r="BW95" i="24"/>
  <c r="BV95" i="24"/>
  <c r="BU95" i="24"/>
  <c r="BT95" i="24"/>
  <c r="BS95" i="24"/>
  <c r="BR95" i="24"/>
  <c r="BQ95" i="24"/>
  <c r="BP95" i="24"/>
  <c r="BO95" i="24"/>
  <c r="BN95" i="24"/>
  <c r="BM95" i="24"/>
  <c r="BL95" i="24"/>
  <c r="BK95" i="24"/>
  <c r="BJ95" i="24"/>
  <c r="BI95" i="24"/>
  <c r="U95" i="24"/>
  <c r="T95" i="24"/>
  <c r="S95" i="24"/>
  <c r="R95" i="24"/>
  <c r="Q95" i="24"/>
  <c r="P95" i="24"/>
  <c r="O95" i="24"/>
  <c r="N95" i="24"/>
  <c r="M95" i="24"/>
  <c r="L95" i="24"/>
  <c r="K95" i="24"/>
  <c r="J95" i="24"/>
  <c r="BG94" i="24"/>
  <c r="BG95" i="24" s="1"/>
  <c r="BF94" i="24"/>
  <c r="BF95" i="24" s="1"/>
  <c r="BE94" i="24"/>
  <c r="BE95" i="24" s="1"/>
  <c r="BD94" i="24"/>
  <c r="BD95" i="24" s="1"/>
  <c r="BC94" i="24"/>
  <c r="BC95" i="24" s="1"/>
  <c r="BB94" i="24"/>
  <c r="BB95" i="24" s="1"/>
  <c r="BA94" i="24"/>
  <c r="BA95" i="24" s="1"/>
  <c r="AZ94" i="24"/>
  <c r="AZ95" i="24" s="1"/>
  <c r="AY94" i="24"/>
  <c r="AY95" i="24" s="1"/>
  <c r="AX94" i="24"/>
  <c r="AX95" i="24" s="1"/>
  <c r="AW94" i="24"/>
  <c r="AW95" i="24" s="1"/>
  <c r="AV94" i="24"/>
  <c r="AV95" i="24" s="1"/>
  <c r="AU94" i="24"/>
  <c r="AU95" i="24" s="1"/>
  <c r="AT94" i="24"/>
  <c r="AT95" i="24" s="1"/>
  <c r="AS94" i="24"/>
  <c r="AS95" i="24" s="1"/>
  <c r="AR94" i="24"/>
  <c r="AR95" i="24" s="1"/>
  <c r="AQ94" i="24"/>
  <c r="AQ95" i="24" s="1"/>
  <c r="AP94" i="24"/>
  <c r="AP95" i="24" s="1"/>
  <c r="AO94" i="24"/>
  <c r="AO95" i="24" s="1"/>
  <c r="AN94" i="24"/>
  <c r="AN95" i="24" s="1"/>
  <c r="AM94" i="24"/>
  <c r="AM95" i="24" s="1"/>
  <c r="AL94" i="24"/>
  <c r="AL95" i="24" s="1"/>
  <c r="AK94" i="24"/>
  <c r="AK95" i="24" s="1"/>
  <c r="AJ94" i="24"/>
  <c r="AJ95" i="24" s="1"/>
  <c r="AI94" i="24"/>
  <c r="AI95" i="24" s="1"/>
  <c r="AH94" i="24"/>
  <c r="AH95" i="24" s="1"/>
  <c r="AG94" i="24"/>
  <c r="AG95" i="24" s="1"/>
  <c r="AF94" i="24"/>
  <c r="AF95" i="24" s="1"/>
  <c r="AE94" i="24"/>
  <c r="AE95" i="24" s="1"/>
  <c r="AD94" i="24"/>
  <c r="AD95" i="24" s="1"/>
  <c r="AC94" i="24"/>
  <c r="AC95" i="24" s="1"/>
  <c r="AB94" i="24"/>
  <c r="AB95" i="24" s="1"/>
  <c r="AA94" i="24"/>
  <c r="AA95" i="24" s="1"/>
  <c r="Z94" i="24"/>
  <c r="Z95" i="24" s="1"/>
  <c r="Y94" i="24"/>
  <c r="Y95" i="24" s="1"/>
  <c r="X94" i="24"/>
  <c r="X95" i="24" s="1"/>
  <c r="W94" i="24"/>
  <c r="W95" i="24" s="1"/>
  <c r="V94" i="24"/>
  <c r="V95" i="24" s="1"/>
  <c r="BH94" i="24"/>
  <c r="BH95" i="24" s="1"/>
  <c r="I94" i="24"/>
  <c r="I95" i="24" s="1"/>
  <c r="I97" i="24" s="1"/>
  <c r="I98" i="24" s="1"/>
  <c r="R115" i="24" l="1"/>
  <c r="R36" i="19"/>
  <c r="R27" i="19"/>
  <c r="S28" i="19"/>
  <c r="R29" i="19"/>
  <c r="R92" i="19"/>
  <c r="R108" i="19"/>
  <c r="R114" i="19"/>
  <c r="S115" i="24" l="1"/>
  <c r="S27" i="19"/>
  <c r="S36" i="19"/>
  <c r="S92" i="19"/>
  <c r="S108" i="19"/>
  <c r="S114" i="19"/>
  <c r="T28" i="19"/>
  <c r="S29" i="19"/>
  <c r="B2" i="27"/>
  <c r="T115" i="24" l="1"/>
  <c r="U28" i="19"/>
  <c r="T36" i="19"/>
  <c r="T29" i="19"/>
  <c r="T92" i="19"/>
  <c r="T108" i="19"/>
  <c r="T114" i="19"/>
  <c r="T27" i="19"/>
  <c r="B2" i="26"/>
  <c r="U115" i="24" l="1"/>
  <c r="V28" i="19"/>
  <c r="U92" i="19"/>
  <c r="U108" i="19"/>
  <c r="U114" i="19"/>
  <c r="U29" i="19"/>
  <c r="U36" i="19"/>
  <c r="U27" i="19"/>
  <c r="CO39" i="24"/>
  <c r="CN39" i="24"/>
  <c r="CM39" i="24"/>
  <c r="CL39" i="24"/>
  <c r="CK39" i="24"/>
  <c r="CJ39" i="24"/>
  <c r="CI39" i="24"/>
  <c r="CH39" i="24"/>
  <c r="CG39" i="24"/>
  <c r="CF39" i="24"/>
  <c r="CE39" i="24"/>
  <c r="CD39" i="24"/>
  <c r="CC39" i="24"/>
  <c r="CB39" i="24"/>
  <c r="CA39" i="24"/>
  <c r="BZ39" i="24"/>
  <c r="BY39" i="24"/>
  <c r="BX39" i="24"/>
  <c r="BW39" i="24"/>
  <c r="BV39" i="24"/>
  <c r="BU39" i="24"/>
  <c r="BT39" i="24"/>
  <c r="BS39" i="24"/>
  <c r="BR39" i="24"/>
  <c r="BQ39" i="24"/>
  <c r="BP39" i="24"/>
  <c r="BO39" i="24"/>
  <c r="BN39" i="24"/>
  <c r="BM39" i="24"/>
  <c r="BL39" i="24"/>
  <c r="BK39" i="24"/>
  <c r="BJ39" i="24"/>
  <c r="BI39" i="24"/>
  <c r="BH39" i="24"/>
  <c r="BG39" i="24"/>
  <c r="BF39" i="24"/>
  <c r="BE39" i="24"/>
  <c r="BD39" i="24"/>
  <c r="BC39" i="24"/>
  <c r="BB39" i="24"/>
  <c r="BA39" i="24"/>
  <c r="AZ39" i="24"/>
  <c r="AY39" i="24"/>
  <c r="AX39" i="24"/>
  <c r="AW39" i="24"/>
  <c r="AV39" i="24"/>
  <c r="AU39" i="24"/>
  <c r="AT39" i="24"/>
  <c r="AS39" i="24"/>
  <c r="AR39" i="24"/>
  <c r="AQ39" i="24"/>
  <c r="AP39" i="24"/>
  <c r="AO39" i="24"/>
  <c r="AN39" i="24"/>
  <c r="AM39" i="24"/>
  <c r="AL39" i="24"/>
  <c r="AK39" i="24"/>
  <c r="AJ39" i="24"/>
  <c r="AI39" i="24"/>
  <c r="AH39" i="24"/>
  <c r="V115" i="24" l="1"/>
  <c r="V29" i="19"/>
  <c r="V36" i="19"/>
  <c r="V92" i="19"/>
  <c r="V108" i="19"/>
  <c r="V114" i="19"/>
  <c r="W28" i="19"/>
  <c r="V27" i="19"/>
  <c r="D12" i="25"/>
  <c r="B48" i="23"/>
  <c r="B73" i="23" s="1"/>
  <c r="B97" i="23" s="1"/>
  <c r="B38" i="23"/>
  <c r="B63" i="23" s="1"/>
  <c r="B87" i="23" s="1"/>
  <c r="D11" i="25"/>
  <c r="D10" i="25"/>
  <c r="K13" i="25"/>
  <c r="J13" i="25" s="1"/>
  <c r="B113" i="25" s="1"/>
  <c r="K12" i="25"/>
  <c r="J12" i="25" s="1"/>
  <c r="K11" i="25"/>
  <c r="J11" i="25" s="1"/>
  <c r="J10" i="25"/>
  <c r="W115" i="24" l="1"/>
  <c r="W27" i="19"/>
  <c r="X28" i="19"/>
  <c r="W29" i="19"/>
  <c r="W36" i="19"/>
  <c r="W92" i="19"/>
  <c r="W108" i="19"/>
  <c r="W114" i="19"/>
  <c r="H12" i="25"/>
  <c r="B114" i="25"/>
  <c r="H13" i="25"/>
  <c r="H11" i="25"/>
  <c r="X115" i="24" l="1"/>
  <c r="Y28" i="19"/>
  <c r="X36" i="19"/>
  <c r="X92" i="19"/>
  <c r="X108" i="19"/>
  <c r="X114" i="19"/>
  <c r="X27" i="19"/>
  <c r="X29" i="19"/>
  <c r="F76" i="24"/>
  <c r="I24" i="24"/>
  <c r="I101" i="24"/>
  <c r="I107" i="24" s="1"/>
  <c r="CC59" i="24"/>
  <c r="AW59" i="24"/>
  <c r="F25" i="24"/>
  <c r="F24" i="24"/>
  <c r="F23" i="24"/>
  <c r="L18" i="24"/>
  <c r="H18" i="24"/>
  <c r="I28" i="24" s="1"/>
  <c r="R16" i="24"/>
  <c r="V15" i="24"/>
  <c r="M13" i="24"/>
  <c r="I13" i="24"/>
  <c r="R12" i="24"/>
  <c r="R13" i="24" s="1"/>
  <c r="L10" i="24"/>
  <c r="H10" i="24"/>
  <c r="I10" i="24" s="1"/>
  <c r="L9" i="24"/>
  <c r="I9" i="24"/>
  <c r="F25" i="19"/>
  <c r="F24" i="19"/>
  <c r="F23" i="19"/>
  <c r="Y115" i="24" l="1"/>
  <c r="Y29" i="19"/>
  <c r="Y92" i="19"/>
  <c r="Y108" i="19"/>
  <c r="Y114" i="19"/>
  <c r="Z28" i="19"/>
  <c r="Y36" i="19"/>
  <c r="Y27" i="19"/>
  <c r="H20" i="24"/>
  <c r="J28" i="24"/>
  <c r="I27" i="24"/>
  <c r="R17" i="24"/>
  <c r="V16" i="24"/>
  <c r="BP59" i="24"/>
  <c r="AK59" i="24"/>
  <c r="AS59" i="24"/>
  <c r="BA59" i="24"/>
  <c r="BI59" i="24"/>
  <c r="BQ59" i="24"/>
  <c r="BY59" i="24"/>
  <c r="CG59" i="24"/>
  <c r="CO59" i="24"/>
  <c r="AJ59" i="24"/>
  <c r="H14" i="24"/>
  <c r="AL59" i="24"/>
  <c r="AT59" i="24"/>
  <c r="BB59" i="24"/>
  <c r="BJ59" i="24"/>
  <c r="BR59" i="24"/>
  <c r="BZ59" i="24"/>
  <c r="CH59" i="24"/>
  <c r="AM59" i="24"/>
  <c r="AU59" i="24"/>
  <c r="BC59" i="24"/>
  <c r="BK59" i="24"/>
  <c r="BS59" i="24"/>
  <c r="CA59" i="24"/>
  <c r="CI59" i="24"/>
  <c r="BX59" i="24"/>
  <c r="AN59" i="24"/>
  <c r="AV59" i="24"/>
  <c r="BD59" i="24"/>
  <c r="BL59" i="24"/>
  <c r="BT59" i="24"/>
  <c r="CB59" i="24"/>
  <c r="CJ59" i="24"/>
  <c r="AZ59" i="24"/>
  <c r="AO59" i="24"/>
  <c r="BE59" i="24"/>
  <c r="BM59" i="24"/>
  <c r="BU59" i="24"/>
  <c r="CK59" i="24"/>
  <c r="AH59" i="24"/>
  <c r="AP59" i="24"/>
  <c r="AX59" i="24"/>
  <c r="BF59" i="24"/>
  <c r="BN59" i="24"/>
  <c r="BV59" i="24"/>
  <c r="CD59" i="24"/>
  <c r="CL59" i="24"/>
  <c r="AR59" i="24"/>
  <c r="BH59" i="24"/>
  <c r="CF59" i="24"/>
  <c r="CN59" i="24"/>
  <c r="AI59" i="24"/>
  <c r="AQ59" i="24"/>
  <c r="AY59" i="24"/>
  <c r="BG59" i="24"/>
  <c r="BO59" i="24"/>
  <c r="BW59" i="24"/>
  <c r="CE59" i="24"/>
  <c r="CM59" i="24"/>
  <c r="Z115" i="24" l="1"/>
  <c r="Z27" i="19"/>
  <c r="AA28" i="19"/>
  <c r="Z29" i="19"/>
  <c r="Z36" i="19"/>
  <c r="Z92" i="19"/>
  <c r="Z108" i="19"/>
  <c r="Z114" i="19"/>
  <c r="J29" i="24"/>
  <c r="J27" i="24"/>
  <c r="K28" i="24"/>
  <c r="I14" i="24"/>
  <c r="AA115" i="24" l="1"/>
  <c r="AB28" i="19"/>
  <c r="AA36" i="19"/>
  <c r="AA92" i="19"/>
  <c r="AA108" i="19"/>
  <c r="AA114" i="19"/>
  <c r="AA27" i="19"/>
  <c r="AA29" i="19"/>
  <c r="K29" i="24"/>
  <c r="K27" i="24"/>
  <c r="L28" i="24"/>
  <c r="AB115" i="24" l="1"/>
  <c r="AB92" i="19"/>
  <c r="AB108" i="19"/>
  <c r="AB114" i="19"/>
  <c r="AC28" i="19"/>
  <c r="AB36" i="19"/>
  <c r="AB27" i="19"/>
  <c r="AB29" i="19"/>
  <c r="L29" i="24"/>
  <c r="L27" i="24"/>
  <c r="M28" i="24"/>
  <c r="AC115" i="24" l="1"/>
  <c r="AD28" i="19"/>
  <c r="AC36" i="19"/>
  <c r="AC27" i="19"/>
  <c r="AC29" i="19"/>
  <c r="AC92" i="19"/>
  <c r="AC108" i="19"/>
  <c r="AC114" i="19"/>
  <c r="M29" i="24"/>
  <c r="M27" i="24"/>
  <c r="N28" i="24"/>
  <c r="AD115" i="24" l="1"/>
  <c r="AE28" i="19"/>
  <c r="AD36" i="19"/>
  <c r="AD92" i="19"/>
  <c r="AD108" i="19"/>
  <c r="AD114" i="19"/>
  <c r="AD27" i="19"/>
  <c r="AD29" i="19"/>
  <c r="N29" i="24"/>
  <c r="N27" i="24"/>
  <c r="O28" i="24"/>
  <c r="AE115" i="24" l="1"/>
  <c r="AE29" i="19"/>
  <c r="AE92" i="19"/>
  <c r="AE108" i="19"/>
  <c r="AE114" i="19"/>
  <c r="AF28" i="19"/>
  <c r="AE27" i="19"/>
  <c r="AE36" i="19"/>
  <c r="O27" i="24"/>
  <c r="P28" i="24"/>
  <c r="O29" i="24"/>
  <c r="AF115" i="24" l="1"/>
  <c r="AF36" i="19"/>
  <c r="AG28" i="19"/>
  <c r="AF29" i="19"/>
  <c r="AF27" i="19"/>
  <c r="AF92" i="19"/>
  <c r="AF108" i="19"/>
  <c r="AF114" i="19"/>
  <c r="Q28" i="24"/>
  <c r="P29" i="24"/>
  <c r="P27" i="24"/>
  <c r="AG115" i="24" l="1"/>
  <c r="AG36" i="19"/>
  <c r="AH28" i="19"/>
  <c r="AG29" i="19"/>
  <c r="AG92" i="19"/>
  <c r="AG108" i="19"/>
  <c r="AG114" i="19"/>
  <c r="AG27" i="19"/>
  <c r="R28" i="24"/>
  <c r="Q29" i="24"/>
  <c r="Q27" i="24"/>
  <c r="AH115" i="24" l="1"/>
  <c r="AH92" i="19"/>
  <c r="AH108" i="19"/>
  <c r="AH114" i="19"/>
  <c r="AI28" i="19"/>
  <c r="AH27" i="19"/>
  <c r="AH29" i="19"/>
  <c r="R29" i="24"/>
  <c r="R27" i="24"/>
  <c r="S28" i="24"/>
  <c r="AI115" i="24" l="1"/>
  <c r="AI29" i="19"/>
  <c r="AJ28" i="19"/>
  <c r="AI92" i="19"/>
  <c r="AI108" i="19"/>
  <c r="AI114" i="19"/>
  <c r="AI27" i="19"/>
  <c r="S29" i="24"/>
  <c r="S27" i="24"/>
  <c r="T28" i="24"/>
  <c r="AJ115" i="24" l="1"/>
  <c r="AJ29" i="19"/>
  <c r="AJ92" i="19"/>
  <c r="AJ108" i="19"/>
  <c r="AJ114" i="19"/>
  <c r="AK28" i="19"/>
  <c r="AJ27" i="19"/>
  <c r="T29" i="24"/>
  <c r="T27" i="24"/>
  <c r="U28" i="24"/>
  <c r="AK115" i="24" l="1"/>
  <c r="AK29" i="19"/>
  <c r="AL28" i="19"/>
  <c r="AK92" i="19"/>
  <c r="AK108" i="19"/>
  <c r="AK114" i="19"/>
  <c r="AK27" i="19"/>
  <c r="U29" i="24"/>
  <c r="U27" i="24"/>
  <c r="V28" i="24"/>
  <c r="AL115" i="24" l="1"/>
  <c r="AL92" i="19"/>
  <c r="AL108" i="19"/>
  <c r="AL114" i="19"/>
  <c r="AM28" i="19"/>
  <c r="AL29" i="19"/>
  <c r="AL27" i="19"/>
  <c r="V29" i="24"/>
  <c r="V27" i="24"/>
  <c r="W28" i="24"/>
  <c r="AM115" i="24" l="1"/>
  <c r="AM27" i="19"/>
  <c r="AN28" i="19"/>
  <c r="AM29" i="19"/>
  <c r="AM92" i="19"/>
  <c r="AM108" i="19"/>
  <c r="AM114" i="19"/>
  <c r="W27" i="24"/>
  <c r="X28" i="24"/>
  <c r="W29" i="24"/>
  <c r="AN115" i="24" l="1"/>
  <c r="AN92" i="19"/>
  <c r="AN108" i="19"/>
  <c r="AN114" i="19"/>
  <c r="AN27" i="19"/>
  <c r="AN29" i="19"/>
  <c r="AO28" i="19"/>
  <c r="Y28" i="24"/>
  <c r="X29" i="24"/>
  <c r="X27" i="24"/>
  <c r="AO115" i="24" l="1"/>
  <c r="AO27" i="19"/>
  <c r="AO29" i="19"/>
  <c r="AO92" i="19"/>
  <c r="AO108" i="19"/>
  <c r="AO114" i="19"/>
  <c r="AP28" i="19"/>
  <c r="Z28" i="24"/>
  <c r="Y27" i="24"/>
  <c r="Y29" i="24"/>
  <c r="AP115" i="24" l="1"/>
  <c r="AQ28" i="19"/>
  <c r="AP29" i="19"/>
  <c r="AP27" i="19"/>
  <c r="AP92" i="19"/>
  <c r="AP108" i="19"/>
  <c r="AP114" i="19"/>
  <c r="Z29" i="24"/>
  <c r="Z27" i="24"/>
  <c r="AA28" i="24"/>
  <c r="AQ115" i="24" l="1"/>
  <c r="AQ29" i="19"/>
  <c r="AR28" i="19"/>
  <c r="AQ92" i="19"/>
  <c r="AQ108" i="19"/>
  <c r="AQ114" i="19"/>
  <c r="AQ27" i="19"/>
  <c r="AA29" i="24"/>
  <c r="AA27" i="24"/>
  <c r="AB28" i="24"/>
  <c r="AR115" i="24" l="1"/>
  <c r="AR27" i="19"/>
  <c r="AS28" i="19"/>
  <c r="AR29" i="19"/>
  <c r="AR92" i="19"/>
  <c r="AR108" i="19"/>
  <c r="AR114" i="19"/>
  <c r="AB29" i="24"/>
  <c r="AB27" i="24"/>
  <c r="AC28" i="24"/>
  <c r="AS115" i="24" l="1"/>
  <c r="AS92" i="19"/>
  <c r="AS108" i="19"/>
  <c r="AS114" i="19"/>
  <c r="AS27" i="19"/>
  <c r="AT28" i="19"/>
  <c r="AS29" i="19"/>
  <c r="AC27" i="24"/>
  <c r="AC29" i="24"/>
  <c r="AD28" i="24"/>
  <c r="AT115" i="24" l="1"/>
  <c r="AT29" i="19"/>
  <c r="AU28" i="19"/>
  <c r="AT27" i="19"/>
  <c r="AT92" i="19"/>
  <c r="AT108" i="19"/>
  <c r="AT114" i="19"/>
  <c r="AD29" i="24"/>
  <c r="AD27" i="24"/>
  <c r="AE28" i="24"/>
  <c r="AU115" i="24" l="1"/>
  <c r="AU27" i="19"/>
  <c r="AV28" i="19"/>
  <c r="AU29" i="19"/>
  <c r="AU92" i="19"/>
  <c r="AU108" i="19"/>
  <c r="AU114" i="19"/>
  <c r="AE27" i="24"/>
  <c r="AE29" i="24"/>
  <c r="AF28" i="24"/>
  <c r="AV115" i="24" l="1"/>
  <c r="AV92" i="19"/>
  <c r="AV108" i="19"/>
  <c r="AV114" i="19"/>
  <c r="AV27" i="19"/>
  <c r="AW28" i="19"/>
  <c r="AV29" i="19"/>
  <c r="AG28" i="24"/>
  <c r="AF29" i="24"/>
  <c r="AF27" i="24"/>
  <c r="AW115" i="24" l="1"/>
  <c r="AW29" i="19"/>
  <c r="AW27" i="19"/>
  <c r="AX28" i="19"/>
  <c r="AW92" i="19"/>
  <c r="AW108" i="19"/>
  <c r="AW114" i="19"/>
  <c r="AH28" i="24"/>
  <c r="AG29" i="24"/>
  <c r="AG27" i="24"/>
  <c r="AX115" i="24" l="1"/>
  <c r="AX92" i="19"/>
  <c r="AX108" i="19"/>
  <c r="AX114" i="19"/>
  <c r="AX27" i="19"/>
  <c r="AY28" i="19"/>
  <c r="AX29" i="19"/>
  <c r="AH29" i="24"/>
  <c r="AH27" i="24"/>
  <c r="AI28" i="24"/>
  <c r="AY115" i="24" l="1"/>
  <c r="AY27" i="19"/>
  <c r="AY29" i="19"/>
  <c r="AY92" i="19"/>
  <c r="AY108" i="19"/>
  <c r="AY114" i="19"/>
  <c r="AZ28" i="19"/>
  <c r="AI29" i="24"/>
  <c r="AI27" i="24"/>
  <c r="AJ28" i="24"/>
  <c r="AZ115" i="24" l="1"/>
  <c r="AZ29" i="19"/>
  <c r="AZ27" i="19"/>
  <c r="BA28" i="19"/>
  <c r="AZ92" i="19"/>
  <c r="AZ108" i="19"/>
  <c r="AZ114" i="19"/>
  <c r="AJ29" i="24"/>
  <c r="AJ27" i="24"/>
  <c r="AK28" i="24"/>
  <c r="BA115" i="24" l="1"/>
  <c r="BA92" i="19"/>
  <c r="BA108" i="19"/>
  <c r="BA114" i="19"/>
  <c r="BA27" i="19"/>
  <c r="BB28" i="19"/>
  <c r="BA29" i="19"/>
  <c r="AK29" i="24"/>
  <c r="AK27" i="24"/>
  <c r="AL28" i="24"/>
  <c r="BB115" i="24" l="1"/>
  <c r="BC28" i="19"/>
  <c r="BB29" i="19"/>
  <c r="BB92" i="19"/>
  <c r="BB108" i="19"/>
  <c r="BB114" i="19"/>
  <c r="BB27" i="19"/>
  <c r="AL29" i="24"/>
  <c r="AL27" i="24"/>
  <c r="AM28" i="24"/>
  <c r="BC115" i="24" l="1"/>
  <c r="BC27" i="19"/>
  <c r="BD28" i="19"/>
  <c r="BC29" i="19"/>
  <c r="BC92" i="19"/>
  <c r="BC108" i="19"/>
  <c r="BC114" i="19"/>
  <c r="AM27" i="24"/>
  <c r="AN28" i="24"/>
  <c r="AM29" i="24"/>
  <c r="BD115" i="24" l="1"/>
  <c r="BD92" i="19"/>
  <c r="BD108" i="19"/>
  <c r="BD114" i="19"/>
  <c r="BD27" i="19"/>
  <c r="BE28" i="19"/>
  <c r="BD29" i="19"/>
  <c r="AO28" i="24"/>
  <c r="AN29" i="24"/>
  <c r="AN27" i="24"/>
  <c r="BE115" i="24" l="1"/>
  <c r="BF28" i="19"/>
  <c r="BE29" i="19"/>
  <c r="BE92" i="19"/>
  <c r="BE108" i="19"/>
  <c r="BE114" i="19"/>
  <c r="BE27" i="19"/>
  <c r="AP28" i="24"/>
  <c r="AO27" i="24"/>
  <c r="AO29" i="24"/>
  <c r="BF115" i="24" l="1"/>
  <c r="BF27" i="19"/>
  <c r="BF29" i="19"/>
  <c r="BF92" i="19"/>
  <c r="BF108" i="19"/>
  <c r="BF114" i="19"/>
  <c r="BG28" i="19"/>
  <c r="AP29" i="24"/>
  <c r="AP27" i="24"/>
  <c r="AQ28" i="24"/>
  <c r="BG115" i="24" l="1"/>
  <c r="BG29" i="19"/>
  <c r="BG27" i="19"/>
  <c r="BH28" i="19"/>
  <c r="BG92" i="19"/>
  <c r="BG108" i="19"/>
  <c r="BG114" i="19"/>
  <c r="AQ29" i="24"/>
  <c r="AQ27" i="24"/>
  <c r="AR28" i="24"/>
  <c r="BH115" i="24" l="1"/>
  <c r="BH92" i="19"/>
  <c r="BH108" i="19"/>
  <c r="BH114" i="19"/>
  <c r="BH27" i="19"/>
  <c r="BH29" i="19"/>
  <c r="BI28" i="19"/>
  <c r="AR29" i="24"/>
  <c r="AR27" i="24"/>
  <c r="AS28" i="24"/>
  <c r="BI115" i="24" l="1"/>
  <c r="BI29" i="19"/>
  <c r="BI27" i="19"/>
  <c r="BI92" i="19"/>
  <c r="BI108" i="19"/>
  <c r="BI114" i="19"/>
  <c r="BJ28" i="19"/>
  <c r="AS29" i="24"/>
  <c r="AS27" i="24"/>
  <c r="AT28" i="24"/>
  <c r="BJ115" i="24" l="1"/>
  <c r="BJ29" i="19"/>
  <c r="BK28" i="19"/>
  <c r="BJ92" i="19"/>
  <c r="BJ108" i="19"/>
  <c r="BJ114" i="19"/>
  <c r="BJ27" i="19"/>
  <c r="AT29" i="24"/>
  <c r="AT27" i="24"/>
  <c r="AU28" i="24"/>
  <c r="BK115" i="24" l="1"/>
  <c r="BK29" i="19"/>
  <c r="BK92" i="19"/>
  <c r="BK108" i="19"/>
  <c r="BK114" i="19"/>
  <c r="BL28" i="19"/>
  <c r="BK27" i="19"/>
  <c r="AU27" i="24"/>
  <c r="AV28" i="24"/>
  <c r="AU29" i="24"/>
  <c r="BL115" i="24" l="1"/>
  <c r="BL29" i="19"/>
  <c r="BM28" i="19"/>
  <c r="BL92" i="19"/>
  <c r="BL108" i="19"/>
  <c r="BL114" i="19"/>
  <c r="BL27" i="19"/>
  <c r="AW28" i="24"/>
  <c r="AV29" i="24"/>
  <c r="AV27" i="24"/>
  <c r="BM115" i="24" l="1"/>
  <c r="BM92" i="19"/>
  <c r="BM108" i="19"/>
  <c r="BM114" i="19"/>
  <c r="BM29" i="19"/>
  <c r="BN28" i="19"/>
  <c r="BM27" i="19"/>
  <c r="AX28" i="24"/>
  <c r="AW29" i="24"/>
  <c r="AW27" i="24"/>
  <c r="BN115" i="24" l="1"/>
  <c r="BN29" i="19"/>
  <c r="BN92" i="19"/>
  <c r="BN108" i="19"/>
  <c r="BN114" i="19"/>
  <c r="BN27" i="19"/>
  <c r="BO28" i="19"/>
  <c r="AX29" i="24"/>
  <c r="AX27" i="24"/>
  <c r="AY28" i="24"/>
  <c r="BO115" i="24" l="1"/>
  <c r="BO29" i="19"/>
  <c r="BO27" i="19"/>
  <c r="BP28" i="19"/>
  <c r="BO92" i="19"/>
  <c r="BO108" i="19"/>
  <c r="BO114" i="19"/>
  <c r="AY29" i="24"/>
  <c r="AY27" i="24"/>
  <c r="AZ28" i="24"/>
  <c r="BP115" i="24" l="1"/>
  <c r="BP92" i="19"/>
  <c r="BP108" i="19"/>
  <c r="BP114" i="19"/>
  <c r="BP27" i="19"/>
  <c r="BP29" i="19"/>
  <c r="BQ28" i="19"/>
  <c r="AZ29" i="24"/>
  <c r="AZ27" i="24"/>
  <c r="BA28" i="24"/>
  <c r="BQ115" i="24" l="1"/>
  <c r="BQ29" i="19"/>
  <c r="BQ92" i="19"/>
  <c r="BQ108" i="19"/>
  <c r="BQ114" i="19"/>
  <c r="BQ27" i="19"/>
  <c r="BR28" i="19"/>
  <c r="BA27" i="24"/>
  <c r="BA29" i="24"/>
  <c r="BB28" i="24"/>
  <c r="BR115" i="24" l="1"/>
  <c r="BS28" i="19"/>
  <c r="BR29" i="19"/>
  <c r="BR27" i="19"/>
  <c r="BR92" i="19"/>
  <c r="BR108" i="19"/>
  <c r="BR114" i="19"/>
  <c r="BB29" i="24"/>
  <c r="BB27" i="24"/>
  <c r="BC28" i="24"/>
  <c r="BS115" i="24" l="1"/>
  <c r="BS92" i="19"/>
  <c r="BS108" i="19"/>
  <c r="BS114" i="19"/>
  <c r="BS27" i="19"/>
  <c r="BT28" i="19"/>
  <c r="BS29" i="19"/>
  <c r="BC27" i="24"/>
  <c r="BC29" i="24"/>
  <c r="BD28" i="24"/>
  <c r="BT115" i="24" l="1"/>
  <c r="BT27" i="19"/>
  <c r="BU28" i="19"/>
  <c r="BT29" i="19"/>
  <c r="BT92" i="19"/>
  <c r="BT108" i="19"/>
  <c r="BT114" i="19"/>
  <c r="BE28" i="24"/>
  <c r="BD29" i="24"/>
  <c r="BD27" i="24"/>
  <c r="BU115" i="24" l="1"/>
  <c r="BU92" i="19"/>
  <c r="BU108" i="19"/>
  <c r="BU114" i="19"/>
  <c r="BU27" i="19"/>
  <c r="BV28" i="19"/>
  <c r="BU29" i="19"/>
  <c r="BF28" i="24"/>
  <c r="BE29" i="24"/>
  <c r="BE27" i="24"/>
  <c r="BV115" i="24" l="1"/>
  <c r="BV29" i="19"/>
  <c r="BW28" i="19"/>
  <c r="BV27" i="19"/>
  <c r="BV92" i="19"/>
  <c r="BV108" i="19"/>
  <c r="BV114" i="19"/>
  <c r="BF29" i="24"/>
  <c r="BF27" i="24"/>
  <c r="BG28" i="24"/>
  <c r="BW115" i="24" l="1"/>
  <c r="BX28" i="19"/>
  <c r="BW29" i="19"/>
  <c r="BW92" i="19"/>
  <c r="BW108" i="19"/>
  <c r="BW114" i="19"/>
  <c r="BW27" i="19"/>
  <c r="BG29" i="24"/>
  <c r="BG27" i="24"/>
  <c r="BH28" i="24"/>
  <c r="BX115" i="24" l="1"/>
  <c r="BX92" i="19"/>
  <c r="BX108" i="19"/>
  <c r="BX114" i="19"/>
  <c r="BY28" i="19"/>
  <c r="BX29" i="19"/>
  <c r="BX27" i="19"/>
  <c r="BH29" i="24"/>
  <c r="BH27" i="24"/>
  <c r="BI28" i="24"/>
  <c r="BY115" i="24" l="1"/>
  <c r="BY29" i="19"/>
  <c r="BZ28" i="19"/>
  <c r="BY92" i="19"/>
  <c r="BY108" i="19"/>
  <c r="BY114" i="19"/>
  <c r="BY27" i="19"/>
  <c r="BI29" i="24"/>
  <c r="BI27" i="24"/>
  <c r="BJ28" i="24"/>
  <c r="BZ115" i="24" l="1"/>
  <c r="BZ29" i="19"/>
  <c r="CA28" i="19"/>
  <c r="BZ92" i="19"/>
  <c r="BZ108" i="19"/>
  <c r="BZ114" i="19"/>
  <c r="BZ27" i="19"/>
  <c r="BJ29" i="24"/>
  <c r="BJ27" i="24"/>
  <c r="BK28" i="24"/>
  <c r="CA115" i="24" l="1"/>
  <c r="CA92" i="19"/>
  <c r="CA108" i="19"/>
  <c r="CA114" i="19"/>
  <c r="CB28" i="19"/>
  <c r="CA29" i="19"/>
  <c r="CA27" i="19"/>
  <c r="BK27" i="24"/>
  <c r="BL28" i="24"/>
  <c r="BK29" i="24"/>
  <c r="CB115" i="24" l="1"/>
  <c r="CC28" i="19"/>
  <c r="CB27" i="19"/>
  <c r="CB29" i="19"/>
  <c r="CB92" i="19"/>
  <c r="CB108" i="19"/>
  <c r="CB114" i="19"/>
  <c r="BM28" i="24"/>
  <c r="BL29" i="24"/>
  <c r="BL27" i="24"/>
  <c r="CC115" i="24" l="1"/>
  <c r="CC29" i="19"/>
  <c r="CD28" i="19"/>
  <c r="CC92" i="19"/>
  <c r="CC108" i="19"/>
  <c r="CC114" i="19"/>
  <c r="CC27" i="19"/>
  <c r="BN28" i="24"/>
  <c r="BM27" i="24"/>
  <c r="BM29" i="24"/>
  <c r="CD115" i="24" l="1"/>
  <c r="CD29" i="19"/>
  <c r="CD35" i="19"/>
  <c r="CD38" i="19" s="1"/>
  <c r="CD92" i="19"/>
  <c r="CD108" i="19"/>
  <c r="CD114" i="19"/>
  <c r="CE28" i="19"/>
  <c r="CD27" i="19"/>
  <c r="CD33" i="19" s="1"/>
  <c r="BN29" i="24"/>
  <c r="BN27" i="24"/>
  <c r="BO28" i="24"/>
  <c r="CE115" i="24" l="1"/>
  <c r="CE29" i="19"/>
  <c r="CF28" i="19"/>
  <c r="CE92" i="19"/>
  <c r="CE108" i="19"/>
  <c r="CE114" i="19"/>
  <c r="CE27" i="19"/>
  <c r="CE33" i="19" s="1"/>
  <c r="CE35" i="19" s="1"/>
  <c r="CE38" i="19" s="1"/>
  <c r="BO29" i="24"/>
  <c r="BO27" i="24"/>
  <c r="BP28" i="24"/>
  <c r="CF115" i="24" l="1"/>
  <c r="CF29" i="19"/>
  <c r="CF27" i="19"/>
  <c r="CF33" i="19" s="1"/>
  <c r="CF35" i="19" s="1"/>
  <c r="CF38" i="19" s="1"/>
  <c r="CG28" i="19"/>
  <c r="CF92" i="19"/>
  <c r="CF108" i="19"/>
  <c r="CF114" i="19"/>
  <c r="BP29" i="24"/>
  <c r="BP27" i="24"/>
  <c r="BQ28" i="24"/>
  <c r="CG115" i="24" l="1"/>
  <c r="CG29" i="19"/>
  <c r="CG92" i="19"/>
  <c r="CG108" i="19"/>
  <c r="CG114" i="19"/>
  <c r="CG27" i="19"/>
  <c r="CG33" i="19" s="1"/>
  <c r="CG35" i="19" s="1"/>
  <c r="CG38" i="19" s="1"/>
  <c r="CH28" i="19"/>
  <c r="BQ27" i="24"/>
  <c r="BQ29" i="24"/>
  <c r="BR28" i="24"/>
  <c r="CH115" i="24" l="1"/>
  <c r="CH29" i="19"/>
  <c r="CI28" i="19"/>
  <c r="CH27" i="19"/>
  <c r="CH33" i="19" s="1"/>
  <c r="CH35" i="19" s="1"/>
  <c r="CH38" i="19" s="1"/>
  <c r="CH92" i="19"/>
  <c r="CH108" i="19"/>
  <c r="CH114" i="19"/>
  <c r="BR29" i="24"/>
  <c r="BR27" i="24"/>
  <c r="BS28" i="24"/>
  <c r="CI115" i="24" l="1"/>
  <c r="CI29" i="19"/>
  <c r="CI92" i="19"/>
  <c r="CI108" i="19"/>
  <c r="CI114" i="19"/>
  <c r="CI27" i="19"/>
  <c r="CI33" i="19" s="1"/>
  <c r="CI35" i="19" s="1"/>
  <c r="CI38" i="19" s="1"/>
  <c r="CJ28" i="19"/>
  <c r="BS27" i="24"/>
  <c r="BT28" i="24"/>
  <c r="BS29" i="24"/>
  <c r="CJ115" i="24" l="1"/>
  <c r="CJ27" i="19"/>
  <c r="CJ33" i="19" s="1"/>
  <c r="CJ35" i="19" s="1"/>
  <c r="CJ38" i="19" s="1"/>
  <c r="CK28" i="19"/>
  <c r="CJ29" i="19"/>
  <c r="CJ92" i="19"/>
  <c r="CJ108" i="19"/>
  <c r="CJ114" i="19"/>
  <c r="BU28" i="24"/>
  <c r="BT29" i="24"/>
  <c r="BT27" i="24"/>
  <c r="CK115" i="24" l="1"/>
  <c r="CK92" i="19"/>
  <c r="CK108" i="19"/>
  <c r="CK114" i="19"/>
  <c r="CK27" i="19"/>
  <c r="CK33" i="19" s="1"/>
  <c r="CK35" i="19" s="1"/>
  <c r="CK38" i="19" s="1"/>
  <c r="CK29" i="19"/>
  <c r="CL28" i="19"/>
  <c r="BV28" i="24"/>
  <c r="BU29" i="24"/>
  <c r="BU27" i="24"/>
  <c r="CL115" i="24" l="1"/>
  <c r="CM28" i="19"/>
  <c r="CL29" i="19"/>
  <c r="CL27" i="19"/>
  <c r="CL33" i="19" s="1"/>
  <c r="CL92" i="19"/>
  <c r="CL108" i="19"/>
  <c r="CL114" i="19"/>
  <c r="CL35" i="19"/>
  <c r="CL38" i="19" s="1"/>
  <c r="BV29" i="24"/>
  <c r="BV27" i="24"/>
  <c r="BW28" i="24"/>
  <c r="CM115" i="24" l="1"/>
  <c r="CN28" i="19"/>
  <c r="CM29" i="19"/>
  <c r="CM92" i="19"/>
  <c r="CM108" i="19"/>
  <c r="CM114" i="19"/>
  <c r="CM27" i="19"/>
  <c r="CM33" i="19" s="1"/>
  <c r="CM35" i="19"/>
  <c r="CM38" i="19" s="1"/>
  <c r="BW29" i="24"/>
  <c r="BW27" i="24"/>
  <c r="BX28" i="24"/>
  <c r="CN115" i="24" l="1"/>
  <c r="CN92" i="19"/>
  <c r="CN108" i="19"/>
  <c r="CN114" i="19"/>
  <c r="CO28" i="19"/>
  <c r="CN29" i="19"/>
  <c r="CN27" i="19"/>
  <c r="CN33" i="19" s="1"/>
  <c r="CN35" i="19" s="1"/>
  <c r="CN38" i="19" s="1"/>
  <c r="BX29" i="24"/>
  <c r="BX27" i="24"/>
  <c r="BY28" i="24"/>
  <c r="CO115" i="24" l="1"/>
  <c r="CO29" i="19"/>
  <c r="CO92" i="19"/>
  <c r="CO108" i="19"/>
  <c r="CO114" i="19"/>
  <c r="CO27" i="19"/>
  <c r="CO33" i="19" s="1"/>
  <c r="CO35" i="19" s="1"/>
  <c r="BY29" i="24"/>
  <c r="BY27" i="24"/>
  <c r="BZ28" i="24"/>
  <c r="CO36" i="19" l="1"/>
  <c r="CO38" i="19"/>
  <c r="BZ29" i="24"/>
  <c r="BZ27" i="24"/>
  <c r="CA28" i="24"/>
  <c r="CA27" i="24" l="1"/>
  <c r="CA29" i="24"/>
  <c r="CB28" i="24"/>
  <c r="CC28" i="24" l="1"/>
  <c r="CB29" i="24"/>
  <c r="CB27" i="24"/>
  <c r="CD28" i="24" l="1"/>
  <c r="CC29" i="24"/>
  <c r="CC27" i="24"/>
  <c r="CD29" i="24" l="1"/>
  <c r="CE28" i="24"/>
  <c r="CD27" i="24"/>
  <c r="CE29" i="24" l="1"/>
  <c r="CE27" i="24"/>
  <c r="CF28" i="24"/>
  <c r="CF29" i="24" l="1"/>
  <c r="CF27" i="24"/>
  <c r="CG28" i="24"/>
  <c r="CG29" i="24" l="1"/>
  <c r="CG27" i="24"/>
  <c r="CH28" i="24"/>
  <c r="CH29" i="24" l="1"/>
  <c r="CH27" i="24"/>
  <c r="CI28" i="24"/>
  <c r="CI27" i="24" l="1"/>
  <c r="CJ28" i="24"/>
  <c r="CI29" i="24"/>
  <c r="CK28" i="24" l="1"/>
  <c r="CJ29" i="24"/>
  <c r="CJ27" i="24"/>
  <c r="CL28" i="24" l="1"/>
  <c r="CK27" i="24"/>
  <c r="CK29" i="24"/>
  <c r="CL29" i="24" l="1"/>
  <c r="CL27" i="24"/>
  <c r="CM28" i="24"/>
  <c r="CM29" i="24" l="1"/>
  <c r="CM27" i="24"/>
  <c r="CN28" i="24"/>
  <c r="CN29" i="24" l="1"/>
  <c r="CN27" i="24"/>
  <c r="CO28" i="24"/>
  <c r="CO27" i="24" l="1"/>
  <c r="CO29" i="24"/>
  <c r="B10" i="8" l="1"/>
  <c r="C14" i="8" l="1"/>
  <c r="B19" i="23" l="1"/>
  <c r="B18" i="23"/>
  <c r="B17" i="23"/>
  <c r="B28" i="23" l="1"/>
  <c r="B41" i="23"/>
  <c r="B29" i="23"/>
  <c r="B42" i="23"/>
  <c r="B30" i="23"/>
  <c r="B43" i="23"/>
  <c r="E4" i="23"/>
  <c r="Q13" i="22"/>
  <c r="Q12" i="22"/>
  <c r="Q11" i="22"/>
  <c r="Q9" i="22" s="1"/>
  <c r="C14" i="1" s="1"/>
  <c r="Q8" i="22"/>
  <c r="C18" i="22"/>
  <c r="D18" i="22" s="1"/>
  <c r="S13" i="22"/>
  <c r="S12" i="22"/>
  <c r="S11" i="22"/>
  <c r="T10" i="22"/>
  <c r="D9" i="22"/>
  <c r="E4" i="22" s="1"/>
  <c r="M52" i="19" l="1"/>
  <c r="M53" i="19" s="1"/>
  <c r="N52" i="19"/>
  <c r="N53" i="19" s="1"/>
  <c r="O52" i="19"/>
  <c r="O53" i="19" s="1"/>
  <c r="P52" i="19"/>
  <c r="P53" i="19" s="1"/>
  <c r="Q52" i="19"/>
  <c r="Q53" i="19" s="1"/>
  <c r="R52" i="19"/>
  <c r="R53" i="19" s="1"/>
  <c r="S52" i="19"/>
  <c r="S53" i="19" s="1"/>
  <c r="T52" i="19"/>
  <c r="T53" i="19" s="1"/>
  <c r="U52" i="19"/>
  <c r="U53" i="19" s="1"/>
  <c r="V52" i="19"/>
  <c r="V53" i="19" s="1"/>
  <c r="W52" i="19"/>
  <c r="W53" i="19" s="1"/>
  <c r="X52" i="19"/>
  <c r="X53" i="19" s="1"/>
  <c r="Y52" i="19"/>
  <c r="Y53" i="19" s="1"/>
  <c r="Z52" i="19"/>
  <c r="Z53" i="19" s="1"/>
  <c r="AA52" i="19"/>
  <c r="AA53" i="19" s="1"/>
  <c r="AB52" i="19"/>
  <c r="AB53" i="19" s="1"/>
  <c r="AC52" i="19"/>
  <c r="AC53" i="19" s="1"/>
  <c r="AD52" i="19"/>
  <c r="AD53" i="19" s="1"/>
  <c r="AE52" i="19"/>
  <c r="AE53" i="19" s="1"/>
  <c r="AF52" i="19"/>
  <c r="AF53" i="19" s="1"/>
  <c r="AG52" i="19"/>
  <c r="AG53" i="19" s="1"/>
  <c r="CO52" i="19"/>
  <c r="CO53" i="19" s="1"/>
  <c r="E4" i="8"/>
  <c r="G4" i="21"/>
  <c r="G4" i="25"/>
  <c r="K4" i="19"/>
  <c r="B53" i="23"/>
  <c r="B68" i="23"/>
  <c r="B78" i="23" s="1"/>
  <c r="B92" i="23" s="1"/>
  <c r="B52" i="23"/>
  <c r="B67" i="23"/>
  <c r="B51" i="23"/>
  <c r="B66" i="23"/>
  <c r="K4" i="24"/>
  <c r="L17" i="24"/>
  <c r="E3" i="22"/>
  <c r="E4" i="17"/>
  <c r="E12" i="22"/>
  <c r="E13" i="22"/>
  <c r="E11" i="22"/>
  <c r="F13" i="22"/>
  <c r="F11" i="22"/>
  <c r="F12" i="22"/>
  <c r="E18" i="22"/>
  <c r="B76" i="23" l="1"/>
  <c r="B90" i="23" s="1"/>
  <c r="B100" i="23" s="1"/>
  <c r="B77" i="23"/>
  <c r="B91" i="23" s="1"/>
  <c r="B101" i="23" s="1"/>
  <c r="B102" i="23"/>
  <c r="F9" i="22"/>
  <c r="D23" i="1" s="1"/>
  <c r="E9" i="22"/>
  <c r="C23" i="1" s="1"/>
  <c r="F18" i="22"/>
  <c r="G11" i="22"/>
  <c r="G13" i="22"/>
  <c r="G12" i="22"/>
  <c r="G9" i="22" l="1"/>
  <c r="E23" i="1" s="1"/>
  <c r="G18" i="22"/>
  <c r="H11" i="22"/>
  <c r="H12" i="22"/>
  <c r="H13" i="22"/>
  <c r="H9" i="22" l="1"/>
  <c r="F23" i="1" s="1"/>
  <c r="I11" i="22"/>
  <c r="I13" i="22"/>
  <c r="I12" i="22"/>
  <c r="H18" i="22"/>
  <c r="I9" i="22" l="1"/>
  <c r="G23" i="1" s="1"/>
  <c r="J13" i="22"/>
  <c r="I18" i="22"/>
  <c r="J12" i="22"/>
  <c r="J11" i="22"/>
  <c r="J9" i="22" l="1"/>
  <c r="H23" i="1" s="1"/>
  <c r="K13" i="22"/>
  <c r="K12" i="22"/>
  <c r="J18" i="22"/>
  <c r="L13" i="22" s="1"/>
  <c r="K11" i="22"/>
  <c r="K9" i="22" l="1"/>
  <c r="C27" i="1" s="1"/>
  <c r="L11" i="22"/>
  <c r="L9" i="22" s="1"/>
  <c r="D27" i="1" s="1"/>
  <c r="L12" i="22"/>
  <c r="K18" i="22"/>
  <c r="M13" i="22" s="1"/>
  <c r="M12" i="22" l="1"/>
  <c r="L18" i="22"/>
  <c r="N13" i="22" s="1"/>
  <c r="M11" i="22"/>
  <c r="M9" i="22" l="1"/>
  <c r="E27" i="1" s="1"/>
  <c r="N12" i="22"/>
  <c r="M18" i="22"/>
  <c r="O13" i="22" s="1"/>
  <c r="N11" i="22"/>
  <c r="N9" i="22" l="1"/>
  <c r="F27" i="1" s="1"/>
  <c r="N18" i="22"/>
  <c r="O11" i="22"/>
  <c r="O12" i="22"/>
  <c r="P13" i="22" l="1"/>
  <c r="P11" i="22"/>
  <c r="O9" i="22"/>
  <c r="G27" i="1" s="1"/>
  <c r="P9" i="22"/>
  <c r="H27" i="1" s="1"/>
  <c r="P12" i="22"/>
  <c r="L17" i="19" l="1"/>
  <c r="G93" i="19"/>
  <c r="G81" i="19"/>
  <c r="L10" i="19"/>
  <c r="L9" i="19"/>
  <c r="CO93" i="19" l="1"/>
  <c r="CO94" i="19" s="1"/>
  <c r="CN93" i="19"/>
  <c r="CN94" i="19" s="1"/>
  <c r="CM93" i="19"/>
  <c r="CM94" i="19" s="1"/>
  <c r="CL93" i="19"/>
  <c r="CL94" i="19" s="1"/>
  <c r="CK93" i="19"/>
  <c r="CK94" i="19" s="1"/>
  <c r="CJ93" i="19"/>
  <c r="CJ94" i="19" s="1"/>
  <c r="CI93" i="19"/>
  <c r="CI94" i="19" s="1"/>
  <c r="CH93" i="19"/>
  <c r="CH94" i="19" s="1"/>
  <c r="CG93" i="19"/>
  <c r="CG94" i="19" s="1"/>
  <c r="CF93" i="19"/>
  <c r="CF94" i="19" s="1"/>
  <c r="CE93" i="19"/>
  <c r="CE94" i="19" s="1"/>
  <c r="CD93" i="19"/>
  <c r="CD94" i="19" s="1"/>
  <c r="CC93" i="19"/>
  <c r="CC94" i="19" s="1"/>
  <c r="CB93" i="19"/>
  <c r="CB94" i="19" s="1"/>
  <c r="CA93" i="19"/>
  <c r="CA94" i="19" s="1"/>
  <c r="BZ93" i="19"/>
  <c r="BZ94" i="19" s="1"/>
  <c r="BY93" i="19"/>
  <c r="BY94" i="19" s="1"/>
  <c r="BX93" i="19"/>
  <c r="BX94" i="19" s="1"/>
  <c r="BW93" i="19"/>
  <c r="BW94" i="19" s="1"/>
  <c r="BV93" i="19"/>
  <c r="BV94" i="19" s="1"/>
  <c r="BU93" i="19"/>
  <c r="BU94" i="19" s="1"/>
  <c r="BT93" i="19"/>
  <c r="BT94" i="19" s="1"/>
  <c r="BS93" i="19"/>
  <c r="BS94" i="19" s="1"/>
  <c r="BR93" i="19"/>
  <c r="BR94" i="19" s="1"/>
  <c r="BQ93" i="19"/>
  <c r="BQ94" i="19" s="1"/>
  <c r="BP93" i="19"/>
  <c r="BP94" i="19" s="1"/>
  <c r="BO93" i="19"/>
  <c r="BO94" i="19" s="1"/>
  <c r="BN93" i="19"/>
  <c r="BN94" i="19" s="1"/>
  <c r="BM93" i="19"/>
  <c r="BM94" i="19" s="1"/>
  <c r="BL93" i="19"/>
  <c r="BL94" i="19" s="1"/>
  <c r="BK93" i="19"/>
  <c r="BK94" i="19" s="1"/>
  <c r="BJ93" i="19"/>
  <c r="BJ94" i="19" s="1"/>
  <c r="BI93" i="19"/>
  <c r="BI94" i="19" s="1"/>
  <c r="BH93" i="19"/>
  <c r="BH94" i="19" s="1"/>
  <c r="BG93" i="19"/>
  <c r="BG94" i="19" s="1"/>
  <c r="BF93" i="19"/>
  <c r="BF94" i="19" s="1"/>
  <c r="BE93" i="19"/>
  <c r="BE94" i="19" s="1"/>
  <c r="BD93" i="19"/>
  <c r="BD94" i="19" s="1"/>
  <c r="BC93" i="19"/>
  <c r="BC94" i="19" s="1"/>
  <c r="BB93" i="19"/>
  <c r="BB94" i="19" s="1"/>
  <c r="BA93" i="19"/>
  <c r="BA94" i="19" s="1"/>
  <c r="AZ93" i="19"/>
  <c r="AZ94" i="19" s="1"/>
  <c r="AY93" i="19"/>
  <c r="AY94" i="19" s="1"/>
  <c r="AX93" i="19"/>
  <c r="AX94" i="19" s="1"/>
  <c r="AW93" i="19"/>
  <c r="AW94" i="19" s="1"/>
  <c r="AV93" i="19"/>
  <c r="AV94" i="19" s="1"/>
  <c r="AU93" i="19"/>
  <c r="AU94" i="19" s="1"/>
  <c r="AT93" i="19"/>
  <c r="AT94" i="19" s="1"/>
  <c r="AS93" i="19"/>
  <c r="AS94" i="19" s="1"/>
  <c r="AR93" i="19"/>
  <c r="AR94" i="19" s="1"/>
  <c r="AQ93" i="19"/>
  <c r="AQ94" i="19" s="1"/>
  <c r="AP93" i="19"/>
  <c r="AP94" i="19" s="1"/>
  <c r="AO93" i="19"/>
  <c r="AO94" i="19" s="1"/>
  <c r="AN93" i="19"/>
  <c r="AN94" i="19" s="1"/>
  <c r="AM93" i="19"/>
  <c r="AM94" i="19" s="1"/>
  <c r="AL93" i="19"/>
  <c r="AL94" i="19" s="1"/>
  <c r="AK93" i="19"/>
  <c r="AK94" i="19" s="1"/>
  <c r="AJ93" i="19"/>
  <c r="AJ94" i="19" s="1"/>
  <c r="AI93" i="19"/>
  <c r="AI94" i="19" s="1"/>
  <c r="AH93" i="19"/>
  <c r="AH94" i="19" s="1"/>
  <c r="AG93" i="19"/>
  <c r="AG94" i="19" s="1"/>
  <c r="AF93" i="19"/>
  <c r="AF94" i="19" s="1"/>
  <c r="AE93" i="19"/>
  <c r="AE94" i="19" s="1"/>
  <c r="AD93" i="19"/>
  <c r="AD94" i="19" s="1"/>
  <c r="AC93" i="19"/>
  <c r="AC94" i="19" s="1"/>
  <c r="AB93" i="19"/>
  <c r="AB94" i="19" s="1"/>
  <c r="AA93" i="19"/>
  <c r="AA94" i="19" s="1"/>
  <c r="Z93" i="19"/>
  <c r="Z94" i="19" s="1"/>
  <c r="Y93" i="19"/>
  <c r="Y94" i="19" s="1"/>
  <c r="X93" i="19"/>
  <c r="X94" i="19" s="1"/>
  <c r="W93" i="19"/>
  <c r="W94" i="19" s="1"/>
  <c r="V93" i="19"/>
  <c r="V94" i="19" s="1"/>
  <c r="U93" i="19"/>
  <c r="U94" i="19" s="1"/>
  <c r="T93" i="19"/>
  <c r="T94" i="19" s="1"/>
  <c r="S93" i="19"/>
  <c r="S94" i="19" s="1"/>
  <c r="R93" i="19"/>
  <c r="R94" i="19" s="1"/>
  <c r="Q93" i="19"/>
  <c r="Q94" i="19" s="1"/>
  <c r="P93" i="19"/>
  <c r="P94" i="19" s="1"/>
  <c r="O93" i="19"/>
  <c r="O94" i="19" s="1"/>
  <c r="N93" i="19"/>
  <c r="N94" i="19" s="1"/>
  <c r="M93" i="19"/>
  <c r="M94" i="19" s="1"/>
  <c r="H14" i="19"/>
  <c r="I11" i="21"/>
  <c r="H11" i="21" s="1"/>
  <c r="I12" i="21"/>
  <c r="I13" i="21"/>
  <c r="B105" i="21" s="1"/>
  <c r="H10" i="21"/>
  <c r="D9" i="18"/>
  <c r="H9" i="18" s="1"/>
  <c r="I13" i="19"/>
  <c r="I9" i="19"/>
  <c r="H18" i="19"/>
  <c r="H20" i="19" s="1"/>
  <c r="V17" i="24" s="1"/>
  <c r="U17" i="24" s="1"/>
  <c r="V19" i="24" s="1"/>
  <c r="I100" i="19"/>
  <c r="I106" i="19" s="1"/>
  <c r="I80" i="19"/>
  <c r="I81" i="19" s="1"/>
  <c r="L18" i="19"/>
  <c r="Q35" i="18"/>
  <c r="E35" i="18"/>
  <c r="E7" i="18"/>
  <c r="E36" i="18" s="1"/>
  <c r="C9" i="20" s="1"/>
  <c r="D9" i="20" s="1"/>
  <c r="E9" i="20" s="1"/>
  <c r="F9" i="20" s="1"/>
  <c r="G9" i="20" s="1"/>
  <c r="H9" i="20" s="1"/>
  <c r="I9" i="20" s="1"/>
  <c r="J9" i="20" s="1"/>
  <c r="K9" i="20" s="1"/>
  <c r="L9" i="20" s="1"/>
  <c r="M9" i="20" s="1"/>
  <c r="N9" i="20" s="1"/>
  <c r="O9" i="20" s="1"/>
  <c r="P9" i="20" s="1"/>
  <c r="Q9" i="20" s="1"/>
  <c r="R9" i="20" s="1"/>
  <c r="S9" i="20" s="1"/>
  <c r="T9" i="20" s="1"/>
  <c r="U9" i="20" s="1"/>
  <c r="V9" i="20" s="1"/>
  <c r="W9" i="20" s="1"/>
  <c r="X9" i="20" s="1"/>
  <c r="Y9" i="20" s="1"/>
  <c r="Z9" i="20" s="1"/>
  <c r="AA9" i="20" s="1"/>
  <c r="AB9" i="20" s="1"/>
  <c r="AC9" i="20" s="1"/>
  <c r="AD9" i="20" s="1"/>
  <c r="AE9" i="20" s="1"/>
  <c r="AF9" i="20" s="1"/>
  <c r="AG9" i="20" s="1"/>
  <c r="AH9" i="20" s="1"/>
  <c r="AI9" i="20" s="1"/>
  <c r="AJ9" i="20" s="1"/>
  <c r="AK9" i="20" s="1"/>
  <c r="AL9" i="20" s="1"/>
  <c r="AM9" i="20" s="1"/>
  <c r="AN9" i="20" s="1"/>
  <c r="AO9" i="20" s="1"/>
  <c r="AP9" i="20" s="1"/>
  <c r="AQ9" i="20" s="1"/>
  <c r="AR9" i="20" s="1"/>
  <c r="AS9" i="20" s="1"/>
  <c r="AT9" i="20" s="1"/>
  <c r="AU9" i="20" s="1"/>
  <c r="AV9" i="20" s="1"/>
  <c r="AW9" i="20" s="1"/>
  <c r="AX9" i="20" s="1"/>
  <c r="AY9" i="20" s="1"/>
  <c r="AZ9" i="20" s="1"/>
  <c r="BA9" i="20" s="1"/>
  <c r="BB9" i="20" s="1"/>
  <c r="BC9" i="20" s="1"/>
  <c r="BD9" i="20" s="1"/>
  <c r="BE9" i="20" s="1"/>
  <c r="BF9" i="20" s="1"/>
  <c r="BG9" i="20" s="1"/>
  <c r="BH9" i="20" s="1"/>
  <c r="BI9" i="20" s="1"/>
  <c r="BJ9" i="20" s="1"/>
  <c r="BK9" i="20" s="1"/>
  <c r="BL9" i="20" s="1"/>
  <c r="BM9" i="20" s="1"/>
  <c r="BN9" i="20" s="1"/>
  <c r="BO9" i="20" s="1"/>
  <c r="BP9" i="20" s="1"/>
  <c r="BQ9" i="20" s="1"/>
  <c r="BR9" i="20" s="1"/>
  <c r="BS9" i="20" s="1"/>
  <c r="BT9" i="20" s="1"/>
  <c r="BU9" i="20" s="1"/>
  <c r="BV9" i="20" s="1"/>
  <c r="BW9" i="20" s="1"/>
  <c r="BX9" i="20" s="1"/>
  <c r="BY9" i="20" s="1"/>
  <c r="BZ9" i="20" s="1"/>
  <c r="CA9" i="20" s="1"/>
  <c r="CB9" i="20" s="1"/>
  <c r="CC9" i="20" s="1"/>
  <c r="CD9" i="20" s="1"/>
  <c r="CE9" i="20" s="1"/>
  <c r="CF9" i="20" s="1"/>
  <c r="CG9" i="20" s="1"/>
  <c r="CH9" i="20" s="1"/>
  <c r="CI9" i="20" s="1"/>
  <c r="CJ9" i="20" s="1"/>
  <c r="CK9" i="20" s="1"/>
  <c r="CL9" i="20" s="1"/>
  <c r="CM9" i="20" s="1"/>
  <c r="CN9" i="20" s="1"/>
  <c r="CO9" i="20" s="1"/>
  <c r="CP9" i="20" s="1"/>
  <c r="CQ9" i="20" s="1"/>
  <c r="CR9" i="20" s="1"/>
  <c r="CS9" i="20" s="1"/>
  <c r="CT9" i="20" s="1"/>
  <c r="CU9" i="20" s="1"/>
  <c r="CV9" i="20" s="1"/>
  <c r="CW9" i="20" s="1"/>
  <c r="CX9" i="20" s="1"/>
  <c r="CY9" i="20" s="1"/>
  <c r="CZ9" i="20" s="1"/>
  <c r="DA9" i="20" s="1"/>
  <c r="DB9" i="20" s="1"/>
  <c r="DC9" i="20" s="1"/>
  <c r="DD9" i="20" s="1"/>
  <c r="DE9" i="20" s="1"/>
  <c r="DF9" i="20" s="1"/>
  <c r="DG9" i="20" s="1"/>
  <c r="DH9" i="20" s="1"/>
  <c r="DI9" i="20" s="1"/>
  <c r="DJ9" i="20" s="1"/>
  <c r="DK9" i="20" s="1"/>
  <c r="DL9" i="20" s="1"/>
  <c r="DM9" i="20" s="1"/>
  <c r="DN9" i="20" s="1"/>
  <c r="DO9" i="20" s="1"/>
  <c r="DP9" i="20" s="1"/>
  <c r="DQ9" i="20" s="1"/>
  <c r="DR9" i="20" s="1"/>
  <c r="DS9" i="20" s="1"/>
  <c r="D54" i="18"/>
  <c r="D53" i="18"/>
  <c r="H51" i="18"/>
  <c r="G51" i="18"/>
  <c r="F51" i="18"/>
  <c r="E51" i="18"/>
  <c r="AC50" i="18"/>
  <c r="AB50" i="18"/>
  <c r="AA50" i="18"/>
  <c r="Z50" i="18"/>
  <c r="R49" i="18"/>
  <c r="Q49" i="18"/>
  <c r="P49" i="18"/>
  <c r="O49" i="18"/>
  <c r="N49" i="18"/>
  <c r="M49" i="18"/>
  <c r="L49" i="18"/>
  <c r="K49" i="18"/>
  <c r="J49" i="18"/>
  <c r="T48" i="18"/>
  <c r="S48" i="18"/>
  <c r="R48" i="18"/>
  <c r="Q48" i="18"/>
  <c r="P48" i="18"/>
  <c r="O48" i="18"/>
  <c r="N48" i="18"/>
  <c r="M48" i="18"/>
  <c r="L48" i="18"/>
  <c r="Z47" i="18"/>
  <c r="Y47" i="18"/>
  <c r="X47" i="18"/>
  <c r="W47" i="18"/>
  <c r="V47" i="18"/>
  <c r="U47" i="18"/>
  <c r="T47" i="18"/>
  <c r="S47" i="18"/>
  <c r="R47" i="18"/>
  <c r="AB46" i="18"/>
  <c r="AA46" i="18"/>
  <c r="Z46" i="18"/>
  <c r="Y46" i="18"/>
  <c r="X46" i="18"/>
  <c r="W46" i="18"/>
  <c r="V46" i="18"/>
  <c r="U46" i="18"/>
  <c r="T46" i="18"/>
  <c r="S46" i="18"/>
  <c r="R46" i="18"/>
  <c r="Q46" i="18"/>
  <c r="P46" i="18"/>
  <c r="O46" i="18"/>
  <c r="N46" i="18"/>
  <c r="M46" i="18"/>
  <c r="L46" i="18"/>
  <c r="K46" i="18"/>
  <c r="H45" i="18"/>
  <c r="G45" i="18"/>
  <c r="F45" i="18"/>
  <c r="E45" i="18"/>
  <c r="D44" i="18"/>
  <c r="D42" i="18"/>
  <c r="D41" i="18"/>
  <c r="D40" i="18"/>
  <c r="AC39" i="18"/>
  <c r="AB39" i="18"/>
  <c r="AA39" i="18"/>
  <c r="Z39" i="18"/>
  <c r="Y39" i="18"/>
  <c r="X39" i="18"/>
  <c r="W39" i="18"/>
  <c r="V39" i="18"/>
  <c r="U39" i="18"/>
  <c r="T39" i="18"/>
  <c r="S39" i="18"/>
  <c r="R39" i="18"/>
  <c r="Q39" i="18"/>
  <c r="P39" i="18"/>
  <c r="O39" i="18"/>
  <c r="N39" i="18"/>
  <c r="M39" i="18"/>
  <c r="L39" i="18"/>
  <c r="K39" i="18"/>
  <c r="J39" i="18"/>
  <c r="I39" i="18"/>
  <c r="H39" i="18"/>
  <c r="G39" i="18"/>
  <c r="F39" i="18"/>
  <c r="D38" i="18"/>
  <c r="D37" i="18"/>
  <c r="AF40" i="19" l="1"/>
  <c r="M40" i="19"/>
  <c r="N40" i="19"/>
  <c r="O40" i="19"/>
  <c r="P40" i="19"/>
  <c r="Q40" i="19"/>
  <c r="R40" i="19"/>
  <c r="S40" i="19"/>
  <c r="T40" i="19"/>
  <c r="U40" i="19"/>
  <c r="V40" i="19"/>
  <c r="W40" i="19"/>
  <c r="X40" i="19"/>
  <c r="Y40" i="19"/>
  <c r="Z40" i="19"/>
  <c r="AA40" i="19"/>
  <c r="AB40" i="19"/>
  <c r="AC40" i="19"/>
  <c r="AD40" i="19"/>
  <c r="AE40" i="19"/>
  <c r="AZ40" i="19"/>
  <c r="AG40" i="19"/>
  <c r="AH40" i="19"/>
  <c r="AI40" i="19"/>
  <c r="AJ40" i="19"/>
  <c r="AK40" i="19"/>
  <c r="AL40" i="19"/>
  <c r="AM40" i="19"/>
  <c r="AN40" i="19"/>
  <c r="AO40" i="19"/>
  <c r="AP40" i="19"/>
  <c r="AQ40" i="19"/>
  <c r="AR40" i="19"/>
  <c r="AS40" i="19"/>
  <c r="AT40" i="19"/>
  <c r="AU40" i="19"/>
  <c r="AV40" i="19"/>
  <c r="AW40" i="19"/>
  <c r="AX40" i="19"/>
  <c r="AY40" i="19"/>
  <c r="CO40" i="19"/>
  <c r="BA40" i="19"/>
  <c r="BB40" i="19"/>
  <c r="BC40" i="19"/>
  <c r="BD40" i="19"/>
  <c r="BE40" i="19"/>
  <c r="BF40" i="19"/>
  <c r="BG40" i="19"/>
  <c r="BH40" i="19"/>
  <c r="BI40" i="19"/>
  <c r="BJ40" i="19"/>
  <c r="BK40" i="19"/>
  <c r="BL40" i="19"/>
  <c r="BM40" i="19"/>
  <c r="BN40" i="19"/>
  <c r="BO40" i="19"/>
  <c r="BP40" i="19"/>
  <c r="BQ40" i="19"/>
  <c r="BR40" i="19"/>
  <c r="BS40" i="19"/>
  <c r="BT40" i="19"/>
  <c r="BU40" i="19"/>
  <c r="BV40" i="19"/>
  <c r="BW40" i="19"/>
  <c r="BX40" i="19"/>
  <c r="BY40" i="19"/>
  <c r="BZ40" i="19"/>
  <c r="CA40" i="19"/>
  <c r="CB40" i="19"/>
  <c r="CC40" i="19"/>
  <c r="CD40" i="19"/>
  <c r="CE40" i="19"/>
  <c r="CF40" i="19"/>
  <c r="CG40" i="19"/>
  <c r="CH40" i="19"/>
  <c r="CI40" i="19"/>
  <c r="CJ40" i="19"/>
  <c r="CK40" i="19"/>
  <c r="CL40" i="19"/>
  <c r="CM40" i="19"/>
  <c r="CN40" i="19"/>
  <c r="F12" i="21"/>
  <c r="F11" i="21"/>
  <c r="I28" i="19"/>
  <c r="F13" i="21"/>
  <c r="H13" i="21"/>
  <c r="B104" i="21" s="1"/>
  <c r="H12" i="21"/>
  <c r="I93" i="19"/>
  <c r="J93" i="19"/>
  <c r="K93" i="19"/>
  <c r="L93" i="19"/>
  <c r="AC9" i="18"/>
  <c r="Y9" i="18"/>
  <c r="R9" i="18"/>
  <c r="I9" i="18"/>
  <c r="E9" i="18"/>
  <c r="Q9" i="18"/>
  <c r="M9" i="18"/>
  <c r="Z9" i="18"/>
  <c r="J9" i="18"/>
  <c r="U9" i="18"/>
  <c r="W9" i="18"/>
  <c r="O9" i="18"/>
  <c r="G9" i="18"/>
  <c r="V9" i="18"/>
  <c r="N9" i="18"/>
  <c r="F9" i="18"/>
  <c r="AB9" i="18"/>
  <c r="T9" i="18"/>
  <c r="L9" i="18"/>
  <c r="AA9" i="18"/>
  <c r="S9" i="18"/>
  <c r="K9" i="18"/>
  <c r="X9" i="18"/>
  <c r="P9" i="18"/>
  <c r="D48" i="18"/>
  <c r="D51" i="18"/>
  <c r="D47" i="18"/>
  <c r="D49" i="18"/>
  <c r="D39" i="18"/>
  <c r="D46" i="18"/>
  <c r="D50" i="18"/>
  <c r="F7" i="18"/>
  <c r="F36" i="18" s="1"/>
  <c r="D45" i="18"/>
  <c r="F14" i="1"/>
  <c r="AF60" i="19" l="1"/>
  <c r="M60" i="19"/>
  <c r="N60" i="19"/>
  <c r="O60" i="19"/>
  <c r="P60" i="19"/>
  <c r="Q60" i="19"/>
  <c r="R60" i="19"/>
  <c r="S60" i="19"/>
  <c r="T60" i="19"/>
  <c r="U60" i="19"/>
  <c r="V60" i="19"/>
  <c r="W60" i="19"/>
  <c r="X60" i="19"/>
  <c r="Y60" i="19"/>
  <c r="Z60" i="19"/>
  <c r="AA60" i="19"/>
  <c r="AB60" i="19"/>
  <c r="AC60" i="19"/>
  <c r="AD60" i="19"/>
  <c r="AE60" i="19"/>
  <c r="AZ60" i="19"/>
  <c r="AG60" i="19"/>
  <c r="AH60" i="19"/>
  <c r="AI60" i="19"/>
  <c r="AJ60" i="19"/>
  <c r="AK60" i="19"/>
  <c r="AL60" i="19"/>
  <c r="AM60" i="19"/>
  <c r="AN60" i="19"/>
  <c r="AO60" i="19"/>
  <c r="AP60" i="19"/>
  <c r="AQ60" i="19"/>
  <c r="AR60" i="19"/>
  <c r="AS60" i="19"/>
  <c r="AT60" i="19"/>
  <c r="AU60" i="19"/>
  <c r="AV60" i="19"/>
  <c r="AW60" i="19"/>
  <c r="AX60" i="19"/>
  <c r="AY60" i="19"/>
  <c r="CO60" i="19"/>
  <c r="BA60" i="19"/>
  <c r="BB60" i="19"/>
  <c r="BC60" i="19"/>
  <c r="BD60" i="19"/>
  <c r="BE60" i="19"/>
  <c r="BF60" i="19"/>
  <c r="BG60" i="19"/>
  <c r="BH60" i="19"/>
  <c r="BI60" i="19"/>
  <c r="BJ60" i="19"/>
  <c r="BK60" i="19"/>
  <c r="BL60" i="19"/>
  <c r="BM60" i="19"/>
  <c r="BN60" i="19"/>
  <c r="BO60" i="19"/>
  <c r="BP60" i="19"/>
  <c r="BQ60" i="19"/>
  <c r="BR60" i="19"/>
  <c r="BS60" i="19"/>
  <c r="BT60" i="19"/>
  <c r="BU60" i="19"/>
  <c r="BV60" i="19"/>
  <c r="BW60" i="19"/>
  <c r="BX60" i="19"/>
  <c r="BY60" i="19"/>
  <c r="BZ60" i="19"/>
  <c r="CA60" i="19"/>
  <c r="CB60" i="19"/>
  <c r="CC60" i="19"/>
  <c r="CD60" i="19"/>
  <c r="CE60" i="19"/>
  <c r="CF60" i="19"/>
  <c r="CG60" i="19"/>
  <c r="CH60" i="19"/>
  <c r="CI60" i="19"/>
  <c r="CJ60" i="19"/>
  <c r="CK60" i="19"/>
  <c r="CL60" i="19"/>
  <c r="CM60" i="19"/>
  <c r="CN60" i="19"/>
  <c r="I114" i="19"/>
  <c r="E18" i="25"/>
  <c r="I40" i="24"/>
  <c r="I109" i="24"/>
  <c r="E18" i="21"/>
  <c r="I40" i="19"/>
  <c r="I60" i="19" s="1"/>
  <c r="I92" i="19"/>
  <c r="I94" i="19" s="1"/>
  <c r="I96" i="19" s="1"/>
  <c r="I14" i="19"/>
  <c r="I27" i="19"/>
  <c r="J28" i="19"/>
  <c r="G7" i="18"/>
  <c r="H7" i="18" s="1"/>
  <c r="F13" i="1"/>
  <c r="F9" i="1"/>
  <c r="I60" i="24" l="1"/>
  <c r="J109" i="24"/>
  <c r="J40" i="24"/>
  <c r="J60" i="24" s="1"/>
  <c r="E17" i="25"/>
  <c r="F18" i="25"/>
  <c r="I45" i="24"/>
  <c r="J108" i="19"/>
  <c r="I108" i="19"/>
  <c r="E17" i="21"/>
  <c r="F18" i="21"/>
  <c r="J114" i="19"/>
  <c r="J40" i="19"/>
  <c r="J60" i="19" s="1"/>
  <c r="J92" i="19"/>
  <c r="J94" i="19" s="1"/>
  <c r="J29" i="19"/>
  <c r="J27" i="19"/>
  <c r="K28" i="19"/>
  <c r="G36" i="18"/>
  <c r="I7" i="18"/>
  <c r="H36" i="18"/>
  <c r="B14" i="8"/>
  <c r="H10" i="17" a="1"/>
  <c r="H10" i="17" s="1"/>
  <c r="G10" i="17" a="1"/>
  <c r="G10" i="17" s="1"/>
  <c r="F10" i="17" a="1"/>
  <c r="F10" i="17" s="1"/>
  <c r="E10" i="17" a="1"/>
  <c r="E10" i="17" s="1"/>
  <c r="D10" i="17" a="1"/>
  <c r="D10" i="17" s="1"/>
  <c r="C10" i="17" a="1"/>
  <c r="C10" i="17" s="1"/>
  <c r="H22" i="17"/>
  <c r="G22" i="17"/>
  <c r="F22" i="17"/>
  <c r="E22" i="17"/>
  <c r="D22" i="17"/>
  <c r="C22" i="17"/>
  <c r="H21" i="17"/>
  <c r="G21" i="17"/>
  <c r="F21" i="17"/>
  <c r="E21" i="17"/>
  <c r="D21" i="17"/>
  <c r="C21" i="17"/>
  <c r="H20" i="17"/>
  <c r="G20" i="17"/>
  <c r="F20" i="17"/>
  <c r="E20" i="17"/>
  <c r="D20" i="17"/>
  <c r="C20" i="17"/>
  <c r="H14" i="17"/>
  <c r="G14" i="17"/>
  <c r="F14" i="17"/>
  <c r="E14" i="17"/>
  <c r="D14" i="17"/>
  <c r="C14" i="17"/>
  <c r="H13" i="17"/>
  <c r="G13" i="17"/>
  <c r="F13" i="17"/>
  <c r="E13" i="17"/>
  <c r="D13" i="17"/>
  <c r="C13" i="17"/>
  <c r="D9" i="17"/>
  <c r="E9" i="17" s="1"/>
  <c r="J83" i="1"/>
  <c r="J80" i="1"/>
  <c r="J79" i="1"/>
  <c r="J78" i="1"/>
  <c r="J74" i="1"/>
  <c r="J73" i="1"/>
  <c r="J72" i="1"/>
  <c r="J71" i="1"/>
  <c r="J70" i="1"/>
  <c r="J69" i="1"/>
  <c r="J68" i="1"/>
  <c r="J63" i="1"/>
  <c r="J62" i="1"/>
  <c r="J61" i="1"/>
  <c r="I45" i="19" l="1"/>
  <c r="K109" i="24"/>
  <c r="K40" i="24"/>
  <c r="K60" i="24" s="1"/>
  <c r="G18" i="25"/>
  <c r="F17" i="25"/>
  <c r="F19" i="25"/>
  <c r="K108" i="19"/>
  <c r="K114" i="19"/>
  <c r="K40" i="19"/>
  <c r="F19" i="21"/>
  <c r="G18" i="21"/>
  <c r="F17" i="21"/>
  <c r="K92" i="19"/>
  <c r="K94" i="19" s="1"/>
  <c r="K29" i="19"/>
  <c r="L28" i="19"/>
  <c r="K27" i="19"/>
  <c r="J7" i="18"/>
  <c r="I36" i="18"/>
  <c r="H23" i="17"/>
  <c r="E15" i="17"/>
  <c r="E17" i="17" s="1"/>
  <c r="E27" i="17" s="1"/>
  <c r="G15" i="17"/>
  <c r="G17" i="17" s="1"/>
  <c r="G27" i="17" s="1"/>
  <c r="F15" i="17"/>
  <c r="F17" i="17" s="1"/>
  <c r="F27" i="17" s="1"/>
  <c r="H15" i="17"/>
  <c r="H17" i="17" s="1"/>
  <c r="D15" i="17"/>
  <c r="D18" i="17" s="1"/>
  <c r="D28" i="17" s="1"/>
  <c r="E23" i="17"/>
  <c r="G23" i="17"/>
  <c r="C15" i="17"/>
  <c r="C18" i="17" s="1"/>
  <c r="C28" i="17" s="1"/>
  <c r="D23" i="17"/>
  <c r="F23" i="17"/>
  <c r="F9" i="17"/>
  <c r="G19" i="25" l="1"/>
  <c r="H18" i="25"/>
  <c r="G17" i="25"/>
  <c r="L109" i="24"/>
  <c r="L40" i="24"/>
  <c r="L60" i="24" s="1"/>
  <c r="L108" i="19"/>
  <c r="H18" i="21"/>
  <c r="G19" i="21"/>
  <c r="G17" i="21"/>
  <c r="L114" i="19"/>
  <c r="L40" i="19"/>
  <c r="L60" i="19" s="1"/>
  <c r="L92" i="19"/>
  <c r="L94" i="19" s="1"/>
  <c r="K60" i="19"/>
  <c r="L29" i="19"/>
  <c r="L27" i="19"/>
  <c r="J36" i="18"/>
  <c r="K7" i="18"/>
  <c r="F18" i="17"/>
  <c r="F28" i="17" s="1"/>
  <c r="F26" i="17" s="1"/>
  <c r="D17" i="17"/>
  <c r="D27" i="17" s="1"/>
  <c r="D26" i="17" s="1"/>
  <c r="H18" i="17"/>
  <c r="H28" i="17" s="1"/>
  <c r="C17" i="17"/>
  <c r="C27" i="17" s="1"/>
  <c r="C26" i="17" s="1"/>
  <c r="E18" i="17"/>
  <c r="E28" i="17" s="1"/>
  <c r="E26" i="17" s="1"/>
  <c r="G18" i="17"/>
  <c r="G28" i="17" s="1"/>
  <c r="G26" i="17" s="1"/>
  <c r="H27" i="17"/>
  <c r="G9" i="17"/>
  <c r="M109" i="24" l="1"/>
  <c r="M40" i="24"/>
  <c r="H19" i="25"/>
  <c r="I18" i="25"/>
  <c r="H17" i="25"/>
  <c r="H17" i="21"/>
  <c r="H19" i="21"/>
  <c r="I18" i="21"/>
  <c r="K36" i="18"/>
  <c r="L7" i="18"/>
  <c r="F12" i="17"/>
  <c r="X12" i="17" s="1"/>
  <c r="T26" i="17"/>
  <c r="P26" i="17"/>
  <c r="AB26" i="17"/>
  <c r="L26" i="17"/>
  <c r="X26" i="17"/>
  <c r="C62" i="1"/>
  <c r="F16" i="17"/>
  <c r="F19" i="17" s="1"/>
  <c r="F24" i="17" s="1"/>
  <c r="H26" i="17"/>
  <c r="G12" i="17"/>
  <c r="D12" i="17"/>
  <c r="D16" i="17"/>
  <c r="D19" i="17" s="1"/>
  <c r="D24" i="17" s="1"/>
  <c r="H16" i="17"/>
  <c r="H19" i="17" s="1"/>
  <c r="H24" i="17" s="1"/>
  <c r="H12" i="17"/>
  <c r="C12" i="17"/>
  <c r="G16" i="17"/>
  <c r="G19" i="17" s="1"/>
  <c r="G24" i="17" s="1"/>
  <c r="C16" i="17"/>
  <c r="C19" i="17" s="1"/>
  <c r="C24" i="17" s="1"/>
  <c r="E12" i="17"/>
  <c r="E16" i="17"/>
  <c r="E19" i="17" s="1"/>
  <c r="E24" i="17" s="1"/>
  <c r="H9" i="17"/>
  <c r="I17" i="25" l="1"/>
  <c r="J18" i="25"/>
  <c r="I19" i="25"/>
  <c r="M60" i="24"/>
  <c r="N109" i="24"/>
  <c r="N40" i="24"/>
  <c r="N60" i="24" s="1"/>
  <c r="I17" i="21"/>
  <c r="J18" i="21"/>
  <c r="I19" i="21"/>
  <c r="L36" i="18"/>
  <c r="M7" i="18"/>
  <c r="Y26" i="17"/>
  <c r="F29" i="17"/>
  <c r="Y29" i="17" s="1"/>
  <c r="AC26" i="17"/>
  <c r="G25" i="17"/>
  <c r="Q26" i="17"/>
  <c r="Q12" i="17"/>
  <c r="P12" i="17"/>
  <c r="AC12" i="17"/>
  <c r="AB12" i="17"/>
  <c r="AG26" i="17"/>
  <c r="AF26" i="17"/>
  <c r="M26" i="17"/>
  <c r="M12" i="17"/>
  <c r="L12" i="17"/>
  <c r="U26" i="17"/>
  <c r="Y12" i="17"/>
  <c r="U12" i="17"/>
  <c r="T12" i="17"/>
  <c r="AF12" i="17"/>
  <c r="AG12" i="17"/>
  <c r="H29" i="17"/>
  <c r="G29" i="17"/>
  <c r="E29" i="17"/>
  <c r="D29" i="17"/>
  <c r="C61" i="1"/>
  <c r="E25" i="17"/>
  <c r="H25" i="17"/>
  <c r="D25" i="17"/>
  <c r="C29" i="17"/>
  <c r="F25" i="17"/>
  <c r="O109" i="24" l="1"/>
  <c r="O40" i="24"/>
  <c r="J17" i="25"/>
  <c r="J19" i="25"/>
  <c r="K18" i="25"/>
  <c r="J17" i="21"/>
  <c r="K18" i="21"/>
  <c r="J19" i="21"/>
  <c r="M36" i="18"/>
  <c r="N7" i="18"/>
  <c r="X29" i="17"/>
  <c r="F31" i="17"/>
  <c r="F33" i="17" s="1"/>
  <c r="AC29" i="17"/>
  <c r="AB29" i="17"/>
  <c r="Q29" i="17"/>
  <c r="P29" i="17"/>
  <c r="U29" i="17"/>
  <c r="T29" i="17"/>
  <c r="M29" i="17"/>
  <c r="L29" i="17"/>
  <c r="AF29" i="17"/>
  <c r="AG29" i="17"/>
  <c r="D31" i="17"/>
  <c r="O29" i="17" s="1"/>
  <c r="G31" i="17"/>
  <c r="E31" i="17"/>
  <c r="S29" i="17" s="1"/>
  <c r="C31" i="17"/>
  <c r="H31" i="17"/>
  <c r="C63" i="1"/>
  <c r="L18" i="25" l="1"/>
  <c r="K17" i="25"/>
  <c r="K19" i="25"/>
  <c r="O60" i="24"/>
  <c r="P109" i="24"/>
  <c r="P40" i="24"/>
  <c r="P60" i="24" s="1"/>
  <c r="K17" i="21"/>
  <c r="L18" i="21"/>
  <c r="K19" i="21"/>
  <c r="N36" i="18"/>
  <c r="O7" i="18"/>
  <c r="W29" i="17"/>
  <c r="W26" i="17"/>
  <c r="W12" i="17"/>
  <c r="Y33" i="17"/>
  <c r="X33" i="17"/>
  <c r="W33" i="17"/>
  <c r="E33" i="17"/>
  <c r="S26" i="17"/>
  <c r="S12" i="17"/>
  <c r="H33" i="17"/>
  <c r="AE26" i="17"/>
  <c r="AE12" i="17"/>
  <c r="C33" i="17"/>
  <c r="C72" i="1" s="1"/>
  <c r="K26" i="17"/>
  <c r="K12" i="17"/>
  <c r="AE29" i="17"/>
  <c r="G33" i="17"/>
  <c r="AA26" i="17"/>
  <c r="AA12" i="17"/>
  <c r="D33" i="17"/>
  <c r="O26" i="17"/>
  <c r="O12" i="17"/>
  <c r="AA29" i="17"/>
  <c r="K29" i="17"/>
  <c r="Q109" i="24" l="1"/>
  <c r="Q40" i="24"/>
  <c r="Q60" i="24" s="1"/>
  <c r="L19" i="25"/>
  <c r="L17" i="25"/>
  <c r="M18" i="25"/>
  <c r="M18" i="21"/>
  <c r="L19" i="21"/>
  <c r="L17" i="21"/>
  <c r="P7" i="18"/>
  <c r="O36" i="18"/>
  <c r="C70" i="1"/>
  <c r="C80" i="1"/>
  <c r="C74" i="1"/>
  <c r="C68" i="1"/>
  <c r="C73" i="1"/>
  <c r="C71" i="1"/>
  <c r="C83" i="1"/>
  <c r="C69" i="1"/>
  <c r="C85" i="1"/>
  <c r="C78" i="1"/>
  <c r="C79" i="1"/>
  <c r="AE33" i="17"/>
  <c r="AG33" i="17"/>
  <c r="AF33" i="17"/>
  <c r="K33" i="17"/>
  <c r="M33" i="17"/>
  <c r="L33" i="17"/>
  <c r="AB33" i="17"/>
  <c r="AA33" i="17"/>
  <c r="AC33" i="17"/>
  <c r="U33" i="17"/>
  <c r="T33" i="17"/>
  <c r="S33" i="17"/>
  <c r="O33" i="17"/>
  <c r="P33" i="17"/>
  <c r="Q33" i="17"/>
  <c r="M17" i="25" l="1"/>
  <c r="M19" i="25"/>
  <c r="N18" i="25"/>
  <c r="R109" i="24"/>
  <c r="R40" i="24"/>
  <c r="R60" i="24" s="1"/>
  <c r="M19" i="21"/>
  <c r="N18" i="21"/>
  <c r="M17" i="21"/>
  <c r="Q7" i="18"/>
  <c r="P36" i="18"/>
  <c r="O18" i="25" l="1"/>
  <c r="N19" i="25"/>
  <c r="N17" i="25"/>
  <c r="S109" i="24"/>
  <c r="S40" i="24"/>
  <c r="S60" i="24" s="1"/>
  <c r="N19" i="21"/>
  <c r="N17" i="21"/>
  <c r="O18" i="21"/>
  <c r="R7" i="18"/>
  <c r="Q36" i="18"/>
  <c r="T109" i="24" l="1"/>
  <c r="T40" i="24"/>
  <c r="T60" i="24" s="1"/>
  <c r="O19" i="25"/>
  <c r="P18" i="25"/>
  <c r="O17" i="25"/>
  <c r="O17" i="21"/>
  <c r="P18" i="21"/>
  <c r="O19" i="21"/>
  <c r="R36" i="18"/>
  <c r="S7" i="18"/>
  <c r="H36" i="1"/>
  <c r="G36" i="1"/>
  <c r="F36" i="1"/>
  <c r="E36" i="1"/>
  <c r="D36" i="1"/>
  <c r="C36" i="1"/>
  <c r="B37" i="1"/>
  <c r="C34" i="1"/>
  <c r="D34" i="1" s="1"/>
  <c r="E34" i="1" s="1"/>
  <c r="F34" i="1" s="1"/>
  <c r="G34" i="1" s="1"/>
  <c r="H34" i="1" s="1"/>
  <c r="C22" i="1"/>
  <c r="C17" i="22" s="1"/>
  <c r="F15" i="1"/>
  <c r="F12" i="1"/>
  <c r="U109" i="24" l="1"/>
  <c r="U40" i="24"/>
  <c r="U60" i="24" s="1"/>
  <c r="P19" i="25"/>
  <c r="P17" i="25"/>
  <c r="Q18" i="25"/>
  <c r="I17" i="22"/>
  <c r="K8" i="22" s="1"/>
  <c r="E8" i="22"/>
  <c r="P17" i="21"/>
  <c r="Q18" i="21"/>
  <c r="P19" i="21"/>
  <c r="S36" i="18"/>
  <c r="T7" i="18"/>
  <c r="C35" i="1"/>
  <c r="C8" i="17"/>
  <c r="D22" i="1"/>
  <c r="D17" i="22" s="1"/>
  <c r="C8" i="8" l="1"/>
  <c r="Q17" i="25"/>
  <c r="R18" i="25"/>
  <c r="Q19" i="25"/>
  <c r="V109" i="24"/>
  <c r="V40" i="24"/>
  <c r="V60" i="24" s="1"/>
  <c r="J17" i="22"/>
  <c r="L8" i="22" s="1"/>
  <c r="F8" i="22"/>
  <c r="Q17" i="21"/>
  <c r="R18" i="21"/>
  <c r="Q19" i="21"/>
  <c r="T36" i="18"/>
  <c r="U7" i="18"/>
  <c r="K7" i="17"/>
  <c r="D8" i="17"/>
  <c r="D8" i="8" s="1"/>
  <c r="E22" i="1"/>
  <c r="E17" i="22" s="1"/>
  <c r="D35" i="1"/>
  <c r="W109" i="24" l="1"/>
  <c r="W40" i="24"/>
  <c r="W60" i="24" s="1"/>
  <c r="R19" i="25"/>
  <c r="R17" i="25"/>
  <c r="S18" i="25"/>
  <c r="K17" i="22"/>
  <c r="M8" i="22" s="1"/>
  <c r="G8" i="22"/>
  <c r="R19" i="21"/>
  <c r="R17" i="21"/>
  <c r="S18" i="21"/>
  <c r="U36" i="18"/>
  <c r="V7" i="18"/>
  <c r="O7" i="17"/>
  <c r="E8" i="17"/>
  <c r="E35" i="1"/>
  <c r="F22" i="1"/>
  <c r="F17" i="22" s="1"/>
  <c r="E8" i="8" l="1"/>
  <c r="T18" i="25"/>
  <c r="S17" i="25"/>
  <c r="S19" i="25"/>
  <c r="X109" i="24"/>
  <c r="X40" i="24"/>
  <c r="X60" i="24" s="1"/>
  <c r="L17" i="22"/>
  <c r="N8" i="22" s="1"/>
  <c r="H8" i="22"/>
  <c r="S19" i="21"/>
  <c r="S17" i="21"/>
  <c r="T18" i="21"/>
  <c r="V36" i="18"/>
  <c r="W7" i="18"/>
  <c r="S7" i="17"/>
  <c r="F8" i="17"/>
  <c r="F8" i="8" s="1"/>
  <c r="H62" i="1"/>
  <c r="I62" i="1"/>
  <c r="F35" i="1"/>
  <c r="G22" i="1"/>
  <c r="G17" i="22" s="1"/>
  <c r="Y109" i="24" l="1"/>
  <c r="Y40" i="24"/>
  <c r="Y60" i="24" s="1"/>
  <c r="T19" i="25"/>
  <c r="U18" i="25"/>
  <c r="T17" i="25"/>
  <c r="M17" i="22"/>
  <c r="O8" i="22" s="1"/>
  <c r="I8" i="22"/>
  <c r="T17" i="21"/>
  <c r="U18" i="21"/>
  <c r="T19" i="21"/>
  <c r="X7" i="18"/>
  <c r="W36" i="18"/>
  <c r="W7" i="17"/>
  <c r="F38" i="17"/>
  <c r="D38" i="17"/>
  <c r="E38" i="17"/>
  <c r="G38" i="17"/>
  <c r="C38" i="17"/>
  <c r="H38" i="17"/>
  <c r="G8" i="17"/>
  <c r="I61" i="1"/>
  <c r="H61" i="1"/>
  <c r="I63" i="1"/>
  <c r="H63" i="1"/>
  <c r="H22" i="1"/>
  <c r="G35" i="1"/>
  <c r="G8" i="8" l="1"/>
  <c r="CL33" i="24"/>
  <c r="CN33" i="24"/>
  <c r="CE33" i="24"/>
  <c r="CH33" i="24"/>
  <c r="CG33" i="24"/>
  <c r="CD33" i="24"/>
  <c r="CF33" i="24"/>
  <c r="CK33" i="24"/>
  <c r="CO33" i="24"/>
  <c r="V18" i="25"/>
  <c r="U19" i="25"/>
  <c r="U17" i="25"/>
  <c r="Z109" i="24"/>
  <c r="Z40" i="24"/>
  <c r="Z60" i="24" s="1"/>
  <c r="H8" i="17"/>
  <c r="H17" i="22"/>
  <c r="V18" i="21"/>
  <c r="U17" i="21"/>
  <c r="U19" i="21"/>
  <c r="Y7" i="18"/>
  <c r="X36" i="18"/>
  <c r="AA7" i="17"/>
  <c r="H44" i="17"/>
  <c r="AE38" i="17"/>
  <c r="AE44" i="17" s="1"/>
  <c r="AG38" i="17"/>
  <c r="AF38" i="17"/>
  <c r="C44" i="17"/>
  <c r="K38" i="17"/>
  <c r="K44" i="17" s="1"/>
  <c r="M38" i="17"/>
  <c r="L38" i="17"/>
  <c r="E44" i="17"/>
  <c r="U38" i="17"/>
  <c r="T38" i="17"/>
  <c r="S38" i="17"/>
  <c r="S44" i="17" s="1"/>
  <c r="G44" i="17"/>
  <c r="AC38" i="17"/>
  <c r="AB38" i="17"/>
  <c r="AA38" i="17"/>
  <c r="AA44" i="17" s="1"/>
  <c r="D44" i="17"/>
  <c r="Q38" i="17"/>
  <c r="O38" i="17"/>
  <c r="O44" i="17" s="1"/>
  <c r="P38" i="17"/>
  <c r="F44" i="17"/>
  <c r="W38" i="17"/>
  <c r="W44" i="17" s="1"/>
  <c r="Y38" i="17"/>
  <c r="X38" i="17"/>
  <c r="F37" i="17"/>
  <c r="D37" i="17"/>
  <c r="C37" i="17"/>
  <c r="E37" i="17"/>
  <c r="H37" i="17"/>
  <c r="G37" i="17"/>
  <c r="F39" i="17"/>
  <c r="C39" i="17"/>
  <c r="G39" i="17"/>
  <c r="D39" i="17"/>
  <c r="E39" i="17"/>
  <c r="H39" i="17"/>
  <c r="H35" i="1"/>
  <c r="AE7" i="17" l="1"/>
  <c r="H8" i="8"/>
  <c r="CJ33" i="24"/>
  <c r="I33" i="24"/>
  <c r="CM33" i="24"/>
  <c r="CI33" i="24"/>
  <c r="AA109" i="24"/>
  <c r="AA40" i="24"/>
  <c r="AA60" i="24" s="1"/>
  <c r="W18" i="25"/>
  <c r="V17" i="25"/>
  <c r="V19" i="25"/>
  <c r="I33" i="19"/>
  <c r="N17" i="22"/>
  <c r="P8" i="22" s="1"/>
  <c r="J8" i="22"/>
  <c r="V17" i="21"/>
  <c r="W18" i="21"/>
  <c r="V19" i="21"/>
  <c r="Z7" i="18"/>
  <c r="Y36" i="18"/>
  <c r="T44" i="17"/>
  <c r="U44" i="17"/>
  <c r="AC37" i="17"/>
  <c r="AB37" i="17"/>
  <c r="AA37" i="17"/>
  <c r="AA43" i="17" s="1"/>
  <c r="F43" i="17"/>
  <c r="X37" i="17"/>
  <c r="W37" i="17"/>
  <c r="W43" i="17" s="1"/>
  <c r="Y37" i="17"/>
  <c r="C45" i="17"/>
  <c r="M39" i="17"/>
  <c r="L39" i="17"/>
  <c r="K39" i="17"/>
  <c r="K45" i="17" s="1"/>
  <c r="F45" i="17"/>
  <c r="Y39" i="17"/>
  <c r="X39" i="17"/>
  <c r="W39" i="17"/>
  <c r="W45" i="17" s="1"/>
  <c r="AG37" i="17"/>
  <c r="AF37" i="17"/>
  <c r="AE37" i="17"/>
  <c r="AE43" i="17" s="1"/>
  <c r="X44" i="17"/>
  <c r="Y44" i="17"/>
  <c r="AB44" i="17"/>
  <c r="AC44" i="17"/>
  <c r="L44" i="17"/>
  <c r="M44" i="17"/>
  <c r="G45" i="17"/>
  <c r="AA39" i="17"/>
  <c r="AA45" i="17" s="1"/>
  <c r="AC39" i="17"/>
  <c r="AB39" i="17"/>
  <c r="AG44" i="17"/>
  <c r="AF44" i="17"/>
  <c r="H45" i="17"/>
  <c r="AG39" i="17"/>
  <c r="AF39" i="17"/>
  <c r="AE39" i="17"/>
  <c r="AE45" i="17" s="1"/>
  <c r="K37" i="17"/>
  <c r="K43" i="17" s="1"/>
  <c r="M37" i="17"/>
  <c r="L37" i="17"/>
  <c r="Q44" i="17"/>
  <c r="P44" i="17"/>
  <c r="T37" i="17"/>
  <c r="S37" i="17"/>
  <c r="S43" i="17" s="1"/>
  <c r="U37" i="17"/>
  <c r="E45" i="17"/>
  <c r="U39" i="17"/>
  <c r="T39" i="17"/>
  <c r="S39" i="17"/>
  <c r="S45" i="17" s="1"/>
  <c r="D45" i="17"/>
  <c r="Q39" i="17"/>
  <c r="P39" i="17"/>
  <c r="O39" i="17"/>
  <c r="O45" i="17" s="1"/>
  <c r="D43" i="17"/>
  <c r="Q37" i="17"/>
  <c r="O37" i="17"/>
  <c r="O43" i="17" s="1"/>
  <c r="P37" i="17"/>
  <c r="H40" i="17"/>
  <c r="AE40" i="17" s="1"/>
  <c r="H43" i="17"/>
  <c r="E40" i="17"/>
  <c r="S40" i="17" s="1"/>
  <c r="E43" i="17"/>
  <c r="G40" i="17"/>
  <c r="AA40" i="17" s="1"/>
  <c r="G43" i="17"/>
  <c r="C40" i="17"/>
  <c r="K40" i="17" s="1"/>
  <c r="C43" i="17"/>
  <c r="D40" i="17"/>
  <c r="O40" i="17" s="1"/>
  <c r="F40" i="17"/>
  <c r="W40" i="17" s="1"/>
  <c r="W19" i="25" l="1"/>
  <c r="X18" i="25"/>
  <c r="W17" i="25"/>
  <c r="AB109" i="24"/>
  <c r="AB40" i="24"/>
  <c r="AB60" i="24" s="1"/>
  <c r="W17" i="21"/>
  <c r="X18" i="21"/>
  <c r="W19" i="21"/>
  <c r="Z36" i="18"/>
  <c r="AA7" i="18"/>
  <c r="F46" i="17"/>
  <c r="Y46" i="17" s="1"/>
  <c r="D46" i="17"/>
  <c r="Q46" i="17" s="1"/>
  <c r="L40" i="17"/>
  <c r="M40" i="17"/>
  <c r="AC40" i="17"/>
  <c r="AB40" i="17"/>
  <c r="X45" i="17"/>
  <c r="Y45" i="17"/>
  <c r="X43" i="17"/>
  <c r="Y43" i="17"/>
  <c r="AG40" i="17"/>
  <c r="AF40" i="17"/>
  <c r="G46" i="17"/>
  <c r="AC43" i="17"/>
  <c r="AB43" i="17"/>
  <c r="Q43" i="17"/>
  <c r="P43" i="17"/>
  <c r="U45" i="17"/>
  <c r="T45" i="17"/>
  <c r="Q45" i="17"/>
  <c r="P45" i="17"/>
  <c r="AG45" i="17"/>
  <c r="AF45" i="17"/>
  <c r="X40" i="17"/>
  <c r="Y40" i="17"/>
  <c r="E46" i="17"/>
  <c r="U43" i="17"/>
  <c r="T43" i="17"/>
  <c r="P40" i="17"/>
  <c r="Q40" i="17"/>
  <c r="T40" i="17"/>
  <c r="U40" i="17"/>
  <c r="AB45" i="17"/>
  <c r="AC45" i="17"/>
  <c r="C46" i="17"/>
  <c r="M43" i="17"/>
  <c r="L43" i="17"/>
  <c r="H46" i="17"/>
  <c r="AF43" i="17"/>
  <c r="AG43" i="17"/>
  <c r="M45" i="17"/>
  <c r="L45" i="17"/>
  <c r="AC109" i="24" l="1"/>
  <c r="AC40" i="24"/>
  <c r="AC60" i="24" s="1"/>
  <c r="X19" i="25"/>
  <c r="Y18" i="25"/>
  <c r="X17" i="25"/>
  <c r="X17" i="21"/>
  <c r="X19" i="21"/>
  <c r="Y18" i="21"/>
  <c r="AA36" i="18"/>
  <c r="AB7" i="18"/>
  <c r="X46" i="17"/>
  <c r="W46" i="17"/>
  <c r="O46" i="17"/>
  <c r="P46" i="17"/>
  <c r="AA46" i="17"/>
  <c r="AC46" i="17"/>
  <c r="AB46" i="17"/>
  <c r="K46" i="17"/>
  <c r="M46" i="17"/>
  <c r="L46" i="17"/>
  <c r="U46" i="17"/>
  <c r="T46" i="17"/>
  <c r="S46" i="17"/>
  <c r="AG46" i="17"/>
  <c r="AF46" i="17"/>
  <c r="AE46" i="17"/>
  <c r="Y17" i="25" l="1"/>
  <c r="Z18" i="25"/>
  <c r="Y19" i="25"/>
  <c r="AD109" i="24"/>
  <c r="AD40" i="24"/>
  <c r="AD60" i="24" s="1"/>
  <c r="Y17" i="21"/>
  <c r="Z18" i="21"/>
  <c r="Y19" i="21"/>
  <c r="AB36" i="18"/>
  <c r="AC7" i="18"/>
  <c r="H19" i="24" s="1"/>
  <c r="AA18" i="25" l="1"/>
  <c r="Z17" i="25"/>
  <c r="Z19" i="25"/>
  <c r="AE109" i="24"/>
  <c r="AE40" i="24"/>
  <c r="AE60" i="24" s="1"/>
  <c r="AC36" i="18"/>
  <c r="H19" i="19"/>
  <c r="AE36" i="24" s="1"/>
  <c r="AE52" i="24" s="1"/>
  <c r="AE53" i="24" s="1"/>
  <c r="Z19" i="21"/>
  <c r="Z17" i="21"/>
  <c r="AA18" i="21"/>
  <c r="I36" i="24" l="1"/>
  <c r="I52" i="24" s="1"/>
  <c r="I53" i="24" s="1"/>
  <c r="I35" i="24"/>
  <c r="I38" i="24" s="1"/>
  <c r="J36" i="24"/>
  <c r="J52" i="24" s="1"/>
  <c r="J53" i="24" s="1"/>
  <c r="K36" i="24"/>
  <c r="K52" i="24" s="1"/>
  <c r="K53" i="24" s="1"/>
  <c r="L36" i="24"/>
  <c r="L52" i="24" s="1"/>
  <c r="L53" i="24" s="1"/>
  <c r="M36" i="24"/>
  <c r="M52" i="24" s="1"/>
  <c r="M53" i="24" s="1"/>
  <c r="N36" i="24"/>
  <c r="N52" i="24" s="1"/>
  <c r="N53" i="24" s="1"/>
  <c r="O36" i="24"/>
  <c r="O52" i="24" s="1"/>
  <c r="O53" i="24" s="1"/>
  <c r="P36" i="24"/>
  <c r="P52" i="24" s="1"/>
  <c r="P53" i="24" s="1"/>
  <c r="Q36" i="24"/>
  <c r="Q52" i="24" s="1"/>
  <c r="Q53" i="24" s="1"/>
  <c r="R36" i="24"/>
  <c r="R52" i="24" s="1"/>
  <c r="R53" i="24" s="1"/>
  <c r="S36" i="24"/>
  <c r="S52" i="24" s="1"/>
  <c r="S53" i="24" s="1"/>
  <c r="U36" i="24"/>
  <c r="U52" i="24" s="1"/>
  <c r="U53" i="24" s="1"/>
  <c r="V36" i="24"/>
  <c r="V52" i="24" s="1"/>
  <c r="V53" i="24" s="1"/>
  <c r="W36" i="24"/>
  <c r="W52" i="24" s="1"/>
  <c r="W53" i="24" s="1"/>
  <c r="X36" i="24"/>
  <c r="X52" i="24" s="1"/>
  <c r="X53" i="24" s="1"/>
  <c r="Y36" i="24"/>
  <c r="Y52" i="24" s="1"/>
  <c r="Y53" i="24" s="1"/>
  <c r="Z36" i="24"/>
  <c r="Z52" i="24" s="1"/>
  <c r="Z53" i="24" s="1"/>
  <c r="AA36" i="24"/>
  <c r="AA52" i="24" s="1"/>
  <c r="AA53" i="24" s="1"/>
  <c r="AB36" i="24"/>
  <c r="AB52" i="24" s="1"/>
  <c r="AB53" i="24" s="1"/>
  <c r="AC36" i="24"/>
  <c r="AC52" i="24" s="1"/>
  <c r="AC53" i="24" s="1"/>
  <c r="AD36" i="24"/>
  <c r="AD52" i="24" s="1"/>
  <c r="AD53" i="24" s="1"/>
  <c r="AF109" i="24"/>
  <c r="AF36" i="24"/>
  <c r="AF52" i="24" s="1"/>
  <c r="AF53" i="24" s="1"/>
  <c r="AF40" i="24"/>
  <c r="AF60" i="24" s="1"/>
  <c r="AB18" i="25"/>
  <c r="AA17" i="25"/>
  <c r="AA19" i="25"/>
  <c r="I36" i="19"/>
  <c r="I52" i="19" s="1"/>
  <c r="I53" i="19" s="1"/>
  <c r="J36" i="19"/>
  <c r="J52" i="19" s="1"/>
  <c r="J53" i="19" s="1"/>
  <c r="I35" i="19"/>
  <c r="I38" i="19" s="1"/>
  <c r="K36" i="19"/>
  <c r="K52" i="19" s="1"/>
  <c r="K53" i="19" s="1"/>
  <c r="L36" i="19"/>
  <c r="L52" i="19" s="1"/>
  <c r="L53" i="19" s="1"/>
  <c r="AB18" i="21"/>
  <c r="AA19" i="21"/>
  <c r="AA17" i="21"/>
  <c r="I44" i="24" l="1"/>
  <c r="I41" i="24"/>
  <c r="AG109" i="24"/>
  <c r="AG36" i="24"/>
  <c r="AG52" i="24" s="1"/>
  <c r="AG53" i="24" s="1"/>
  <c r="AG40" i="24"/>
  <c r="AG60" i="24" s="1"/>
  <c r="AB19" i="25"/>
  <c r="AB17" i="25"/>
  <c r="AC18" i="25"/>
  <c r="I97" i="19"/>
  <c r="I41" i="19" s="1"/>
  <c r="I61" i="19" s="1"/>
  <c r="AB19" i="21"/>
  <c r="AB17" i="21"/>
  <c r="AC18" i="21"/>
  <c r="I61" i="24" l="1"/>
  <c r="AH109" i="24"/>
  <c r="AH40" i="24"/>
  <c r="AC17" i="25"/>
  <c r="AC19" i="25"/>
  <c r="AD18" i="25"/>
  <c r="I44" i="19"/>
  <c r="AC19" i="21"/>
  <c r="AD18" i="21"/>
  <c r="AC17" i="21"/>
  <c r="AH60" i="24" l="1"/>
  <c r="AI109" i="24"/>
  <c r="AI40" i="24"/>
  <c r="AE18" i="25"/>
  <c r="AD19" i="25"/>
  <c r="AD17" i="25"/>
  <c r="AD17" i="21"/>
  <c r="AE18" i="21"/>
  <c r="AD19" i="21"/>
  <c r="AE19" i="25" l="1"/>
  <c r="AF18" i="25"/>
  <c r="AE17" i="25"/>
  <c r="AI60" i="24"/>
  <c r="AJ109" i="24"/>
  <c r="AJ40" i="24"/>
  <c r="AE17" i="21"/>
  <c r="AF18" i="21"/>
  <c r="AE19" i="21"/>
  <c r="AJ60" i="24" l="1"/>
  <c r="AF19" i="25"/>
  <c r="AF17" i="25"/>
  <c r="AG18" i="25"/>
  <c r="AK109" i="24"/>
  <c r="AK40" i="24"/>
  <c r="AF17" i="21"/>
  <c r="AG18" i="21"/>
  <c r="AF19" i="21"/>
  <c r="B2" i="1"/>
  <c r="AK60" i="24" l="1"/>
  <c r="AG17" i="25"/>
  <c r="AG19" i="25"/>
  <c r="AH18" i="25"/>
  <c r="AL109" i="24"/>
  <c r="AL40" i="24"/>
  <c r="B2" i="25"/>
  <c r="F2" i="24"/>
  <c r="B2" i="22"/>
  <c r="B2" i="23" s="1"/>
  <c r="B2" i="21"/>
  <c r="F2" i="19"/>
  <c r="B2" i="20"/>
  <c r="B2" i="18"/>
  <c r="AG17" i="21"/>
  <c r="AG19" i="21"/>
  <c r="AH18" i="21"/>
  <c r="B2" i="17"/>
  <c r="AI18" i="25" l="1"/>
  <c r="AH19" i="25"/>
  <c r="AH17" i="25"/>
  <c r="AM109" i="24"/>
  <c r="AM40" i="24"/>
  <c r="AL60" i="24"/>
  <c r="AI18" i="21"/>
  <c r="AH19" i="21"/>
  <c r="AH17" i="21"/>
  <c r="AM60" i="24" l="1"/>
  <c r="AN109" i="24"/>
  <c r="AN40" i="24"/>
  <c r="AI17" i="25"/>
  <c r="AJ18" i="25"/>
  <c r="AI19" i="25"/>
  <c r="AI19" i="21"/>
  <c r="AI17" i="21"/>
  <c r="AJ18" i="21"/>
  <c r="B2" i="8"/>
  <c r="AJ19" i="25" l="1"/>
  <c r="AK18" i="25"/>
  <c r="AJ17" i="25"/>
  <c r="AN60" i="24"/>
  <c r="AO109" i="24"/>
  <c r="AO40" i="24"/>
  <c r="AJ19" i="21"/>
  <c r="AJ17" i="21"/>
  <c r="AK18" i="21"/>
  <c r="D9" i="8"/>
  <c r="D14" i="8" s="1"/>
  <c r="AO60" i="24" l="1"/>
  <c r="AK17" i="25"/>
  <c r="AL18" i="25"/>
  <c r="AK19" i="25"/>
  <c r="AP109" i="24"/>
  <c r="AP40" i="24"/>
  <c r="AL18" i="21"/>
  <c r="AK19" i="21"/>
  <c r="AK17" i="21"/>
  <c r="E9" i="8"/>
  <c r="E14" i="8" s="1"/>
  <c r="AM18" i="25" l="1"/>
  <c r="AL19" i="25"/>
  <c r="AL17" i="25"/>
  <c r="AP60" i="24"/>
  <c r="AQ109" i="24"/>
  <c r="AQ40" i="24"/>
  <c r="AL17" i="21"/>
  <c r="AM18" i="21"/>
  <c r="AL19" i="21"/>
  <c r="F9" i="8"/>
  <c r="F14" i="8" s="1"/>
  <c r="AQ60" i="24" l="1"/>
  <c r="AR109" i="24"/>
  <c r="AR40" i="24"/>
  <c r="AM19" i="25"/>
  <c r="AN18" i="25"/>
  <c r="AM17" i="25"/>
  <c r="AM17" i="21"/>
  <c r="AM19" i="21"/>
  <c r="AN18" i="21"/>
  <c r="G9" i="8"/>
  <c r="G14" i="8" s="1"/>
  <c r="AR60" i="24" l="1"/>
  <c r="AN19" i="25"/>
  <c r="AN17" i="25"/>
  <c r="AO18" i="25"/>
  <c r="AS109" i="24"/>
  <c r="AS40" i="24"/>
  <c r="AN17" i="21"/>
  <c r="AO18" i="21"/>
  <c r="AN19" i="21"/>
  <c r="H9" i="8"/>
  <c r="AS60" i="24" l="1"/>
  <c r="AO17" i="25"/>
  <c r="AO19" i="25"/>
  <c r="AP18" i="25"/>
  <c r="AT109" i="24"/>
  <c r="AT40" i="24"/>
  <c r="AO17" i="21"/>
  <c r="AP18" i="21"/>
  <c r="AO19" i="21"/>
  <c r="AQ18" i="25" l="1"/>
  <c r="AP17" i="25"/>
  <c r="AP19" i="25"/>
  <c r="AT60" i="24"/>
  <c r="AU109" i="24"/>
  <c r="AU40" i="24"/>
  <c r="AQ18" i="21"/>
  <c r="AP19" i="21"/>
  <c r="AP17" i="21"/>
  <c r="AU60" i="24" l="1"/>
  <c r="AV109" i="24"/>
  <c r="AV40" i="24"/>
  <c r="AR18" i="25"/>
  <c r="AQ19" i="25"/>
  <c r="AQ17" i="25"/>
  <c r="AQ17" i="21"/>
  <c r="AQ19" i="21"/>
  <c r="AR18" i="21"/>
  <c r="AR19" i="25" l="1"/>
  <c r="AS18" i="25"/>
  <c r="AR17" i="25"/>
  <c r="AV60" i="24"/>
  <c r="AW109" i="24"/>
  <c r="AW40" i="24"/>
  <c r="AR19" i="21"/>
  <c r="AR17" i="21"/>
  <c r="AS18" i="21"/>
  <c r="AW60" i="24" l="1"/>
  <c r="AS17" i="25"/>
  <c r="AS19" i="25"/>
  <c r="AT18" i="25"/>
  <c r="AX109" i="24"/>
  <c r="AX40" i="24"/>
  <c r="AS17" i="21"/>
  <c r="AT18" i="21"/>
  <c r="AS19" i="21"/>
  <c r="AX60" i="24" l="1"/>
  <c r="AY109" i="24"/>
  <c r="AY40" i="24"/>
  <c r="AU18" i="25"/>
  <c r="AT17" i="25"/>
  <c r="AT19" i="25"/>
  <c r="AT17" i="21"/>
  <c r="AU18" i="21"/>
  <c r="AT19" i="21"/>
  <c r="AU19" i="25" l="1"/>
  <c r="AV18" i="25"/>
  <c r="AU17" i="25"/>
  <c r="AY60" i="24"/>
  <c r="AZ109" i="24"/>
  <c r="AZ40" i="24"/>
  <c r="AU17" i="21"/>
  <c r="AV18" i="21"/>
  <c r="AU19" i="21"/>
  <c r="AV19" i="25" l="1"/>
  <c r="AV17" i="25"/>
  <c r="AW18" i="25"/>
  <c r="AZ60" i="24"/>
  <c r="BA109" i="24"/>
  <c r="BA40" i="24"/>
  <c r="AV17" i="21"/>
  <c r="AW18" i="21"/>
  <c r="AV19" i="21"/>
  <c r="BA60" i="24" l="1"/>
  <c r="AW17" i="25"/>
  <c r="AW19" i="25"/>
  <c r="AX18" i="25"/>
  <c r="BB109" i="24"/>
  <c r="BB40" i="24"/>
  <c r="AW17" i="21"/>
  <c r="AX18" i="21"/>
  <c r="AW19" i="21"/>
  <c r="BB60" i="24" l="1"/>
  <c r="AY18" i="25"/>
  <c r="AX17" i="25"/>
  <c r="AX19" i="25"/>
  <c r="BC109" i="24"/>
  <c r="BC40" i="24"/>
  <c r="AY18" i="21"/>
  <c r="AX19" i="21"/>
  <c r="AX17" i="21"/>
  <c r="AZ18" i="25" l="1"/>
  <c r="AY19" i="25"/>
  <c r="AY17" i="25"/>
  <c r="BC60" i="24"/>
  <c r="BD109" i="24"/>
  <c r="BD40" i="24"/>
  <c r="AY17" i="21"/>
  <c r="AY19" i="21"/>
  <c r="AZ18" i="21"/>
  <c r="BD60" i="24" l="1"/>
  <c r="BE109" i="24"/>
  <c r="BE40" i="24"/>
  <c r="AZ19" i="25"/>
  <c r="AZ17" i="25"/>
  <c r="BA18" i="25"/>
  <c r="AZ19" i="21"/>
  <c r="AZ17" i="21"/>
  <c r="BA18" i="21"/>
  <c r="BE60" i="24" l="1"/>
  <c r="BA17" i="25"/>
  <c r="BB18" i="25"/>
  <c r="BA19" i="25"/>
  <c r="BF109" i="24"/>
  <c r="BF40" i="24"/>
  <c r="BB18" i="21"/>
  <c r="BA17" i="21"/>
  <c r="BA19" i="21"/>
  <c r="H83" i="1"/>
  <c r="I83" i="1"/>
  <c r="H69" i="1"/>
  <c r="BC18" i="25" l="1"/>
  <c r="BB17" i="25"/>
  <c r="BB19" i="25"/>
  <c r="BF60" i="24"/>
  <c r="BG109" i="24"/>
  <c r="BG40" i="24"/>
  <c r="BB17" i="21"/>
  <c r="BB19" i="21"/>
  <c r="BC18" i="21"/>
  <c r="F71" i="17"/>
  <c r="H71" i="17"/>
  <c r="E71" i="17"/>
  <c r="C71" i="17"/>
  <c r="D71" i="17"/>
  <c r="G71" i="17"/>
  <c r="I69" i="1"/>
  <c r="F50" i="17" s="1"/>
  <c r="I78" i="1"/>
  <c r="H78" i="1"/>
  <c r="I80" i="1"/>
  <c r="H80" i="1"/>
  <c r="I79" i="1"/>
  <c r="H79" i="1"/>
  <c r="I74" i="1"/>
  <c r="H74" i="1"/>
  <c r="I70" i="1"/>
  <c r="H70" i="1"/>
  <c r="I71" i="1"/>
  <c r="H71" i="1"/>
  <c r="I72" i="1"/>
  <c r="H72" i="1"/>
  <c r="H73" i="1"/>
  <c r="I73" i="1"/>
  <c r="I68" i="1"/>
  <c r="H68" i="1"/>
  <c r="BG60" i="24" l="1"/>
  <c r="BH109" i="24"/>
  <c r="BH40" i="24"/>
  <c r="BC19" i="25"/>
  <c r="BD18" i="25"/>
  <c r="BC17" i="25"/>
  <c r="BC17" i="21"/>
  <c r="BD18" i="21"/>
  <c r="BC19" i="21"/>
  <c r="D72" i="17"/>
  <c r="P71" i="17"/>
  <c r="O71" i="17"/>
  <c r="Q71" i="17"/>
  <c r="G72" i="17"/>
  <c r="AA71" i="17"/>
  <c r="AC71" i="17"/>
  <c r="AB71" i="17"/>
  <c r="C72" i="17"/>
  <c r="M71" i="17"/>
  <c r="L71" i="17"/>
  <c r="K71" i="17"/>
  <c r="E72" i="17"/>
  <c r="U71" i="17"/>
  <c r="T71" i="17"/>
  <c r="S71" i="17"/>
  <c r="X50" i="17"/>
  <c r="Y50" i="17"/>
  <c r="W50" i="17"/>
  <c r="H72" i="17"/>
  <c r="AG71" i="17"/>
  <c r="AF71" i="17"/>
  <c r="AE71" i="17"/>
  <c r="F72" i="17"/>
  <c r="X71" i="17"/>
  <c r="W71" i="17"/>
  <c r="Y71" i="17"/>
  <c r="G50" i="17"/>
  <c r="E50" i="17"/>
  <c r="D50" i="17"/>
  <c r="F53" i="17"/>
  <c r="G53" i="17"/>
  <c r="H53" i="17"/>
  <c r="C53" i="17"/>
  <c r="E53" i="17"/>
  <c r="D53" i="17"/>
  <c r="F52" i="17"/>
  <c r="D52" i="17"/>
  <c r="G52" i="17"/>
  <c r="C52" i="17"/>
  <c r="E52" i="17"/>
  <c r="H52" i="17"/>
  <c r="H50" i="17"/>
  <c r="F64" i="17"/>
  <c r="H64" i="17"/>
  <c r="D64" i="17"/>
  <c r="C64" i="17"/>
  <c r="E64" i="17"/>
  <c r="G64" i="17"/>
  <c r="F63" i="17"/>
  <c r="G63" i="17"/>
  <c r="E63" i="17"/>
  <c r="H63" i="17"/>
  <c r="C63" i="17"/>
  <c r="D63" i="17"/>
  <c r="F59" i="17"/>
  <c r="D59" i="17"/>
  <c r="E59" i="17"/>
  <c r="H59" i="17"/>
  <c r="G59" i="17"/>
  <c r="C59" i="17"/>
  <c r="C50" i="17"/>
  <c r="F65" i="17"/>
  <c r="D65" i="17"/>
  <c r="G65" i="17"/>
  <c r="H65" i="17"/>
  <c r="C65" i="17"/>
  <c r="E65" i="17"/>
  <c r="F49" i="17"/>
  <c r="C49" i="17"/>
  <c r="G49" i="17"/>
  <c r="E49" i="17"/>
  <c r="H49" i="17"/>
  <c r="D49" i="17"/>
  <c r="F58" i="17"/>
  <c r="D58" i="17"/>
  <c r="C58" i="17"/>
  <c r="H58" i="17"/>
  <c r="E58" i="17"/>
  <c r="G58" i="17"/>
  <c r="F51" i="17"/>
  <c r="E51" i="17"/>
  <c r="G51" i="17"/>
  <c r="H51" i="17"/>
  <c r="D51" i="17"/>
  <c r="C51" i="17"/>
  <c r="BD19" i="25" l="1"/>
  <c r="BD17" i="25"/>
  <c r="BE18" i="25"/>
  <c r="BH60" i="24"/>
  <c r="BI109" i="24"/>
  <c r="BI40" i="24"/>
  <c r="BD17" i="21"/>
  <c r="BE18" i="21"/>
  <c r="BD19" i="21"/>
  <c r="T49" i="17"/>
  <c r="U49" i="17"/>
  <c r="S49" i="17"/>
  <c r="X72" i="17"/>
  <c r="W72" i="17"/>
  <c r="Y72" i="17"/>
  <c r="U58" i="17"/>
  <c r="T58" i="17"/>
  <c r="S58" i="17"/>
  <c r="AA49" i="17"/>
  <c r="AC49" i="17"/>
  <c r="AB49" i="17"/>
  <c r="X65" i="17"/>
  <c r="W65" i="17"/>
  <c r="Y65" i="17"/>
  <c r="Q63" i="17"/>
  <c r="P63" i="17"/>
  <c r="O63" i="17"/>
  <c r="M64" i="17"/>
  <c r="L64" i="17"/>
  <c r="K64" i="17"/>
  <c r="AA52" i="17"/>
  <c r="AC52" i="17"/>
  <c r="AB52" i="17"/>
  <c r="X53" i="17"/>
  <c r="W53" i="17"/>
  <c r="Y53" i="17"/>
  <c r="X59" i="17"/>
  <c r="W59" i="17"/>
  <c r="Y59" i="17"/>
  <c r="M49" i="17"/>
  <c r="L49" i="17"/>
  <c r="K49" i="17"/>
  <c r="Q64" i="17"/>
  <c r="P64" i="17"/>
  <c r="O64" i="17"/>
  <c r="O50" i="17"/>
  <c r="Q50" i="17"/>
  <c r="P50" i="17"/>
  <c r="Q51" i="17"/>
  <c r="P51" i="17"/>
  <c r="O51" i="17"/>
  <c r="M58" i="17"/>
  <c r="K58" i="17"/>
  <c r="L58" i="17"/>
  <c r="X49" i="17"/>
  <c r="W49" i="17"/>
  <c r="Y49" i="17"/>
  <c r="M59" i="17"/>
  <c r="L59" i="17"/>
  <c r="K59" i="17"/>
  <c r="AF63" i="17"/>
  <c r="AE63" i="17"/>
  <c r="AG63" i="17"/>
  <c r="AE64" i="17"/>
  <c r="AG64" i="17"/>
  <c r="AF64" i="17"/>
  <c r="Y52" i="17"/>
  <c r="X52" i="17"/>
  <c r="W52" i="17"/>
  <c r="U50" i="17"/>
  <c r="T50" i="17"/>
  <c r="S50" i="17"/>
  <c r="T72" i="17"/>
  <c r="U72" i="17"/>
  <c r="S72" i="17"/>
  <c r="AC72" i="17"/>
  <c r="AB72" i="17"/>
  <c r="AA72" i="17"/>
  <c r="M52" i="17"/>
  <c r="L52" i="17"/>
  <c r="K52" i="17"/>
  <c r="L51" i="17"/>
  <c r="M51" i="17"/>
  <c r="K51" i="17"/>
  <c r="L63" i="17"/>
  <c r="M63" i="17"/>
  <c r="K63" i="17"/>
  <c r="AF51" i="17"/>
  <c r="AE51" i="17"/>
  <c r="AG51" i="17"/>
  <c r="Q58" i="17"/>
  <c r="P58" i="17"/>
  <c r="O58" i="17"/>
  <c r="T65" i="17"/>
  <c r="S65" i="17"/>
  <c r="U65" i="17"/>
  <c r="AA59" i="17"/>
  <c r="AC59" i="17"/>
  <c r="AB59" i="17"/>
  <c r="U63" i="17"/>
  <c r="S63" i="17"/>
  <c r="T63" i="17"/>
  <c r="Y64" i="17"/>
  <c r="X64" i="17"/>
  <c r="W64" i="17"/>
  <c r="Q53" i="17"/>
  <c r="P53" i="17"/>
  <c r="O53" i="17"/>
  <c r="AC50" i="17"/>
  <c r="AB50" i="17"/>
  <c r="AA50" i="17"/>
  <c r="AG72" i="17"/>
  <c r="AF72" i="17"/>
  <c r="AE72" i="17"/>
  <c r="AA58" i="17"/>
  <c r="AC58" i="17"/>
  <c r="AB58" i="17"/>
  <c r="T64" i="17"/>
  <c r="S64" i="17"/>
  <c r="U64" i="17"/>
  <c r="AG58" i="17"/>
  <c r="AF58" i="17"/>
  <c r="AE58" i="17"/>
  <c r="M50" i="17"/>
  <c r="L50" i="17"/>
  <c r="K50" i="17"/>
  <c r="Q52" i="17"/>
  <c r="P52" i="17"/>
  <c r="O52" i="17"/>
  <c r="AB51" i="17"/>
  <c r="AC51" i="17"/>
  <c r="AA51" i="17"/>
  <c r="X58" i="17"/>
  <c r="W58" i="17"/>
  <c r="Y58" i="17"/>
  <c r="M65" i="17"/>
  <c r="L65" i="17"/>
  <c r="K65" i="17"/>
  <c r="AF59" i="17"/>
  <c r="AG59" i="17"/>
  <c r="AE59" i="17"/>
  <c r="G66" i="17"/>
  <c r="AB63" i="17"/>
  <c r="AC63" i="17"/>
  <c r="AA63" i="17"/>
  <c r="AG50" i="17"/>
  <c r="AF50" i="17"/>
  <c r="AE50" i="17"/>
  <c r="T53" i="17"/>
  <c r="U53" i="17"/>
  <c r="S53" i="17"/>
  <c r="Q65" i="17"/>
  <c r="P65" i="17"/>
  <c r="O65" i="17"/>
  <c r="AC53" i="17"/>
  <c r="AB53" i="17"/>
  <c r="AA53" i="17"/>
  <c r="U51" i="17"/>
  <c r="S51" i="17"/>
  <c r="T51" i="17"/>
  <c r="P49" i="17"/>
  <c r="O49" i="17"/>
  <c r="Q49" i="17"/>
  <c r="AG65" i="17"/>
  <c r="AF65" i="17"/>
  <c r="AE65" i="17"/>
  <c r="T59" i="17"/>
  <c r="U59" i="17"/>
  <c r="S59" i="17"/>
  <c r="Y63" i="17"/>
  <c r="X63" i="17"/>
  <c r="W63" i="17"/>
  <c r="AE52" i="17"/>
  <c r="AG52" i="17"/>
  <c r="AF52" i="17"/>
  <c r="M53" i="17"/>
  <c r="L53" i="17"/>
  <c r="K53" i="17"/>
  <c r="Y51" i="17"/>
  <c r="X51" i="17"/>
  <c r="W51" i="17"/>
  <c r="AF49" i="17"/>
  <c r="AG49" i="17"/>
  <c r="AE49" i="17"/>
  <c r="AC65" i="17"/>
  <c r="AA65" i="17"/>
  <c r="AB65" i="17"/>
  <c r="P59" i="17"/>
  <c r="O59" i="17"/>
  <c r="Q59" i="17"/>
  <c r="AA64" i="17"/>
  <c r="AC64" i="17"/>
  <c r="AB64" i="17"/>
  <c r="T52" i="17"/>
  <c r="S52" i="17"/>
  <c r="U52" i="17"/>
  <c r="AG53" i="17"/>
  <c r="AF53" i="17"/>
  <c r="AE53" i="17"/>
  <c r="M72" i="17"/>
  <c r="L72" i="17"/>
  <c r="K72" i="17"/>
  <c r="P72" i="17"/>
  <c r="O72" i="17"/>
  <c r="Q72" i="17"/>
  <c r="C66" i="17"/>
  <c r="C54" i="17"/>
  <c r="H66" i="17"/>
  <c r="F54" i="17"/>
  <c r="F66" i="17"/>
  <c r="H54" i="17"/>
  <c r="D54" i="17"/>
  <c r="E54" i="17"/>
  <c r="E66" i="17"/>
  <c r="G54" i="17"/>
  <c r="D66" i="17"/>
  <c r="BE17" i="25" l="1"/>
  <c r="BF18" i="25"/>
  <c r="BE19" i="25"/>
  <c r="BI60" i="24"/>
  <c r="BJ109" i="24"/>
  <c r="BJ40" i="24"/>
  <c r="BE17" i="21"/>
  <c r="BF18" i="21"/>
  <c r="BE19" i="21"/>
  <c r="Q66" i="17"/>
  <c r="O66" i="17"/>
  <c r="P66" i="17"/>
  <c r="AE66" i="17"/>
  <c r="AG66" i="17"/>
  <c r="AF66" i="17"/>
  <c r="C56" i="17"/>
  <c r="L54" i="17"/>
  <c r="K54" i="17"/>
  <c r="M54" i="17"/>
  <c r="S66" i="17"/>
  <c r="U66" i="17"/>
  <c r="T66" i="17"/>
  <c r="L66" i="17"/>
  <c r="K66" i="17"/>
  <c r="M66" i="17"/>
  <c r="AB66" i="17"/>
  <c r="AA66" i="17"/>
  <c r="AC66" i="17"/>
  <c r="E56" i="17"/>
  <c r="U54" i="17"/>
  <c r="S54" i="17"/>
  <c r="T54" i="17"/>
  <c r="F56" i="17"/>
  <c r="Y54" i="17"/>
  <c r="X54" i="17"/>
  <c r="W54" i="17"/>
  <c r="G56" i="17"/>
  <c r="AB54" i="17"/>
  <c r="AA54" i="17"/>
  <c r="AC54" i="17"/>
  <c r="D56" i="17"/>
  <c r="O54" i="17"/>
  <c r="P54" i="17"/>
  <c r="Q54" i="17"/>
  <c r="H56" i="17"/>
  <c r="AE54" i="17"/>
  <c r="AG54" i="17"/>
  <c r="AF54" i="17"/>
  <c r="Y66" i="17"/>
  <c r="X66" i="17"/>
  <c r="W66" i="17"/>
  <c r="BJ60" i="24" l="1"/>
  <c r="BK109" i="24"/>
  <c r="BK40" i="24"/>
  <c r="BG18" i="25"/>
  <c r="BF17" i="25"/>
  <c r="BF19" i="25"/>
  <c r="BG18" i="21"/>
  <c r="BF19" i="21"/>
  <c r="BF17" i="21"/>
  <c r="F60" i="17"/>
  <c r="X56" i="17"/>
  <c r="Y56" i="17"/>
  <c r="W56" i="17"/>
  <c r="C60" i="17"/>
  <c r="L56" i="17"/>
  <c r="K56" i="17"/>
  <c r="M56" i="17"/>
  <c r="H60" i="17"/>
  <c r="AG56" i="17"/>
  <c r="AF56" i="17"/>
  <c r="AE56" i="17"/>
  <c r="D60" i="17"/>
  <c r="P56" i="17"/>
  <c r="Q56" i="17"/>
  <c r="O56" i="17"/>
  <c r="E60" i="17"/>
  <c r="U56" i="17"/>
  <c r="T56" i="17"/>
  <c r="S56" i="17"/>
  <c r="G60" i="17"/>
  <c r="AB56" i="17"/>
  <c r="AA56" i="17"/>
  <c r="AC56" i="17"/>
  <c r="BL109" i="24" l="1"/>
  <c r="BL40" i="24"/>
  <c r="BH18" i="25"/>
  <c r="BG17" i="25"/>
  <c r="BG19" i="25"/>
  <c r="BK60" i="24"/>
  <c r="BG19" i="21"/>
  <c r="BG17" i="21"/>
  <c r="BH18" i="21"/>
  <c r="G68" i="17"/>
  <c r="AC60" i="17"/>
  <c r="AB60" i="17"/>
  <c r="AA60" i="17"/>
  <c r="O60" i="17"/>
  <c r="Q60" i="17"/>
  <c r="P60" i="17"/>
  <c r="D68" i="17"/>
  <c r="C68" i="17"/>
  <c r="M60" i="17"/>
  <c r="L60" i="17"/>
  <c r="K60" i="17"/>
  <c r="U60" i="17"/>
  <c r="T60" i="17"/>
  <c r="S60" i="17"/>
  <c r="E68" i="17"/>
  <c r="H68" i="17"/>
  <c r="AG60" i="17"/>
  <c r="AF60" i="17"/>
  <c r="AE60" i="17"/>
  <c r="F68" i="17"/>
  <c r="Y60" i="17"/>
  <c r="X60" i="17"/>
  <c r="W60" i="17"/>
  <c r="BH19" i="25" l="1"/>
  <c r="BH17" i="25"/>
  <c r="BI18" i="25"/>
  <c r="BL60" i="24"/>
  <c r="BM109" i="24"/>
  <c r="BM40" i="24"/>
  <c r="BH19" i="21"/>
  <c r="BH17" i="21"/>
  <c r="BI18" i="21"/>
  <c r="E74" i="17"/>
  <c r="U68" i="17"/>
  <c r="S68" i="17"/>
  <c r="T68" i="17"/>
  <c r="D74" i="17"/>
  <c r="P68" i="17"/>
  <c r="Q68" i="17"/>
  <c r="O68" i="17"/>
  <c r="F74" i="17"/>
  <c r="X68" i="17"/>
  <c r="Y68" i="17"/>
  <c r="W68" i="17"/>
  <c r="H74" i="17"/>
  <c r="AG68" i="17"/>
  <c r="AF68" i="17"/>
  <c r="AE68" i="17"/>
  <c r="C74" i="17"/>
  <c r="L68" i="17"/>
  <c r="K68" i="17"/>
  <c r="M68" i="17"/>
  <c r="G74" i="17"/>
  <c r="AB68" i="17"/>
  <c r="AA68" i="17"/>
  <c r="AC68" i="17"/>
  <c r="BM60" i="24" l="1"/>
  <c r="BI17" i="25"/>
  <c r="BI19" i="25"/>
  <c r="BJ18" i="25"/>
  <c r="BN109" i="24"/>
  <c r="BN40" i="24"/>
  <c r="BI19" i="21"/>
  <c r="BI17" i="21"/>
  <c r="BJ18" i="21"/>
  <c r="D76" i="17"/>
  <c r="Q74" i="17"/>
  <c r="O74" i="17"/>
  <c r="P74" i="17"/>
  <c r="G76" i="17"/>
  <c r="AC74" i="17"/>
  <c r="AB74" i="17"/>
  <c r="AA74" i="17"/>
  <c r="H76" i="17"/>
  <c r="AG74" i="17"/>
  <c r="AF74" i="17"/>
  <c r="AE74" i="17"/>
  <c r="C76" i="17"/>
  <c r="M74" i="17"/>
  <c r="L74" i="17"/>
  <c r="K74" i="17"/>
  <c r="F76" i="17"/>
  <c r="X74" i="17"/>
  <c r="Y74" i="17"/>
  <c r="W74" i="17"/>
  <c r="E76" i="17"/>
  <c r="U74" i="17"/>
  <c r="S74" i="17"/>
  <c r="T74" i="17"/>
  <c r="AC33" i="19" l="1"/>
  <c r="AC35" i="19" s="1"/>
  <c r="Y33" i="19"/>
  <c r="Y35" i="19" s="1"/>
  <c r="Z33" i="19"/>
  <c r="Z35" i="19" s="1"/>
  <c r="AA33" i="19"/>
  <c r="AA35" i="19" s="1"/>
  <c r="AB33" i="19"/>
  <c r="AB35" i="19" s="1"/>
  <c r="AG33" i="19"/>
  <c r="AG35" i="19" s="1"/>
  <c r="AD33" i="19"/>
  <c r="AD35" i="19" s="1"/>
  <c r="AE33" i="19"/>
  <c r="AE35" i="19" s="1"/>
  <c r="AF33" i="19"/>
  <c r="AF35" i="19" s="1"/>
  <c r="V33" i="19"/>
  <c r="V35" i="19" s="1"/>
  <c r="V38" i="19" s="1"/>
  <c r="W33" i="19"/>
  <c r="W35" i="19" s="1"/>
  <c r="X33" i="19"/>
  <c r="X35" i="19" s="1"/>
  <c r="BM33" i="19"/>
  <c r="BM35" i="19" s="1"/>
  <c r="BL33" i="19"/>
  <c r="BL35" i="19" s="1"/>
  <c r="BK33" i="19"/>
  <c r="BK35" i="19" s="1"/>
  <c r="BJ33" i="19"/>
  <c r="BJ35" i="19" s="1"/>
  <c r="BI33" i="19"/>
  <c r="BI35" i="19" s="1"/>
  <c r="BH33" i="19"/>
  <c r="BH35" i="19" s="1"/>
  <c r="BG33" i="19"/>
  <c r="BG35" i="19" s="1"/>
  <c r="BF33" i="19"/>
  <c r="BF35" i="19" s="1"/>
  <c r="BQ33" i="19"/>
  <c r="BQ35" i="19" s="1"/>
  <c r="BP33" i="19"/>
  <c r="BP35" i="19" s="1"/>
  <c r="BO33" i="19"/>
  <c r="BO35" i="19" s="1"/>
  <c r="BN33" i="19"/>
  <c r="BN35" i="19" s="1"/>
  <c r="BU33" i="19"/>
  <c r="BU35" i="19" s="1"/>
  <c r="BR33" i="19"/>
  <c r="BR35" i="19" s="1"/>
  <c r="BS33" i="19"/>
  <c r="BS35" i="19" s="1"/>
  <c r="BT33" i="19"/>
  <c r="BT35" i="19" s="1"/>
  <c r="BV33" i="19"/>
  <c r="BV35" i="19" s="1"/>
  <c r="BW33" i="19"/>
  <c r="BW35" i="19" s="1"/>
  <c r="BX33" i="19"/>
  <c r="BX35" i="19" s="1"/>
  <c r="BY33" i="19"/>
  <c r="BY35" i="19" s="1"/>
  <c r="BZ33" i="19"/>
  <c r="BZ35" i="19" s="1"/>
  <c r="CA33" i="19"/>
  <c r="CA35" i="19" s="1"/>
  <c r="CB33" i="19"/>
  <c r="CB35" i="19" s="1"/>
  <c r="CC33" i="19"/>
  <c r="CC35" i="19" s="1"/>
  <c r="O33" i="19"/>
  <c r="O35" i="19" s="1"/>
  <c r="O38" i="19" s="1"/>
  <c r="P33" i="19"/>
  <c r="P35" i="19" s="1"/>
  <c r="P38" i="19" s="1"/>
  <c r="Q33" i="19"/>
  <c r="Q35" i="19" s="1"/>
  <c r="Q38" i="19" s="1"/>
  <c r="R33" i="19"/>
  <c r="R35" i="19" s="1"/>
  <c r="R38" i="19" s="1"/>
  <c r="S33" i="19"/>
  <c r="S35" i="19" s="1"/>
  <c r="S38" i="19" s="1"/>
  <c r="T33" i="19"/>
  <c r="T35" i="19" s="1"/>
  <c r="T38" i="19" s="1"/>
  <c r="U33" i="19"/>
  <c r="U35" i="19" s="1"/>
  <c r="U38" i="19" s="1"/>
  <c r="M33" i="19"/>
  <c r="M35" i="19" s="1"/>
  <c r="M38" i="19" s="1"/>
  <c r="N33" i="19"/>
  <c r="N35" i="19" s="1"/>
  <c r="N38" i="19" s="1"/>
  <c r="AT33" i="19"/>
  <c r="AT35" i="19" s="1"/>
  <c r="AU33" i="19"/>
  <c r="AU35" i="19" s="1"/>
  <c r="AV33" i="19"/>
  <c r="AV35" i="19" s="1"/>
  <c r="AW33" i="19"/>
  <c r="AW35" i="19" s="1"/>
  <c r="BC33" i="19"/>
  <c r="BC35" i="19" s="1"/>
  <c r="AX33" i="19"/>
  <c r="AX35" i="19" s="1"/>
  <c r="AY33" i="19"/>
  <c r="AY35" i="19" s="1"/>
  <c r="AZ33" i="19"/>
  <c r="AZ35" i="19" s="1"/>
  <c r="BA33" i="19"/>
  <c r="BA35" i="19" s="1"/>
  <c r="BB33" i="19"/>
  <c r="BB35" i="19" s="1"/>
  <c r="BD33" i="19"/>
  <c r="BD35" i="19" s="1"/>
  <c r="BE33" i="19"/>
  <c r="BE35" i="19" s="1"/>
  <c r="AS33" i="19"/>
  <c r="AS35" i="19" s="1"/>
  <c r="AR33" i="19"/>
  <c r="AR35" i="19" s="1"/>
  <c r="AQ33" i="19"/>
  <c r="AQ35" i="19" s="1"/>
  <c r="AP33" i="19"/>
  <c r="AP35" i="19" s="1"/>
  <c r="AO33" i="19"/>
  <c r="AO35" i="19" s="1"/>
  <c r="AN33" i="19"/>
  <c r="AN35" i="19" s="1"/>
  <c r="AL33" i="19"/>
  <c r="AL35" i="19" s="1"/>
  <c r="AK33" i="19"/>
  <c r="AK35" i="19" s="1"/>
  <c r="AJ33" i="19"/>
  <c r="AJ35" i="19" s="1"/>
  <c r="AI33" i="19"/>
  <c r="AI35" i="19" s="1"/>
  <c r="AH33" i="19"/>
  <c r="AH35" i="19" s="1"/>
  <c r="AM33" i="19"/>
  <c r="AM35" i="19" s="1"/>
  <c r="BN60" i="24"/>
  <c r="BO109" i="24"/>
  <c r="BO40" i="24"/>
  <c r="BK18" i="25"/>
  <c r="BJ17" i="25"/>
  <c r="BJ19" i="25"/>
  <c r="AH33" i="24"/>
  <c r="AH35" i="24" s="1"/>
  <c r="AI33" i="24"/>
  <c r="AI35" i="24" s="1"/>
  <c r="AJ33" i="24"/>
  <c r="AJ35" i="24" s="1"/>
  <c r="AK33" i="24"/>
  <c r="AK35" i="24" s="1"/>
  <c r="AL33" i="24"/>
  <c r="AL35" i="24" s="1"/>
  <c r="AM33" i="24"/>
  <c r="AM35" i="24" s="1"/>
  <c r="AN33" i="24"/>
  <c r="AN35" i="24" s="1"/>
  <c r="AO33" i="24"/>
  <c r="AO35" i="24" s="1"/>
  <c r="AP33" i="24"/>
  <c r="AP35" i="24" s="1"/>
  <c r="AQ33" i="24"/>
  <c r="AQ35" i="24" s="1"/>
  <c r="AR33" i="24"/>
  <c r="AR35" i="24" s="1"/>
  <c r="AS33" i="24"/>
  <c r="AS35" i="24" s="1"/>
  <c r="J33" i="24"/>
  <c r="J35" i="24" s="1"/>
  <c r="K33" i="24"/>
  <c r="K35" i="24" s="1"/>
  <c r="K38" i="24" s="1"/>
  <c r="L33" i="24"/>
  <c r="L35" i="24" s="1"/>
  <c r="L38" i="24" s="1"/>
  <c r="M33" i="24"/>
  <c r="M35" i="24" s="1"/>
  <c r="M38" i="24" s="1"/>
  <c r="N33" i="24"/>
  <c r="N35" i="24" s="1"/>
  <c r="N38" i="24" s="1"/>
  <c r="O33" i="24"/>
  <c r="O35" i="24" s="1"/>
  <c r="O38" i="24" s="1"/>
  <c r="P33" i="24"/>
  <c r="P35" i="24" s="1"/>
  <c r="P38" i="24" s="1"/>
  <c r="Q33" i="24"/>
  <c r="Q35" i="24" s="1"/>
  <c r="Q38" i="24" s="1"/>
  <c r="R33" i="24"/>
  <c r="R35" i="24" s="1"/>
  <c r="R38" i="24" s="1"/>
  <c r="S33" i="24"/>
  <c r="S35" i="24" s="1"/>
  <c r="S38" i="24" s="1"/>
  <c r="T33" i="24"/>
  <c r="T35" i="24" s="1"/>
  <c r="T38" i="24" s="1"/>
  <c r="U33" i="24"/>
  <c r="U35" i="24" s="1"/>
  <c r="U38" i="24" s="1"/>
  <c r="BR33" i="24"/>
  <c r="BS33" i="24"/>
  <c r="BT33" i="24"/>
  <c r="BU33" i="24"/>
  <c r="BV33" i="24"/>
  <c r="BW33" i="24"/>
  <c r="BX33" i="24"/>
  <c r="BY33" i="24"/>
  <c r="BZ33" i="24"/>
  <c r="CA33" i="24"/>
  <c r="CB33" i="24"/>
  <c r="CC33" i="24"/>
  <c r="BF33" i="24"/>
  <c r="BF35" i="24" s="1"/>
  <c r="BG33" i="24"/>
  <c r="BG35" i="24" s="1"/>
  <c r="BH33" i="24"/>
  <c r="BH35" i="24" s="1"/>
  <c r="BI33" i="24"/>
  <c r="BI35" i="24" s="1"/>
  <c r="BJ33" i="24"/>
  <c r="BJ35" i="24" s="1"/>
  <c r="BK33" i="24"/>
  <c r="BK35" i="24" s="1"/>
  <c r="BL33" i="24"/>
  <c r="BL35" i="24" s="1"/>
  <c r="BM33" i="24"/>
  <c r="BM35" i="24" s="1"/>
  <c r="BN33" i="24"/>
  <c r="BN35" i="24" s="1"/>
  <c r="BO33" i="24"/>
  <c r="BO35" i="24" s="1"/>
  <c r="BP33" i="24"/>
  <c r="BQ33" i="24"/>
  <c r="AT33" i="24"/>
  <c r="AT35" i="24" s="1"/>
  <c r="AU33" i="24"/>
  <c r="AU35" i="24" s="1"/>
  <c r="AV33" i="24"/>
  <c r="AV35" i="24" s="1"/>
  <c r="AW33" i="24"/>
  <c r="AW35" i="24" s="1"/>
  <c r="AX33" i="24"/>
  <c r="AX35" i="24" s="1"/>
  <c r="AY33" i="24"/>
  <c r="AY35" i="24" s="1"/>
  <c r="AZ33" i="24"/>
  <c r="AZ35" i="24" s="1"/>
  <c r="BA33" i="24"/>
  <c r="BA35" i="24" s="1"/>
  <c r="BB33" i="24"/>
  <c r="BB35" i="24" s="1"/>
  <c r="BC33" i="24"/>
  <c r="BC35" i="24" s="1"/>
  <c r="BD33" i="24"/>
  <c r="BD35" i="24" s="1"/>
  <c r="BE33" i="24"/>
  <c r="BE35" i="24" s="1"/>
  <c r="V33" i="24"/>
  <c r="V35" i="24" s="1"/>
  <c r="V38" i="24" s="1"/>
  <c r="W33" i="24"/>
  <c r="W35" i="24" s="1"/>
  <c r="X33" i="24"/>
  <c r="X35" i="24" s="1"/>
  <c r="Y33" i="24"/>
  <c r="Y35" i="24" s="1"/>
  <c r="Z33" i="24"/>
  <c r="Z35" i="24" s="1"/>
  <c r="AA33" i="24"/>
  <c r="AA35" i="24" s="1"/>
  <c r="AB33" i="24"/>
  <c r="AB35" i="24" s="1"/>
  <c r="AC33" i="24"/>
  <c r="AC35" i="24" s="1"/>
  <c r="AD33" i="24"/>
  <c r="AD35" i="24" s="1"/>
  <c r="AE33" i="24"/>
  <c r="AE35" i="24" s="1"/>
  <c r="AF33" i="24"/>
  <c r="AF35" i="24" s="1"/>
  <c r="AG33" i="24"/>
  <c r="AG35" i="24" s="1"/>
  <c r="J33" i="19"/>
  <c r="J35" i="19" s="1"/>
  <c r="J38" i="19" s="1"/>
  <c r="BJ17" i="21"/>
  <c r="BK18" i="21"/>
  <c r="BJ19" i="21"/>
  <c r="K33" i="19"/>
  <c r="L33" i="19"/>
  <c r="C11" i="8"/>
  <c r="C17" i="8" s="1"/>
  <c r="G11" i="8"/>
  <c r="G17" i="8" s="1"/>
  <c r="F11" i="8"/>
  <c r="F17" i="8" s="1"/>
  <c r="E11" i="8"/>
  <c r="E17" i="8" s="1"/>
  <c r="H11" i="8"/>
  <c r="G20" i="8"/>
  <c r="D11" i="8"/>
  <c r="D17" i="8" s="1"/>
  <c r="L76" i="17"/>
  <c r="M76" i="17"/>
  <c r="K76" i="17"/>
  <c r="U76" i="17"/>
  <c r="S76" i="17"/>
  <c r="T76" i="17"/>
  <c r="AB76" i="17"/>
  <c r="AC76" i="17"/>
  <c r="AA76" i="17"/>
  <c r="Y76" i="17"/>
  <c r="X76" i="17"/>
  <c r="W76" i="17"/>
  <c r="AF76" i="17"/>
  <c r="AE76" i="17"/>
  <c r="AG76" i="17"/>
  <c r="Q76" i="17"/>
  <c r="O76" i="17"/>
  <c r="P76" i="17"/>
  <c r="AN36" i="19" l="1"/>
  <c r="AN52" i="19" s="1"/>
  <c r="AN53" i="19" s="1"/>
  <c r="AC38" i="19"/>
  <c r="AJ36" i="19"/>
  <c r="AJ52" i="19" s="1"/>
  <c r="AJ53" i="19" s="1"/>
  <c r="Y38" i="19"/>
  <c r="AK36" i="19"/>
  <c r="AK52" i="19" s="1"/>
  <c r="AK53" i="19" s="1"/>
  <c r="Z38" i="19"/>
  <c r="AL36" i="19"/>
  <c r="AL52" i="19" s="1"/>
  <c r="AL53" i="19" s="1"/>
  <c r="AA38" i="19"/>
  <c r="AM36" i="19"/>
  <c r="AM52" i="19" s="1"/>
  <c r="AM53" i="19" s="1"/>
  <c r="AB38" i="19"/>
  <c r="AR36" i="19"/>
  <c r="AR52" i="19" s="1"/>
  <c r="AR53" i="19" s="1"/>
  <c r="AG38" i="19"/>
  <c r="AO36" i="19"/>
  <c r="AO52" i="19" s="1"/>
  <c r="AO53" i="19" s="1"/>
  <c r="AD38" i="19"/>
  <c r="AP36" i="19"/>
  <c r="AP52" i="19" s="1"/>
  <c r="AP53" i="19" s="1"/>
  <c r="AE38" i="19"/>
  <c r="AQ36" i="19"/>
  <c r="AQ52" i="19" s="1"/>
  <c r="AQ53" i="19" s="1"/>
  <c r="AF38" i="19"/>
  <c r="AH36" i="19"/>
  <c r="AH52" i="19" s="1"/>
  <c r="AH53" i="19" s="1"/>
  <c r="W38" i="19"/>
  <c r="AI36" i="19"/>
  <c r="AI52" i="19" s="1"/>
  <c r="AI53" i="19" s="1"/>
  <c r="X38" i="19"/>
  <c r="BX36" i="19"/>
  <c r="BX52" i="19" s="1"/>
  <c r="BX53" i="19" s="1"/>
  <c r="BM38" i="19"/>
  <c r="BW36" i="19"/>
  <c r="BW52" i="19" s="1"/>
  <c r="BW53" i="19" s="1"/>
  <c r="BL38" i="19"/>
  <c r="BV36" i="19"/>
  <c r="BV52" i="19" s="1"/>
  <c r="BV53" i="19" s="1"/>
  <c r="BK38" i="19"/>
  <c r="BU36" i="19"/>
  <c r="BU52" i="19" s="1"/>
  <c r="BU53" i="19" s="1"/>
  <c r="BJ38" i="19"/>
  <c r="BT36" i="19"/>
  <c r="BT52" i="19" s="1"/>
  <c r="BT53" i="19" s="1"/>
  <c r="BI38" i="19"/>
  <c r="BS36" i="19"/>
  <c r="BS52" i="19" s="1"/>
  <c r="BS53" i="19" s="1"/>
  <c r="BH38" i="19"/>
  <c r="BR36" i="19"/>
  <c r="BR52" i="19" s="1"/>
  <c r="BR53" i="19" s="1"/>
  <c r="BG38" i="19"/>
  <c r="BQ36" i="19"/>
  <c r="BQ52" i="19" s="1"/>
  <c r="BQ53" i="19" s="1"/>
  <c r="BF38" i="19"/>
  <c r="CB36" i="19"/>
  <c r="CB52" i="19" s="1"/>
  <c r="CB53" i="19" s="1"/>
  <c r="BQ38" i="19"/>
  <c r="CA36" i="19"/>
  <c r="CA52" i="19" s="1"/>
  <c r="CA53" i="19" s="1"/>
  <c r="BP38" i="19"/>
  <c r="BZ36" i="19"/>
  <c r="BZ52" i="19" s="1"/>
  <c r="BZ53" i="19" s="1"/>
  <c r="BO38" i="19"/>
  <c r="BY36" i="19"/>
  <c r="BY52" i="19" s="1"/>
  <c r="BY53" i="19" s="1"/>
  <c r="BN38" i="19"/>
  <c r="CF36" i="19"/>
  <c r="CF52" i="19" s="1"/>
  <c r="CF53" i="19" s="1"/>
  <c r="BU38" i="19"/>
  <c r="CC36" i="19"/>
  <c r="CC52" i="19" s="1"/>
  <c r="CC53" i="19" s="1"/>
  <c r="BR38" i="19"/>
  <c r="CD36" i="19"/>
  <c r="CD52" i="19" s="1"/>
  <c r="CD53" i="19" s="1"/>
  <c r="BS38" i="19"/>
  <c r="CE36" i="19"/>
  <c r="CE52" i="19" s="1"/>
  <c r="CE53" i="19" s="1"/>
  <c r="BT38" i="19"/>
  <c r="CG36" i="19"/>
  <c r="CG52" i="19" s="1"/>
  <c r="CG53" i="19" s="1"/>
  <c r="BV38" i="19"/>
  <c r="CH36" i="19"/>
  <c r="CH52" i="19" s="1"/>
  <c r="CH53" i="19" s="1"/>
  <c r="BW38" i="19"/>
  <c r="CI36" i="19"/>
  <c r="CI52" i="19" s="1"/>
  <c r="CI53" i="19" s="1"/>
  <c r="BX38" i="19"/>
  <c r="CJ36" i="19"/>
  <c r="CJ52" i="19" s="1"/>
  <c r="CJ53" i="19" s="1"/>
  <c r="BY38" i="19"/>
  <c r="CK36" i="19"/>
  <c r="CK52" i="19" s="1"/>
  <c r="CK53" i="19" s="1"/>
  <c r="BZ38" i="19"/>
  <c r="CL36" i="19"/>
  <c r="CL52" i="19" s="1"/>
  <c r="CL53" i="19" s="1"/>
  <c r="CA38" i="19"/>
  <c r="CM36" i="19"/>
  <c r="CM52" i="19" s="1"/>
  <c r="CM53" i="19" s="1"/>
  <c r="CB38" i="19"/>
  <c r="CN36" i="19"/>
  <c r="CN52" i="19" s="1"/>
  <c r="CN53" i="19" s="1"/>
  <c r="CC38" i="19"/>
  <c r="BE36" i="19"/>
  <c r="BE52" i="19" s="1"/>
  <c r="BE53" i="19" s="1"/>
  <c r="AT38" i="19"/>
  <c r="BF36" i="19"/>
  <c r="BF52" i="19" s="1"/>
  <c r="BF53" i="19" s="1"/>
  <c r="AU38" i="19"/>
  <c r="BG36" i="19"/>
  <c r="BG52" i="19" s="1"/>
  <c r="BG53" i="19" s="1"/>
  <c r="AV38" i="19"/>
  <c r="BH36" i="19"/>
  <c r="BH52" i="19" s="1"/>
  <c r="BH53" i="19" s="1"/>
  <c r="AW38" i="19"/>
  <c r="BN36" i="19"/>
  <c r="BN52" i="19" s="1"/>
  <c r="BN53" i="19" s="1"/>
  <c r="BC38" i="19"/>
  <c r="BI36" i="19"/>
  <c r="BI52" i="19" s="1"/>
  <c r="BI53" i="19" s="1"/>
  <c r="AX38" i="19"/>
  <c r="BJ36" i="19"/>
  <c r="BJ52" i="19" s="1"/>
  <c r="BJ53" i="19" s="1"/>
  <c r="AY38" i="19"/>
  <c r="BK36" i="19"/>
  <c r="BK52" i="19" s="1"/>
  <c r="BK53" i="19" s="1"/>
  <c r="AZ38" i="19"/>
  <c r="BL36" i="19"/>
  <c r="BL52" i="19" s="1"/>
  <c r="BL53" i="19" s="1"/>
  <c r="BA38" i="19"/>
  <c r="BM36" i="19"/>
  <c r="BM52" i="19" s="1"/>
  <c r="BM53" i="19" s="1"/>
  <c r="BB38" i="19"/>
  <c r="BO36" i="19"/>
  <c r="BO52" i="19" s="1"/>
  <c r="BO53" i="19" s="1"/>
  <c r="BD38" i="19"/>
  <c r="BP36" i="19"/>
  <c r="BP52" i="19" s="1"/>
  <c r="BP53" i="19" s="1"/>
  <c r="BE38" i="19"/>
  <c r="BD36" i="19"/>
  <c r="BD52" i="19" s="1"/>
  <c r="BD53" i="19" s="1"/>
  <c r="AS38" i="19"/>
  <c r="BC36" i="19"/>
  <c r="BC52" i="19" s="1"/>
  <c r="BC53" i="19" s="1"/>
  <c r="AR38" i="19"/>
  <c r="BB36" i="19"/>
  <c r="BB52" i="19" s="1"/>
  <c r="BB53" i="19" s="1"/>
  <c r="AQ38" i="19"/>
  <c r="BA36" i="19"/>
  <c r="BA52" i="19" s="1"/>
  <c r="BA53" i="19" s="1"/>
  <c r="AP38" i="19"/>
  <c r="AZ36" i="19"/>
  <c r="AZ52" i="19" s="1"/>
  <c r="AZ53" i="19" s="1"/>
  <c r="AO38" i="19"/>
  <c r="AY36" i="19"/>
  <c r="AY52" i="19" s="1"/>
  <c r="AY53" i="19" s="1"/>
  <c r="AN38" i="19"/>
  <c r="AW36" i="19"/>
  <c r="AW52" i="19" s="1"/>
  <c r="AW53" i="19" s="1"/>
  <c r="AL38" i="19"/>
  <c r="AV36" i="19"/>
  <c r="AV52" i="19" s="1"/>
  <c r="AV53" i="19" s="1"/>
  <c r="AK38" i="19"/>
  <c r="AU36" i="19"/>
  <c r="AU52" i="19" s="1"/>
  <c r="AU53" i="19" s="1"/>
  <c r="AJ38" i="19"/>
  <c r="AT36" i="19"/>
  <c r="AT52" i="19" s="1"/>
  <c r="AT53" i="19" s="1"/>
  <c r="AI38" i="19"/>
  <c r="AS36" i="19"/>
  <c r="AH38" i="19"/>
  <c r="AX36" i="19"/>
  <c r="AX52" i="19" s="1"/>
  <c r="AX53" i="19" s="1"/>
  <c r="AM38" i="19"/>
  <c r="J38" i="24"/>
  <c r="T36" i="24"/>
  <c r="T52" i="24" s="1"/>
  <c r="T53" i="24" s="1"/>
  <c r="BP35" i="24"/>
  <c r="BP38" i="24" s="1"/>
  <c r="BK19" i="25"/>
  <c r="BL18" i="25"/>
  <c r="BK17" i="25"/>
  <c r="BO60" i="24"/>
  <c r="BP109" i="24"/>
  <c r="BP40" i="24"/>
  <c r="AF38" i="24"/>
  <c r="AQ36" i="24"/>
  <c r="AQ52" i="24" s="1"/>
  <c r="AQ53" i="24" s="1"/>
  <c r="X38" i="24"/>
  <c r="AI36" i="24"/>
  <c r="AI52" i="24" s="1"/>
  <c r="AI53" i="24" s="1"/>
  <c r="BK36" i="24"/>
  <c r="BK52" i="24" s="1"/>
  <c r="BK53" i="24" s="1"/>
  <c r="AZ38" i="24"/>
  <c r="BH38" i="24"/>
  <c r="AN38" i="24"/>
  <c r="AY36" i="24"/>
  <c r="AY52" i="24" s="1"/>
  <c r="AY53" i="24" s="1"/>
  <c r="AG38" i="24"/>
  <c r="AR36" i="24"/>
  <c r="AR52" i="24" s="1"/>
  <c r="AR53" i="24" s="1"/>
  <c r="AE38" i="24"/>
  <c r="AP36" i="24"/>
  <c r="AP52" i="24" s="1"/>
  <c r="AP53" i="24" s="1"/>
  <c r="W38" i="24"/>
  <c r="AH36" i="24"/>
  <c r="AH52" i="24" s="1"/>
  <c r="BJ36" i="24"/>
  <c r="BJ52" i="24" s="1"/>
  <c r="BJ53" i="24" s="1"/>
  <c r="AY38" i="24"/>
  <c r="BO38" i="24"/>
  <c r="BG38" i="24"/>
  <c r="AM38" i="24"/>
  <c r="AX36" i="24"/>
  <c r="AX52" i="24" s="1"/>
  <c r="AX53" i="24" s="1"/>
  <c r="BA38" i="24"/>
  <c r="BL36" i="24"/>
  <c r="BL52" i="24" s="1"/>
  <c r="BL53" i="24" s="1"/>
  <c r="AD38" i="24"/>
  <c r="AO36" i="24"/>
  <c r="AO52" i="24" s="1"/>
  <c r="AO53" i="24" s="1"/>
  <c r="BI36" i="24"/>
  <c r="BI52" i="24" s="1"/>
  <c r="BI53" i="24" s="1"/>
  <c r="AX38" i="24"/>
  <c r="BN38" i="24"/>
  <c r="BF38" i="24"/>
  <c r="AL38" i="24"/>
  <c r="AW36" i="24"/>
  <c r="AW52" i="24" s="1"/>
  <c r="AW53" i="24" s="1"/>
  <c r="AN36" i="24"/>
  <c r="AN52" i="24" s="1"/>
  <c r="AN53" i="24" s="1"/>
  <c r="AC38" i="24"/>
  <c r="BE38" i="24"/>
  <c r="AW38" i="24"/>
  <c r="BH36" i="24"/>
  <c r="BH52" i="24" s="1"/>
  <c r="BH53" i="24" s="1"/>
  <c r="BM38" i="24"/>
  <c r="AS38" i="24"/>
  <c r="BD36" i="24"/>
  <c r="BD52" i="24" s="1"/>
  <c r="BD53" i="24" s="1"/>
  <c r="AV36" i="24"/>
  <c r="AV52" i="24" s="1"/>
  <c r="AV53" i="24" s="1"/>
  <c r="AK38" i="24"/>
  <c r="BI38" i="24"/>
  <c r="AM36" i="24"/>
  <c r="AM52" i="24" s="1"/>
  <c r="AM53" i="24" s="1"/>
  <c r="AB38" i="24"/>
  <c r="BD38" i="24"/>
  <c r="BO36" i="24"/>
  <c r="BO52" i="24" s="1"/>
  <c r="BO53" i="24" s="1"/>
  <c r="AV38" i="24"/>
  <c r="BG36" i="24"/>
  <c r="BG52" i="24" s="1"/>
  <c r="BG53" i="24" s="1"/>
  <c r="BL38" i="24"/>
  <c r="BC36" i="24"/>
  <c r="BC52" i="24" s="1"/>
  <c r="BC53" i="24" s="1"/>
  <c r="AR38" i="24"/>
  <c r="AU36" i="24"/>
  <c r="AU52" i="24" s="1"/>
  <c r="AU53" i="24" s="1"/>
  <c r="AJ38" i="24"/>
  <c r="AL36" i="24"/>
  <c r="AL52" i="24" s="1"/>
  <c r="AL53" i="24" s="1"/>
  <c r="AA38" i="24"/>
  <c r="BC38" i="24"/>
  <c r="BN36" i="24"/>
  <c r="BN52" i="24" s="1"/>
  <c r="BN53" i="24" s="1"/>
  <c r="AU38" i="24"/>
  <c r="BF36" i="24"/>
  <c r="BF52" i="24" s="1"/>
  <c r="BF53" i="24" s="1"/>
  <c r="BK38" i="24"/>
  <c r="BB36" i="24"/>
  <c r="BB52" i="24" s="1"/>
  <c r="BB53" i="24" s="1"/>
  <c r="AQ38" i="24"/>
  <c r="AT36" i="24"/>
  <c r="AT52" i="24" s="1"/>
  <c r="AT53" i="24" s="1"/>
  <c r="AI38" i="24"/>
  <c r="Y38" i="24"/>
  <c r="AJ36" i="24"/>
  <c r="AJ52" i="24" s="1"/>
  <c r="AJ53" i="24" s="1"/>
  <c r="AO38" i="24"/>
  <c r="AZ36" i="24"/>
  <c r="AZ52" i="24" s="1"/>
  <c r="AZ53" i="24" s="1"/>
  <c r="AK36" i="24"/>
  <c r="AK52" i="24" s="1"/>
  <c r="AK53" i="24" s="1"/>
  <c r="Z38" i="24"/>
  <c r="BB38" i="24"/>
  <c r="BM36" i="24"/>
  <c r="BM52" i="24" s="1"/>
  <c r="BM53" i="24" s="1"/>
  <c r="AT38" i="24"/>
  <c r="BE36" i="24"/>
  <c r="BE52" i="24" s="1"/>
  <c r="BE53" i="24" s="1"/>
  <c r="BJ38" i="24"/>
  <c r="AP38" i="24"/>
  <c r="BA36" i="24"/>
  <c r="BA52" i="24" s="1"/>
  <c r="BA53" i="24" s="1"/>
  <c r="AS36" i="24"/>
  <c r="AH38" i="24"/>
  <c r="K35" i="19"/>
  <c r="K38" i="19" s="1"/>
  <c r="BK17" i="21"/>
  <c r="BL18" i="21"/>
  <c r="BK19" i="21"/>
  <c r="L35" i="19"/>
  <c r="L38" i="19" s="1"/>
  <c r="G23" i="8"/>
  <c r="G26" i="8" s="1"/>
  <c r="C32" i="8" s="1"/>
  <c r="C31" i="8"/>
  <c r="V10" i="19" l="1"/>
  <c r="V9" i="19" s="1"/>
  <c r="AS52" i="19"/>
  <c r="AS53" i="19" s="1"/>
  <c r="BP36" i="24"/>
  <c r="BP52" i="24" s="1"/>
  <c r="BP53" i="24" s="1"/>
  <c r="BP60" i="24"/>
  <c r="BQ35" i="24"/>
  <c r="BQ38" i="24" s="1"/>
  <c r="BL19" i="25"/>
  <c r="BM18" i="25"/>
  <c r="BL17" i="25"/>
  <c r="BQ109" i="24"/>
  <c r="BQ40" i="24"/>
  <c r="AS52" i="24"/>
  <c r="AS53" i="24" s="1"/>
  <c r="V10" i="24"/>
  <c r="V9" i="24" s="1"/>
  <c r="AH53" i="24"/>
  <c r="BL17" i="21"/>
  <c r="BM18" i="21"/>
  <c r="BL19" i="21"/>
  <c r="C33" i="8"/>
  <c r="M101" i="19" l="1"/>
  <c r="M47" i="19" s="1"/>
  <c r="N101" i="19"/>
  <c r="N47" i="19" s="1"/>
  <c r="O101" i="19"/>
  <c r="O47" i="19" s="1"/>
  <c r="P101" i="19"/>
  <c r="P47" i="19" s="1"/>
  <c r="Q101" i="19"/>
  <c r="Q47" i="19" s="1"/>
  <c r="R101" i="19"/>
  <c r="R47" i="19" s="1"/>
  <c r="S101" i="19"/>
  <c r="S47" i="19" s="1"/>
  <c r="T101" i="19"/>
  <c r="T47" i="19" s="1"/>
  <c r="U101" i="19"/>
  <c r="U47" i="19" s="1"/>
  <c r="V101" i="19"/>
  <c r="V47" i="19" s="1"/>
  <c r="W101" i="19"/>
  <c r="W47" i="19" s="1"/>
  <c r="X101" i="19"/>
  <c r="X47" i="19" s="1"/>
  <c r="Y101" i="19"/>
  <c r="Y47" i="19" s="1"/>
  <c r="Z101" i="19"/>
  <c r="Z47" i="19" s="1"/>
  <c r="AA101" i="19"/>
  <c r="AA47" i="19" s="1"/>
  <c r="AB101" i="19"/>
  <c r="AB47" i="19" s="1"/>
  <c r="AC101" i="19"/>
  <c r="AC47" i="19" s="1"/>
  <c r="AD101" i="19"/>
  <c r="AD47" i="19" s="1"/>
  <c r="AE101" i="19"/>
  <c r="AE47" i="19" s="1"/>
  <c r="AF101" i="19"/>
  <c r="AF47" i="19" s="1"/>
  <c r="AG101" i="19"/>
  <c r="AG47" i="19" s="1"/>
  <c r="AH101" i="19"/>
  <c r="AH47" i="19" s="1"/>
  <c r="AI101" i="19"/>
  <c r="AI47" i="19" s="1"/>
  <c r="AJ101" i="19"/>
  <c r="AJ47" i="19" s="1"/>
  <c r="AK101" i="19"/>
  <c r="AK47" i="19" s="1"/>
  <c r="AL101" i="19"/>
  <c r="AL47" i="19" s="1"/>
  <c r="AM101" i="19"/>
  <c r="AM47" i="19" s="1"/>
  <c r="AN101" i="19"/>
  <c r="AN47" i="19" s="1"/>
  <c r="AO101" i="19"/>
  <c r="AO47" i="19" s="1"/>
  <c r="AP101" i="19"/>
  <c r="AP47" i="19" s="1"/>
  <c r="AQ101" i="19"/>
  <c r="AQ47" i="19" s="1"/>
  <c r="AR101" i="19"/>
  <c r="AR47" i="19" s="1"/>
  <c r="AS101" i="19"/>
  <c r="AS47" i="19" s="1"/>
  <c r="AT101" i="19"/>
  <c r="AT47" i="19" s="1"/>
  <c r="AU101" i="19"/>
  <c r="AU47" i="19" s="1"/>
  <c r="AV101" i="19"/>
  <c r="AV47" i="19" s="1"/>
  <c r="AW101" i="19"/>
  <c r="AW47" i="19" s="1"/>
  <c r="AX101" i="19"/>
  <c r="AX47" i="19" s="1"/>
  <c r="AY101" i="19"/>
  <c r="AY47" i="19" s="1"/>
  <c r="AZ101" i="19"/>
  <c r="AZ47" i="19" s="1"/>
  <c r="BA101" i="19"/>
  <c r="BA47" i="19" s="1"/>
  <c r="BB101" i="19"/>
  <c r="BB47" i="19" s="1"/>
  <c r="BC101" i="19"/>
  <c r="BC47" i="19" s="1"/>
  <c r="BD101" i="19"/>
  <c r="BD47" i="19" s="1"/>
  <c r="BE101" i="19"/>
  <c r="BE47" i="19" s="1"/>
  <c r="BF101" i="19"/>
  <c r="BF47" i="19" s="1"/>
  <c r="BG101" i="19"/>
  <c r="BG47" i="19" s="1"/>
  <c r="BH101" i="19"/>
  <c r="BH47" i="19" s="1"/>
  <c r="BI101" i="19"/>
  <c r="BI47" i="19" s="1"/>
  <c r="BJ101" i="19"/>
  <c r="BJ47" i="19" s="1"/>
  <c r="BK101" i="19"/>
  <c r="BK47" i="19" s="1"/>
  <c r="BL101" i="19"/>
  <c r="BL47" i="19" s="1"/>
  <c r="BM101" i="19"/>
  <c r="BM47" i="19" s="1"/>
  <c r="BN101" i="19"/>
  <c r="BN47" i="19" s="1"/>
  <c r="BO101" i="19"/>
  <c r="BO47" i="19" s="1"/>
  <c r="BP101" i="19"/>
  <c r="BP47" i="19" s="1"/>
  <c r="BQ101" i="19"/>
  <c r="BQ47" i="19" s="1"/>
  <c r="BR101" i="19"/>
  <c r="BR47" i="19" s="1"/>
  <c r="BS101" i="19"/>
  <c r="BS47" i="19" s="1"/>
  <c r="BT101" i="19"/>
  <c r="BT47" i="19" s="1"/>
  <c r="BU101" i="19"/>
  <c r="BU47" i="19" s="1"/>
  <c r="BV101" i="19"/>
  <c r="BV47" i="19" s="1"/>
  <c r="BW101" i="19"/>
  <c r="BW47" i="19" s="1"/>
  <c r="BX101" i="19"/>
  <c r="BX47" i="19" s="1"/>
  <c r="BY101" i="19"/>
  <c r="BY47" i="19" s="1"/>
  <c r="BZ101" i="19"/>
  <c r="BZ47" i="19" s="1"/>
  <c r="CA101" i="19"/>
  <c r="CA47" i="19" s="1"/>
  <c r="CB101" i="19"/>
  <c r="CB47" i="19" s="1"/>
  <c r="CC101" i="19"/>
  <c r="CC47" i="19" s="1"/>
  <c r="CD101" i="19"/>
  <c r="CD47" i="19" s="1"/>
  <c r="CE101" i="19"/>
  <c r="CE47" i="19" s="1"/>
  <c r="CF101" i="19"/>
  <c r="CF47" i="19" s="1"/>
  <c r="CG101" i="19"/>
  <c r="CG47" i="19" s="1"/>
  <c r="CH101" i="19"/>
  <c r="CH47" i="19" s="1"/>
  <c r="CI101" i="19"/>
  <c r="CI47" i="19" s="1"/>
  <c r="CJ101" i="19"/>
  <c r="CJ47" i="19" s="1"/>
  <c r="CK101" i="19"/>
  <c r="CK47" i="19" s="1"/>
  <c r="CL101" i="19"/>
  <c r="CL47" i="19" s="1"/>
  <c r="CM101" i="19"/>
  <c r="CM47" i="19" s="1"/>
  <c r="CN101" i="19"/>
  <c r="CN47" i="19" s="1"/>
  <c r="CO101" i="19"/>
  <c r="CO47" i="19" s="1"/>
  <c r="M109" i="19"/>
  <c r="N109" i="19"/>
  <c r="O109" i="19"/>
  <c r="P109" i="19"/>
  <c r="Q109" i="19"/>
  <c r="R109" i="19"/>
  <c r="S109" i="19"/>
  <c r="T109" i="19"/>
  <c r="U109" i="19"/>
  <c r="V109" i="19"/>
  <c r="W109" i="19"/>
  <c r="X109" i="19"/>
  <c r="Y109" i="19"/>
  <c r="Z109" i="19"/>
  <c r="AA109" i="19"/>
  <c r="AB109" i="19"/>
  <c r="AC109" i="19"/>
  <c r="AD109" i="19"/>
  <c r="AE109" i="19"/>
  <c r="AF109" i="19"/>
  <c r="AG109" i="19"/>
  <c r="AH109" i="19"/>
  <c r="AI109" i="19"/>
  <c r="AJ109" i="19"/>
  <c r="AK109" i="19"/>
  <c r="AL109" i="19"/>
  <c r="AM109" i="19"/>
  <c r="AN109" i="19"/>
  <c r="AO109" i="19"/>
  <c r="AP109" i="19"/>
  <c r="AQ109" i="19"/>
  <c r="AR109" i="19"/>
  <c r="AS109" i="19"/>
  <c r="AT109" i="19"/>
  <c r="AU109" i="19"/>
  <c r="AV109" i="19"/>
  <c r="AW109" i="19"/>
  <c r="AX109" i="19"/>
  <c r="AY109" i="19"/>
  <c r="AZ109" i="19"/>
  <c r="BA109" i="19"/>
  <c r="BB109" i="19"/>
  <c r="BC109" i="19"/>
  <c r="BD109" i="19"/>
  <c r="BE109" i="19"/>
  <c r="BF109" i="19"/>
  <c r="BG109" i="19"/>
  <c r="BH109" i="19"/>
  <c r="BI109" i="19"/>
  <c r="BJ109" i="19"/>
  <c r="BK109" i="19"/>
  <c r="BL109" i="19"/>
  <c r="BM109" i="19"/>
  <c r="BN109" i="19"/>
  <c r="BO109" i="19"/>
  <c r="BP109" i="19"/>
  <c r="BQ109" i="19"/>
  <c r="BR109" i="19"/>
  <c r="BS109" i="19"/>
  <c r="BT109" i="19"/>
  <c r="BU109" i="19"/>
  <c r="BV109" i="19"/>
  <c r="BW109" i="19"/>
  <c r="BX109" i="19"/>
  <c r="BY109" i="19"/>
  <c r="BZ109" i="19"/>
  <c r="CA109" i="19"/>
  <c r="CB109" i="19"/>
  <c r="CC109" i="19"/>
  <c r="CD109" i="19"/>
  <c r="CE109" i="19"/>
  <c r="CF109" i="19"/>
  <c r="CG109" i="19"/>
  <c r="CH109" i="19"/>
  <c r="CI109" i="19"/>
  <c r="CJ109" i="19"/>
  <c r="CK109" i="19"/>
  <c r="CL109" i="19"/>
  <c r="CM109" i="19"/>
  <c r="CN109" i="19"/>
  <c r="CO109" i="19"/>
  <c r="BM17" i="25"/>
  <c r="BN18" i="25"/>
  <c r="BM19" i="25"/>
  <c r="BR109" i="24"/>
  <c r="BR40" i="24"/>
  <c r="BR35" i="24"/>
  <c r="BR38" i="24" s="1"/>
  <c r="BQ60" i="24"/>
  <c r="BQ36" i="24"/>
  <c r="BQ52" i="24" s="1"/>
  <c r="BQ53" i="24" s="1"/>
  <c r="D32" i="8"/>
  <c r="BM17" i="21"/>
  <c r="BM19" i="21"/>
  <c r="BN18" i="21"/>
  <c r="C34" i="8"/>
  <c r="D31" i="8"/>
  <c r="M48" i="19" l="1"/>
  <c r="N48" i="19"/>
  <c r="O48" i="19"/>
  <c r="P48" i="19"/>
  <c r="Q48" i="19"/>
  <c r="R48" i="19"/>
  <c r="S48" i="19"/>
  <c r="T48" i="19"/>
  <c r="U48" i="19"/>
  <c r="V48" i="19"/>
  <c r="W48" i="19"/>
  <c r="X48" i="19"/>
  <c r="Y48" i="19"/>
  <c r="Z48" i="19"/>
  <c r="AA48" i="19"/>
  <c r="AB48" i="19"/>
  <c r="AC48" i="19"/>
  <c r="AD48" i="19"/>
  <c r="AE48" i="19"/>
  <c r="AF48" i="19"/>
  <c r="AG48" i="19"/>
  <c r="AH48" i="19"/>
  <c r="AI48" i="19"/>
  <c r="AJ48" i="19"/>
  <c r="AK48" i="19"/>
  <c r="AL48" i="19"/>
  <c r="AM48" i="19"/>
  <c r="AN48" i="19"/>
  <c r="AO48" i="19"/>
  <c r="AP48" i="19"/>
  <c r="AQ48" i="19"/>
  <c r="AR48" i="19"/>
  <c r="AS48" i="19"/>
  <c r="AT48" i="19"/>
  <c r="AU48" i="19"/>
  <c r="AV48" i="19"/>
  <c r="AW48" i="19"/>
  <c r="AX48" i="19"/>
  <c r="AY48" i="19"/>
  <c r="AZ48" i="19"/>
  <c r="BA48" i="19"/>
  <c r="BB48" i="19"/>
  <c r="BC48" i="19"/>
  <c r="BD48" i="19"/>
  <c r="BE48" i="19"/>
  <c r="BF48" i="19"/>
  <c r="BG48" i="19"/>
  <c r="BH48" i="19"/>
  <c r="BI48" i="19"/>
  <c r="BJ48" i="19"/>
  <c r="BK48" i="19"/>
  <c r="BL48" i="19"/>
  <c r="BM48" i="19"/>
  <c r="BN48" i="19"/>
  <c r="BO48" i="19"/>
  <c r="BP48" i="19"/>
  <c r="BQ48" i="19"/>
  <c r="BR48" i="19"/>
  <c r="BS48" i="19"/>
  <c r="BT48" i="19"/>
  <c r="BU48" i="19"/>
  <c r="BV48" i="19"/>
  <c r="BW48" i="19"/>
  <c r="BX48" i="19"/>
  <c r="BY48" i="19"/>
  <c r="BZ48" i="19"/>
  <c r="CA48" i="19"/>
  <c r="CB48" i="19"/>
  <c r="CC48" i="19"/>
  <c r="CD48" i="19"/>
  <c r="CE48" i="19"/>
  <c r="CF48" i="19"/>
  <c r="CG48" i="19"/>
  <c r="CH48" i="19"/>
  <c r="CI48" i="19"/>
  <c r="CJ48" i="19"/>
  <c r="CK48" i="19"/>
  <c r="CL48" i="19"/>
  <c r="CM48" i="19"/>
  <c r="CN48" i="19"/>
  <c r="CO48" i="19"/>
  <c r="M49" i="19"/>
  <c r="N49" i="19"/>
  <c r="O49" i="19"/>
  <c r="P49" i="19"/>
  <c r="Q49" i="19"/>
  <c r="R49" i="19"/>
  <c r="S49" i="19"/>
  <c r="T49" i="19"/>
  <c r="U49" i="19"/>
  <c r="V49" i="19"/>
  <c r="W49" i="19"/>
  <c r="X49" i="19"/>
  <c r="Y49" i="19"/>
  <c r="Z49" i="19"/>
  <c r="AA49" i="19"/>
  <c r="AB49" i="19"/>
  <c r="AC49" i="19"/>
  <c r="AD49" i="19"/>
  <c r="AE49" i="19"/>
  <c r="AF49" i="19"/>
  <c r="AG49" i="19"/>
  <c r="AH49" i="19"/>
  <c r="AI49" i="19"/>
  <c r="AJ49" i="19"/>
  <c r="AK49" i="19"/>
  <c r="AL49" i="19"/>
  <c r="AM49" i="19"/>
  <c r="AN49" i="19"/>
  <c r="AO49" i="19"/>
  <c r="AP49" i="19"/>
  <c r="AQ49" i="19"/>
  <c r="AR49" i="19"/>
  <c r="AS49" i="19"/>
  <c r="AT49" i="19"/>
  <c r="AU49" i="19"/>
  <c r="AV49" i="19"/>
  <c r="AW49" i="19"/>
  <c r="AX49" i="19"/>
  <c r="AY49" i="19"/>
  <c r="AZ49" i="19"/>
  <c r="BA49" i="19"/>
  <c r="BB49" i="19"/>
  <c r="BC49" i="19"/>
  <c r="BD49" i="19"/>
  <c r="BE49" i="19"/>
  <c r="BF49" i="19"/>
  <c r="BG49" i="19"/>
  <c r="BH49" i="19"/>
  <c r="BI49" i="19"/>
  <c r="BJ49" i="19"/>
  <c r="BK49" i="19"/>
  <c r="BL49" i="19"/>
  <c r="BM49" i="19"/>
  <c r="BN49" i="19"/>
  <c r="BO49" i="19"/>
  <c r="BP49" i="19"/>
  <c r="BQ49" i="19"/>
  <c r="BR49" i="19"/>
  <c r="BS49" i="19"/>
  <c r="BT49" i="19"/>
  <c r="BU49" i="19"/>
  <c r="BV49" i="19"/>
  <c r="BW49" i="19"/>
  <c r="BX49" i="19"/>
  <c r="BY49" i="19"/>
  <c r="BZ49" i="19"/>
  <c r="CA49" i="19"/>
  <c r="CB49" i="19"/>
  <c r="CC49" i="19"/>
  <c r="CD49" i="19"/>
  <c r="CE49" i="19"/>
  <c r="CF49" i="19"/>
  <c r="CG49" i="19"/>
  <c r="CH49" i="19"/>
  <c r="CI49" i="19"/>
  <c r="CJ49" i="19"/>
  <c r="CK49" i="19"/>
  <c r="CL49" i="19"/>
  <c r="CM49" i="19"/>
  <c r="CN49" i="19"/>
  <c r="CO49" i="19"/>
  <c r="BR36" i="24"/>
  <c r="BR52" i="24" s="1"/>
  <c r="BR53" i="24" s="1"/>
  <c r="BR60" i="24"/>
  <c r="BS109" i="24"/>
  <c r="BS40" i="24"/>
  <c r="BS35" i="24"/>
  <c r="BS38" i="24" s="1"/>
  <c r="BN17" i="25"/>
  <c r="BO18" i="25"/>
  <c r="BN19" i="25"/>
  <c r="BR110" i="24"/>
  <c r="BJ110" i="24"/>
  <c r="BB110" i="24"/>
  <c r="AT110" i="24"/>
  <c r="AL110" i="24"/>
  <c r="AD110" i="24"/>
  <c r="V110" i="24"/>
  <c r="N110" i="24"/>
  <c r="BQ110" i="24"/>
  <c r="BI110" i="24"/>
  <c r="BA110" i="24"/>
  <c r="AS110" i="24"/>
  <c r="AK110" i="24"/>
  <c r="AC110" i="24"/>
  <c r="U110" i="24"/>
  <c r="M110" i="24"/>
  <c r="BP110" i="24"/>
  <c r="BH110" i="24"/>
  <c r="AZ110" i="24"/>
  <c r="AR110" i="24"/>
  <c r="AJ110" i="24"/>
  <c r="AB110" i="24"/>
  <c r="T110" i="24"/>
  <c r="L110" i="24"/>
  <c r="BO110" i="24"/>
  <c r="BG110" i="24"/>
  <c r="AY110" i="24"/>
  <c r="AQ110" i="24"/>
  <c r="AI110" i="24"/>
  <c r="AA110" i="24"/>
  <c r="S110" i="24"/>
  <c r="K110" i="24"/>
  <c r="BN110" i="24"/>
  <c r="BF110" i="24"/>
  <c r="AX110" i="24"/>
  <c r="AP110" i="24"/>
  <c r="AH110" i="24"/>
  <c r="Z110" i="24"/>
  <c r="R110" i="24"/>
  <c r="J110" i="24"/>
  <c r="BL110" i="24"/>
  <c r="BD110" i="24"/>
  <c r="AV110" i="24"/>
  <c r="AN110" i="24"/>
  <c r="AF110" i="24"/>
  <c r="X110" i="24"/>
  <c r="P110" i="24"/>
  <c r="AM110" i="24"/>
  <c r="BM110" i="24"/>
  <c r="AG110" i="24"/>
  <c r="BR102" i="24"/>
  <c r="BR47" i="24" s="1"/>
  <c r="BJ102" i="24"/>
  <c r="BJ47" i="24" s="1"/>
  <c r="BB102" i="24"/>
  <c r="BB47" i="24" s="1"/>
  <c r="AT102" i="24"/>
  <c r="AT47" i="24" s="1"/>
  <c r="AL102" i="24"/>
  <c r="AL47" i="24" s="1"/>
  <c r="AD102" i="24"/>
  <c r="AD47" i="24" s="1"/>
  <c r="V102" i="24"/>
  <c r="V47" i="24" s="1"/>
  <c r="N102" i="24"/>
  <c r="N47" i="24" s="1"/>
  <c r="BE110" i="24"/>
  <c r="Y110" i="24"/>
  <c r="BP102" i="24"/>
  <c r="BP47" i="24" s="1"/>
  <c r="BH102" i="24"/>
  <c r="BH47" i="24" s="1"/>
  <c r="AZ102" i="24"/>
  <c r="AZ47" i="24" s="1"/>
  <c r="AR102" i="24"/>
  <c r="AR47" i="24" s="1"/>
  <c r="AJ102" i="24"/>
  <c r="AJ47" i="24" s="1"/>
  <c r="AB102" i="24"/>
  <c r="AB47" i="24" s="1"/>
  <c r="T102" i="24"/>
  <c r="T47" i="24" s="1"/>
  <c r="L102" i="24"/>
  <c r="L47" i="24" s="1"/>
  <c r="BC110" i="24"/>
  <c r="W110" i="24"/>
  <c r="AU110" i="24"/>
  <c r="O110" i="24"/>
  <c r="BK110" i="24"/>
  <c r="BM102" i="24"/>
  <c r="BM47" i="24" s="1"/>
  <c r="BC102" i="24"/>
  <c r="BC47" i="24" s="1"/>
  <c r="AQ102" i="24"/>
  <c r="AQ47" i="24" s="1"/>
  <c r="AG102" i="24"/>
  <c r="AG47" i="24" s="1"/>
  <c r="W102" i="24"/>
  <c r="W47" i="24" s="1"/>
  <c r="K102" i="24"/>
  <c r="K47" i="24" s="1"/>
  <c r="AW110" i="24"/>
  <c r="BL102" i="24"/>
  <c r="BL47" i="24" s="1"/>
  <c r="BA102" i="24"/>
  <c r="BA47" i="24" s="1"/>
  <c r="AP102" i="24"/>
  <c r="AP47" i="24" s="1"/>
  <c r="AF102" i="24"/>
  <c r="AF47" i="24" s="1"/>
  <c r="U102" i="24"/>
  <c r="U47" i="24" s="1"/>
  <c r="J102" i="24"/>
  <c r="J47" i="24" s="1"/>
  <c r="AO110" i="24"/>
  <c r="BK102" i="24"/>
  <c r="BK47" i="24" s="1"/>
  <c r="AY102" i="24"/>
  <c r="AY47" i="24" s="1"/>
  <c r="AO102" i="24"/>
  <c r="AO47" i="24" s="1"/>
  <c r="AE102" i="24"/>
  <c r="AE47" i="24" s="1"/>
  <c r="S102" i="24"/>
  <c r="S47" i="24" s="1"/>
  <c r="I102" i="24"/>
  <c r="AE110" i="24"/>
  <c r="BI102" i="24"/>
  <c r="BI47" i="24" s="1"/>
  <c r="AX102" i="24"/>
  <c r="AX47" i="24" s="1"/>
  <c r="AN102" i="24"/>
  <c r="AN47" i="24" s="1"/>
  <c r="AC102" i="24"/>
  <c r="AC47" i="24" s="1"/>
  <c r="R102" i="24"/>
  <c r="R47" i="24" s="1"/>
  <c r="Q110" i="24"/>
  <c r="BF102" i="24"/>
  <c r="BF47" i="24" s="1"/>
  <c r="AK102" i="24"/>
  <c r="AK47" i="24" s="1"/>
  <c r="P102" i="24"/>
  <c r="P47" i="24" s="1"/>
  <c r="I110" i="24"/>
  <c r="BE102" i="24"/>
  <c r="BE47" i="24" s="1"/>
  <c r="AI102" i="24"/>
  <c r="AI47" i="24" s="1"/>
  <c r="O102" i="24"/>
  <c r="O47" i="24" s="1"/>
  <c r="BD102" i="24"/>
  <c r="BD47" i="24" s="1"/>
  <c r="AH102" i="24"/>
  <c r="AH47" i="24" s="1"/>
  <c r="M102" i="24"/>
  <c r="M47" i="24" s="1"/>
  <c r="BS102" i="24"/>
  <c r="BS47" i="24" s="1"/>
  <c r="AW102" i="24"/>
  <c r="AW47" i="24" s="1"/>
  <c r="AA102" i="24"/>
  <c r="AA47" i="24" s="1"/>
  <c r="BQ102" i="24"/>
  <c r="BQ47" i="24" s="1"/>
  <c r="AV102" i="24"/>
  <c r="AV47" i="24" s="1"/>
  <c r="Z102" i="24"/>
  <c r="Z47" i="24" s="1"/>
  <c r="BG102" i="24"/>
  <c r="BG47" i="24" s="1"/>
  <c r="AU102" i="24"/>
  <c r="AU47" i="24" s="1"/>
  <c r="AM102" i="24"/>
  <c r="AM47" i="24" s="1"/>
  <c r="BO102" i="24"/>
  <c r="BO47" i="24" s="1"/>
  <c r="Q102" i="24"/>
  <c r="Q47" i="24" s="1"/>
  <c r="BN102" i="24"/>
  <c r="BN47" i="24" s="1"/>
  <c r="AS102" i="24"/>
  <c r="AS47" i="24" s="1"/>
  <c r="Y102" i="24"/>
  <c r="Y47" i="24" s="1"/>
  <c r="X102" i="24"/>
  <c r="X47" i="24" s="1"/>
  <c r="BS110" i="24"/>
  <c r="D33" i="8"/>
  <c r="J109" i="19"/>
  <c r="J49" i="19" s="1"/>
  <c r="L109" i="19"/>
  <c r="L49" i="19" s="1"/>
  <c r="K109" i="19"/>
  <c r="K49" i="19" s="1"/>
  <c r="I109" i="19"/>
  <c r="I49" i="19" s="1"/>
  <c r="L101" i="19"/>
  <c r="L47" i="19" s="1"/>
  <c r="L48" i="19" s="1"/>
  <c r="J101" i="19"/>
  <c r="J47" i="19" s="1"/>
  <c r="J48" i="19" s="1"/>
  <c r="K101" i="19"/>
  <c r="K47" i="19" s="1"/>
  <c r="K48" i="19" s="1"/>
  <c r="I101" i="19"/>
  <c r="I47" i="19" s="1"/>
  <c r="BO18" i="21"/>
  <c r="BN19" i="21"/>
  <c r="BN17" i="21"/>
  <c r="BS36" i="24" l="1"/>
  <c r="BS52" i="24" s="1"/>
  <c r="BS53" i="24" s="1"/>
  <c r="BT109" i="24"/>
  <c r="BT40" i="24"/>
  <c r="BT35" i="24"/>
  <c r="BT38" i="24" s="1"/>
  <c r="BP18" i="25"/>
  <c r="BO19" i="25"/>
  <c r="BO17" i="25"/>
  <c r="BT102" i="24"/>
  <c r="BT47" i="24" s="1"/>
  <c r="BS60" i="24"/>
  <c r="Q48" i="24"/>
  <c r="S48" i="24"/>
  <c r="AD48" i="24"/>
  <c r="Z49" i="24"/>
  <c r="BJ49" i="24"/>
  <c r="BO48" i="24"/>
  <c r="BQ48" i="24"/>
  <c r="BD48" i="24"/>
  <c r="AK48" i="24"/>
  <c r="AX48" i="24"/>
  <c r="AE48" i="24"/>
  <c r="U48" i="24"/>
  <c r="K48" i="24"/>
  <c r="BK49" i="24"/>
  <c r="T48" i="24"/>
  <c r="AL48" i="24"/>
  <c r="BM49" i="24"/>
  <c r="BD49" i="24"/>
  <c r="AH49" i="24"/>
  <c r="K49" i="24"/>
  <c r="AZ49" i="24"/>
  <c r="AC49" i="24"/>
  <c r="BR49" i="24"/>
  <c r="J48" i="24"/>
  <c r="X48" i="24"/>
  <c r="AM48" i="24"/>
  <c r="BF48" i="24"/>
  <c r="BI48" i="24"/>
  <c r="AO48" i="24"/>
  <c r="AF48" i="24"/>
  <c r="W48" i="24"/>
  <c r="O49" i="24"/>
  <c r="AB48" i="24"/>
  <c r="AT48" i="24"/>
  <c r="AM49" i="24"/>
  <c r="BL49" i="24"/>
  <c r="AP49" i="24"/>
  <c r="S49" i="24"/>
  <c r="BH49" i="24"/>
  <c r="AK49" i="24"/>
  <c r="N49" i="24"/>
  <c r="P48" i="24"/>
  <c r="AW49" i="24"/>
  <c r="AG49" i="24"/>
  <c r="Y48" i="24"/>
  <c r="AA48" i="24"/>
  <c r="O48" i="24"/>
  <c r="AY48" i="24"/>
  <c r="AP48" i="24"/>
  <c r="AG48" i="24"/>
  <c r="AU49" i="24"/>
  <c r="AJ48" i="24"/>
  <c r="Y49" i="24"/>
  <c r="BB48" i="24"/>
  <c r="BS49" i="24"/>
  <c r="AX49" i="24"/>
  <c r="AA49" i="24"/>
  <c r="BP49" i="24"/>
  <c r="AS49" i="24"/>
  <c r="V49" i="24"/>
  <c r="AH48" i="24"/>
  <c r="AV49" i="24"/>
  <c r="AS48" i="24"/>
  <c r="AU48" i="24"/>
  <c r="AW48" i="24"/>
  <c r="AI48" i="24"/>
  <c r="Q49" i="24"/>
  <c r="BK48" i="24"/>
  <c r="BA48" i="24"/>
  <c r="AQ48" i="24"/>
  <c r="AR48" i="24"/>
  <c r="BE49" i="24"/>
  <c r="BJ48" i="24"/>
  <c r="P49" i="24"/>
  <c r="BF49" i="24"/>
  <c r="AI49" i="24"/>
  <c r="L49" i="24"/>
  <c r="BA49" i="24"/>
  <c r="AD49" i="24"/>
  <c r="AN48" i="24"/>
  <c r="AR49" i="24"/>
  <c r="BN48" i="24"/>
  <c r="BG48" i="24"/>
  <c r="BS48" i="24"/>
  <c r="BE48" i="24"/>
  <c r="BL48" i="24"/>
  <c r="BC48" i="24"/>
  <c r="W49" i="24"/>
  <c r="AZ48" i="24"/>
  <c r="BR48" i="24"/>
  <c r="X49" i="24"/>
  <c r="BN49" i="24"/>
  <c r="AQ49" i="24"/>
  <c r="T49" i="24"/>
  <c r="BI49" i="24"/>
  <c r="AL49" i="24"/>
  <c r="AV48" i="24"/>
  <c r="L48" i="24"/>
  <c r="BO49" i="24"/>
  <c r="R48" i="24"/>
  <c r="AE49" i="24"/>
  <c r="BM48" i="24"/>
  <c r="BC49" i="24"/>
  <c r="BH48" i="24"/>
  <c r="N48" i="24"/>
  <c r="AF49" i="24"/>
  <c r="J49" i="24"/>
  <c r="AY49" i="24"/>
  <c r="AB49" i="24"/>
  <c r="BQ49" i="24"/>
  <c r="AT49" i="24"/>
  <c r="U49" i="24"/>
  <c r="Z48" i="24"/>
  <c r="M48" i="24"/>
  <c r="I108" i="24"/>
  <c r="I49" i="24"/>
  <c r="AC48" i="24"/>
  <c r="I47" i="24"/>
  <c r="AO49" i="24"/>
  <c r="BP48" i="24"/>
  <c r="V48" i="24"/>
  <c r="AN49" i="24"/>
  <c r="R49" i="24"/>
  <c r="BG49" i="24"/>
  <c r="AJ49" i="24"/>
  <c r="M49" i="24"/>
  <c r="BB49" i="24"/>
  <c r="I107" i="19"/>
  <c r="I102" i="19" s="1"/>
  <c r="I103" i="19" s="1"/>
  <c r="I50" i="19" s="1"/>
  <c r="I51" i="19" s="1"/>
  <c r="BO17" i="21"/>
  <c r="BP18" i="21"/>
  <c r="BO19" i="21"/>
  <c r="I48" i="19"/>
  <c r="I116" i="19" l="1"/>
  <c r="BT48" i="24"/>
  <c r="BT36" i="24"/>
  <c r="BT52" i="24" s="1"/>
  <c r="BT53" i="24" s="1"/>
  <c r="BP19" i="25"/>
  <c r="BQ18" i="25"/>
  <c r="BP17" i="25"/>
  <c r="BT110" i="24"/>
  <c r="BT60" i="24"/>
  <c r="BU109" i="24"/>
  <c r="BU40" i="24"/>
  <c r="BU35" i="24"/>
  <c r="BU38" i="24" s="1"/>
  <c r="BU102" i="24"/>
  <c r="I48" i="24"/>
  <c r="I103" i="24"/>
  <c r="BU110" i="24"/>
  <c r="BU49" i="24" s="1"/>
  <c r="BQ18" i="21"/>
  <c r="BP19" i="21"/>
  <c r="BP17" i="21"/>
  <c r="I104" i="19"/>
  <c r="J100" i="19" s="1"/>
  <c r="J106" i="19" s="1"/>
  <c r="J107" i="19" s="1"/>
  <c r="BU36" i="24" l="1"/>
  <c r="BU52" i="24" s="1"/>
  <c r="BT49" i="24"/>
  <c r="BV109" i="24"/>
  <c r="BV40" i="24"/>
  <c r="BV35" i="24"/>
  <c r="BV38" i="24" s="1"/>
  <c r="BV102" i="24"/>
  <c r="BV47" i="24" s="1"/>
  <c r="BU60" i="24"/>
  <c r="BQ17" i="25"/>
  <c r="BQ19" i="25"/>
  <c r="BR18" i="25"/>
  <c r="BU47" i="24"/>
  <c r="I104" i="24"/>
  <c r="I105" i="24" s="1"/>
  <c r="J101" i="24" s="1"/>
  <c r="BR18" i="21"/>
  <c r="BQ17" i="21"/>
  <c r="BQ19" i="21"/>
  <c r="J102" i="19"/>
  <c r="J103" i="19" s="1"/>
  <c r="J50" i="19" s="1"/>
  <c r="BV48" i="24" l="1"/>
  <c r="BU48" i="24"/>
  <c r="BV110" i="24"/>
  <c r="BV60" i="24"/>
  <c r="BW109" i="24"/>
  <c r="BW40" i="24"/>
  <c r="BW35" i="24"/>
  <c r="BW38" i="24" s="1"/>
  <c r="BW102" i="24"/>
  <c r="BV36" i="24"/>
  <c r="BV52" i="24" s="1"/>
  <c r="BV53" i="24" s="1"/>
  <c r="BS18" i="25"/>
  <c r="BR17" i="25"/>
  <c r="BR19" i="25"/>
  <c r="BU53" i="24"/>
  <c r="J107" i="24"/>
  <c r="I50" i="24"/>
  <c r="BW110" i="24"/>
  <c r="BW49" i="24" s="1"/>
  <c r="BR17" i="21"/>
  <c r="BR19" i="21"/>
  <c r="BS18" i="21"/>
  <c r="J51" i="19"/>
  <c r="J116" i="19" s="1"/>
  <c r="J104" i="19"/>
  <c r="K100" i="19" s="1"/>
  <c r="K106" i="19" s="1"/>
  <c r="K107" i="19" s="1"/>
  <c r="BW47" i="24" l="1"/>
  <c r="BV49" i="24"/>
  <c r="BW36" i="24"/>
  <c r="BW52" i="24" s="1"/>
  <c r="BW53" i="24" s="1"/>
  <c r="BX109" i="24"/>
  <c r="BX40" i="24"/>
  <c r="BX35" i="24"/>
  <c r="BX38" i="24" s="1"/>
  <c r="BX102" i="24"/>
  <c r="BX47" i="24" s="1"/>
  <c r="BS19" i="25"/>
  <c r="BT18" i="25"/>
  <c r="BS17" i="25"/>
  <c r="BW60" i="24"/>
  <c r="J108" i="24"/>
  <c r="I51" i="24"/>
  <c r="I117" i="24" s="1"/>
  <c r="BS19" i="21"/>
  <c r="BS17" i="21"/>
  <c r="BT18" i="21"/>
  <c r="K102" i="19"/>
  <c r="K103" i="19" s="1"/>
  <c r="K50" i="19" s="1"/>
  <c r="BX48" i="24" l="1"/>
  <c r="BY109" i="24"/>
  <c r="BY40" i="24"/>
  <c r="BY35" i="24"/>
  <c r="BY38" i="24" s="1"/>
  <c r="BY102" i="24"/>
  <c r="BY47" i="24" s="1"/>
  <c r="BT19" i="25"/>
  <c r="BU18" i="25"/>
  <c r="BT17" i="25"/>
  <c r="BX110" i="24"/>
  <c r="BX36" i="24"/>
  <c r="BX52" i="24" s="1"/>
  <c r="BX53" i="24" s="1"/>
  <c r="BX60" i="24"/>
  <c r="BW48" i="24"/>
  <c r="J103" i="24"/>
  <c r="BT17" i="21"/>
  <c r="BT19" i="21"/>
  <c r="BU18" i="21"/>
  <c r="K51" i="19"/>
  <c r="K116" i="19" s="1"/>
  <c r="K104" i="19"/>
  <c r="L100" i="19" s="1"/>
  <c r="L106" i="19" s="1"/>
  <c r="L107" i="19" s="1"/>
  <c r="BY48" i="24" l="1"/>
  <c r="BZ109" i="24"/>
  <c r="BZ40" i="24"/>
  <c r="BZ35" i="24"/>
  <c r="BZ38" i="24" s="1"/>
  <c r="BZ102" i="24"/>
  <c r="BZ47" i="24" s="1"/>
  <c r="BY36" i="24"/>
  <c r="BY52" i="24" s="1"/>
  <c r="BY53" i="24" s="1"/>
  <c r="BX49" i="24"/>
  <c r="BY60" i="24"/>
  <c r="BU17" i="25"/>
  <c r="BU19" i="25"/>
  <c r="BV18" i="25"/>
  <c r="BY110" i="24"/>
  <c r="BY49" i="24" s="1"/>
  <c r="J104" i="24"/>
  <c r="BV18" i="21"/>
  <c r="BU19" i="21"/>
  <c r="BU17" i="21"/>
  <c r="L102" i="19"/>
  <c r="BZ48" i="24" l="1"/>
  <c r="BZ36" i="24"/>
  <c r="BZ52" i="24" s="1"/>
  <c r="BZ53" i="24" s="1"/>
  <c r="BW18" i="25"/>
  <c r="BV17" i="25"/>
  <c r="BV19" i="25"/>
  <c r="BZ60" i="24"/>
  <c r="CA109" i="24"/>
  <c r="CA40" i="24"/>
  <c r="CA35" i="24"/>
  <c r="CA38" i="24" s="1"/>
  <c r="CA102" i="24"/>
  <c r="CA47" i="24" s="1"/>
  <c r="BZ110" i="24"/>
  <c r="J50" i="24"/>
  <c r="J105" i="24"/>
  <c r="K101" i="24" s="1"/>
  <c r="CA110" i="24"/>
  <c r="CA49" i="24" s="1"/>
  <c r="BV17" i="21"/>
  <c r="BV19" i="21"/>
  <c r="BW18" i="21"/>
  <c r="L103" i="19"/>
  <c r="L50" i="19" s="1"/>
  <c r="CA48" i="24" l="1"/>
  <c r="CA36" i="24"/>
  <c r="CA52" i="24" s="1"/>
  <c r="CA53" i="24" s="1"/>
  <c r="BZ49" i="24"/>
  <c r="CB109" i="24"/>
  <c r="CB40" i="24"/>
  <c r="CB35" i="24"/>
  <c r="CB38" i="24" s="1"/>
  <c r="CB102" i="24"/>
  <c r="CB47" i="24" s="1"/>
  <c r="CA60" i="24"/>
  <c r="BX18" i="25"/>
  <c r="BW19" i="25"/>
  <c r="BW17" i="25"/>
  <c r="K107" i="24"/>
  <c r="J51" i="24"/>
  <c r="J117" i="24" s="1"/>
  <c r="CB110" i="24"/>
  <c r="CB49" i="24" s="1"/>
  <c r="BW17" i="21"/>
  <c r="BW19" i="21"/>
  <c r="BX18" i="21"/>
  <c r="L51" i="19"/>
  <c r="L116" i="19" s="1"/>
  <c r="L104" i="19"/>
  <c r="M100" i="19" s="1"/>
  <c r="M106" i="19" l="1"/>
  <c r="M107" i="19" s="1"/>
  <c r="M102" i="19" s="1"/>
  <c r="CB48" i="24"/>
  <c r="CB36" i="24"/>
  <c r="CB52" i="24" s="1"/>
  <c r="CB53" i="24" s="1"/>
  <c r="CB60" i="24"/>
  <c r="BX19" i="25"/>
  <c r="BX17" i="25"/>
  <c r="BY18" i="25"/>
  <c r="CC109" i="24"/>
  <c r="CC40" i="24"/>
  <c r="CC35" i="24"/>
  <c r="CC38" i="24" s="1"/>
  <c r="CC102" i="24"/>
  <c r="CC47" i="24" s="1"/>
  <c r="K108" i="24"/>
  <c r="CC110" i="24"/>
  <c r="CC49" i="24" s="1"/>
  <c r="BY18" i="21"/>
  <c r="BX19" i="21"/>
  <c r="BX17" i="21"/>
  <c r="M103" i="19" l="1"/>
  <c r="CC48" i="24"/>
  <c r="CD109" i="24"/>
  <c r="CD35" i="24"/>
  <c r="CD38" i="24" s="1"/>
  <c r="CD40" i="24"/>
  <c r="CD102" i="24"/>
  <c r="CD47" i="24" s="1"/>
  <c r="BY17" i="25"/>
  <c r="BY19" i="25"/>
  <c r="BZ18" i="25"/>
  <c r="CC36" i="24"/>
  <c r="CC52" i="24" s="1"/>
  <c r="CC53" i="24" s="1"/>
  <c r="CC60" i="24"/>
  <c r="K103" i="24"/>
  <c r="CD110" i="24"/>
  <c r="CD49" i="24" s="1"/>
  <c r="BY17" i="21"/>
  <c r="BZ18" i="21"/>
  <c r="BY19" i="21"/>
  <c r="M50" i="19" l="1"/>
  <c r="M51" i="19" s="1"/>
  <c r="M116" i="19" s="1"/>
  <c r="M104" i="19"/>
  <c r="N100" i="19" s="1"/>
  <c r="N106" i="19" s="1"/>
  <c r="N107" i="19" s="1"/>
  <c r="N102" i="19" s="1"/>
  <c r="CD36" i="24"/>
  <c r="CD52" i="24" s="1"/>
  <c r="CD53" i="24" s="1"/>
  <c r="CD48" i="24"/>
  <c r="CD60" i="24"/>
  <c r="CE109" i="24"/>
  <c r="CE35" i="24"/>
  <c r="CE38" i="24" s="1"/>
  <c r="CE40" i="24"/>
  <c r="CE102" i="24"/>
  <c r="CE47" i="24" s="1"/>
  <c r="CA18" i="25"/>
  <c r="BZ19" i="25"/>
  <c r="BZ17" i="25"/>
  <c r="K104" i="24"/>
  <c r="CE110" i="24"/>
  <c r="CE49" i="24" s="1"/>
  <c r="BZ19" i="21"/>
  <c r="BZ17" i="21"/>
  <c r="CA18" i="21"/>
  <c r="N103" i="19" l="1"/>
  <c r="CE36" i="24"/>
  <c r="CE52" i="24" s="1"/>
  <c r="CE53" i="24" s="1"/>
  <c r="CE48" i="24"/>
  <c r="CE60" i="24"/>
  <c r="CF109" i="24"/>
  <c r="CF35" i="24"/>
  <c r="CF38" i="24" s="1"/>
  <c r="CF40" i="24"/>
  <c r="CF36" i="24"/>
  <c r="CF52" i="24" s="1"/>
  <c r="CF53" i="24" s="1"/>
  <c r="CF102" i="24"/>
  <c r="CF47" i="24" s="1"/>
  <c r="CA19" i="25"/>
  <c r="CB18" i="25"/>
  <c r="CA17" i="25"/>
  <c r="K50" i="24"/>
  <c r="K105" i="24"/>
  <c r="L101" i="24" s="1"/>
  <c r="CF110" i="24"/>
  <c r="CF49" i="24" s="1"/>
  <c r="CA19" i="21"/>
  <c r="CA17" i="21"/>
  <c r="CB18" i="21"/>
  <c r="N50" i="19" l="1"/>
  <c r="N104" i="19"/>
  <c r="O100" i="19" s="1"/>
  <c r="CF48" i="24"/>
  <c r="CG109" i="24"/>
  <c r="CG35" i="24"/>
  <c r="CG38" i="24" s="1"/>
  <c r="CG40" i="24"/>
  <c r="CG102" i="24"/>
  <c r="CG47" i="24" s="1"/>
  <c r="CB19" i="25"/>
  <c r="CB17" i="25"/>
  <c r="CC18" i="25"/>
  <c r="CF60" i="24"/>
  <c r="K51" i="24"/>
  <c r="K117" i="24" s="1"/>
  <c r="L107" i="24"/>
  <c r="CG110" i="24"/>
  <c r="CG49" i="24" s="1"/>
  <c r="CC18" i="21"/>
  <c r="CB19" i="21"/>
  <c r="CB17" i="21"/>
  <c r="N51" i="19" l="1"/>
  <c r="N116" i="19" s="1"/>
  <c r="O106" i="19"/>
  <c r="O107" i="19" s="1"/>
  <c r="O102" i="19" s="1"/>
  <c r="CG36" i="24"/>
  <c r="CG52" i="24" s="1"/>
  <c r="CG53" i="24" s="1"/>
  <c r="CG48" i="24"/>
  <c r="CG60" i="24"/>
  <c r="CH109" i="24"/>
  <c r="CH35" i="24"/>
  <c r="CH38" i="24" s="1"/>
  <c r="CH40" i="24"/>
  <c r="CH36" i="24"/>
  <c r="CH52" i="24" s="1"/>
  <c r="CH53" i="24" s="1"/>
  <c r="CH102" i="24"/>
  <c r="CH47" i="24" s="1"/>
  <c r="CC17" i="25"/>
  <c r="CC19" i="25"/>
  <c r="CD18" i="25"/>
  <c r="L108" i="24"/>
  <c r="CH110" i="24"/>
  <c r="CH49" i="24" s="1"/>
  <c r="CC17" i="21"/>
  <c r="CC19" i="21"/>
  <c r="CD18" i="21"/>
  <c r="O103" i="19" l="1"/>
  <c r="CH48" i="24"/>
  <c r="CH60" i="24"/>
  <c r="CE18" i="25"/>
  <c r="CD19" i="25"/>
  <c r="CD17" i="25"/>
  <c r="CI109" i="24"/>
  <c r="CI35" i="24"/>
  <c r="CI38" i="24" s="1"/>
  <c r="CI40" i="24"/>
  <c r="CI102" i="24"/>
  <c r="CI47" i="24" s="1"/>
  <c r="L103" i="24"/>
  <c r="CI110" i="24"/>
  <c r="CI49" i="24" s="1"/>
  <c r="CD19" i="21"/>
  <c r="CD17" i="21"/>
  <c r="CE18" i="21"/>
  <c r="O50" i="19" l="1"/>
  <c r="O104" i="19"/>
  <c r="P100" i="19" s="1"/>
  <c r="P106" i="19" s="1"/>
  <c r="P107" i="19" s="1"/>
  <c r="P102" i="19" s="1"/>
  <c r="CI48" i="24"/>
  <c r="CJ109" i="24"/>
  <c r="CJ35" i="24"/>
  <c r="CJ40" i="24"/>
  <c r="CJ102" i="24"/>
  <c r="CJ47" i="24" s="1"/>
  <c r="CF18" i="25"/>
  <c r="CE17" i="25"/>
  <c r="CE19" i="25"/>
  <c r="CI36" i="24"/>
  <c r="CI52" i="24" s="1"/>
  <c r="CI53" i="24" s="1"/>
  <c r="CI60" i="24"/>
  <c r="L104" i="24"/>
  <c r="L105" i="24" s="1"/>
  <c r="M101" i="24" s="1"/>
  <c r="CJ110" i="24"/>
  <c r="CJ49" i="24" s="1"/>
  <c r="CF18" i="21"/>
  <c r="CE19" i="21"/>
  <c r="CE17" i="21"/>
  <c r="O51" i="19" l="1"/>
  <c r="O116" i="19" s="1"/>
  <c r="P103" i="19"/>
  <c r="CJ38" i="24"/>
  <c r="CJ36" i="24"/>
  <c r="CJ52" i="24" s="1"/>
  <c r="CJ53" i="24" s="1"/>
  <c r="CJ48" i="24"/>
  <c r="CF19" i="25"/>
  <c r="CF17" i="25"/>
  <c r="CG18" i="25"/>
  <c r="CJ60" i="24"/>
  <c r="CK109" i="24"/>
  <c r="CK35" i="24"/>
  <c r="CK38" i="24" s="1"/>
  <c r="CK40" i="24"/>
  <c r="CK102" i="24"/>
  <c r="CK47" i="24" s="1"/>
  <c r="M107" i="24"/>
  <c r="M108" i="24" s="1"/>
  <c r="L50" i="24"/>
  <c r="CK110" i="24"/>
  <c r="CK49" i="24" s="1"/>
  <c r="CG18" i="21"/>
  <c r="CF19" i="21"/>
  <c r="CF17" i="21"/>
  <c r="P50" i="19" l="1"/>
  <c r="P104" i="19"/>
  <c r="Q100" i="19" s="1"/>
  <c r="CK48" i="24"/>
  <c r="CG17" i="25"/>
  <c r="CH18" i="25"/>
  <c r="CG19" i="25"/>
  <c r="CK36" i="24"/>
  <c r="CK52" i="24" s="1"/>
  <c r="CK53" i="24" s="1"/>
  <c r="CL109" i="24"/>
  <c r="CL35" i="24"/>
  <c r="CL38" i="24" s="1"/>
  <c r="CL40" i="24"/>
  <c r="CL102" i="24"/>
  <c r="CL47" i="24" s="1"/>
  <c r="CK60" i="24"/>
  <c r="L51" i="24"/>
  <c r="L117" i="24" s="1"/>
  <c r="M103" i="24"/>
  <c r="CL110" i="24"/>
  <c r="CL49" i="24" s="1"/>
  <c r="CH18" i="21"/>
  <c r="CG19" i="21"/>
  <c r="CG17" i="21"/>
  <c r="P51" i="19" l="1"/>
  <c r="P116" i="19" s="1"/>
  <c r="Q106" i="19"/>
  <c r="Q107" i="19" s="1"/>
  <c r="Q102" i="19" s="1"/>
  <c r="CL48" i="24"/>
  <c r="CL60" i="24"/>
  <c r="CM109" i="24"/>
  <c r="CM35" i="24"/>
  <c r="CM38" i="24" s="1"/>
  <c r="CM40" i="24"/>
  <c r="CM102" i="24"/>
  <c r="CM47" i="24" s="1"/>
  <c r="CI18" i="25"/>
  <c r="CH17" i="25"/>
  <c r="CH19" i="25"/>
  <c r="CL36" i="24"/>
  <c r="CL52" i="24" s="1"/>
  <c r="CL53" i="24" s="1"/>
  <c r="M104" i="24"/>
  <c r="CM110" i="24"/>
  <c r="CM49" i="24" s="1"/>
  <c r="CH17" i="21"/>
  <c r="CI18" i="21"/>
  <c r="CH19" i="21"/>
  <c r="Q103" i="19" l="1"/>
  <c r="CM36" i="24"/>
  <c r="CM52" i="24" s="1"/>
  <c r="CM53" i="24" s="1"/>
  <c r="CM48" i="24"/>
  <c r="CN109" i="24"/>
  <c r="CN35" i="24"/>
  <c r="CN40" i="24"/>
  <c r="CN102" i="24"/>
  <c r="CN47" i="24" s="1"/>
  <c r="CM60" i="24"/>
  <c r="CI19" i="25"/>
  <c r="CJ18" i="25"/>
  <c r="CI17" i="25"/>
  <c r="M50" i="24"/>
  <c r="M105" i="24"/>
  <c r="N101" i="24" s="1"/>
  <c r="CN110" i="24"/>
  <c r="CN49" i="24" s="1"/>
  <c r="CI19" i="21"/>
  <c r="CJ18" i="21"/>
  <c r="CI17" i="21"/>
  <c r="Q50" i="19" l="1"/>
  <c r="Q51" i="19" s="1"/>
  <c r="Q116" i="19" s="1"/>
  <c r="Q104" i="19"/>
  <c r="R100" i="19" s="1"/>
  <c r="R106" i="19" s="1"/>
  <c r="R107" i="19" s="1"/>
  <c r="R102" i="19" s="1"/>
  <c r="R103" i="19" s="1"/>
  <c r="CN38" i="24"/>
  <c r="CN36" i="24"/>
  <c r="CN52" i="24" s="1"/>
  <c r="CN53" i="24" s="1"/>
  <c r="CN48" i="24"/>
  <c r="B115" i="24"/>
  <c r="CO109" i="24"/>
  <c r="CO35" i="24"/>
  <c r="CO38" i="24" s="1"/>
  <c r="B38" i="24" s="1"/>
  <c r="CO40" i="24"/>
  <c r="CO102" i="24"/>
  <c r="CN60" i="24"/>
  <c r="CJ19" i="25"/>
  <c r="CJ17" i="25"/>
  <c r="CK18" i="25"/>
  <c r="N107" i="24"/>
  <c r="N108" i="24" s="1"/>
  <c r="N103" i="24" s="1"/>
  <c r="N104" i="24" s="1"/>
  <c r="N50" i="24" s="1"/>
  <c r="M51" i="24"/>
  <c r="M117" i="24" s="1"/>
  <c r="CO110" i="24"/>
  <c r="CK18" i="21"/>
  <c r="CJ17" i="21"/>
  <c r="CJ19" i="21"/>
  <c r="B114" i="19"/>
  <c r="R104" i="19" l="1"/>
  <c r="S100" i="19" s="1"/>
  <c r="R50" i="19"/>
  <c r="B109" i="19"/>
  <c r="CO60" i="24"/>
  <c r="B60" i="24" s="1"/>
  <c r="B40" i="24"/>
  <c r="CK17" i="25"/>
  <c r="CK19" i="25"/>
  <c r="CO36" i="24"/>
  <c r="CO52" i="24" s="1"/>
  <c r="CO47" i="24"/>
  <c r="B102" i="24"/>
  <c r="CO49" i="24"/>
  <c r="B110" i="24"/>
  <c r="N51" i="24"/>
  <c r="N117" i="24" s="1"/>
  <c r="N105" i="24"/>
  <c r="O101" i="24" s="1"/>
  <c r="CK19" i="21"/>
  <c r="CK17" i="21"/>
  <c r="B101" i="19"/>
  <c r="B60" i="19"/>
  <c r="B40" i="19"/>
  <c r="B38" i="19"/>
  <c r="S106" i="19" l="1"/>
  <c r="S107" i="19" s="1"/>
  <c r="S102" i="19" s="1"/>
  <c r="R51" i="19"/>
  <c r="R116" i="19" s="1"/>
  <c r="CO48" i="24"/>
  <c r="B48" i="24" s="1"/>
  <c r="B47" i="24"/>
  <c r="CO53" i="24"/>
  <c r="B53" i="24" s="1"/>
  <c r="B52" i="24"/>
  <c r="L19" i="24"/>
  <c r="L20" i="24" s="1"/>
  <c r="O107" i="24"/>
  <c r="O108" i="24" s="1"/>
  <c r="O103" i="24" s="1"/>
  <c r="B48" i="19"/>
  <c r="B47" i="19"/>
  <c r="B53" i="19"/>
  <c r="L19" i="19"/>
  <c r="L20" i="19" s="1"/>
  <c r="B52" i="19"/>
  <c r="S103" i="19" l="1"/>
  <c r="O104" i="24"/>
  <c r="O50" i="24" s="1"/>
  <c r="S50" i="19" l="1"/>
  <c r="S104" i="19"/>
  <c r="T100" i="19" s="1"/>
  <c r="O51" i="24"/>
  <c r="O117" i="24" s="1"/>
  <c r="O105" i="24"/>
  <c r="P101" i="24" s="1"/>
  <c r="S51" i="19" l="1"/>
  <c r="S116" i="19" s="1"/>
  <c r="T106" i="19"/>
  <c r="T107" i="19" s="1"/>
  <c r="T102" i="19" s="1"/>
  <c r="P107" i="24"/>
  <c r="P108" i="24" s="1"/>
  <c r="P103" i="24" s="1"/>
  <c r="P104" i="24" s="1"/>
  <c r="P50" i="24" s="1"/>
  <c r="T103" i="19" l="1"/>
  <c r="P51" i="24"/>
  <c r="P117" i="24" s="1"/>
  <c r="P105" i="24"/>
  <c r="Q101" i="24" s="1"/>
  <c r="T50" i="19" l="1"/>
  <c r="T104" i="19"/>
  <c r="U100" i="19" s="1"/>
  <c r="Q107" i="24"/>
  <c r="Q108" i="24" s="1"/>
  <c r="Q103" i="24" s="1"/>
  <c r="Q104" i="24" s="1"/>
  <c r="Q50" i="24" s="1"/>
  <c r="T51" i="19" l="1"/>
  <c r="T116" i="19" s="1"/>
  <c r="U106" i="19"/>
  <c r="U107" i="19" s="1"/>
  <c r="U102" i="19" s="1"/>
  <c r="Q51" i="24"/>
  <c r="Q117" i="24" s="1"/>
  <c r="Q105" i="24"/>
  <c r="R101" i="24" s="1"/>
  <c r="U103" i="19" l="1"/>
  <c r="R107" i="24"/>
  <c r="R108" i="24" s="1"/>
  <c r="R103" i="24" s="1"/>
  <c r="U50" i="19" l="1"/>
  <c r="U104" i="19"/>
  <c r="V100" i="19" s="1"/>
  <c r="R104" i="24"/>
  <c r="R50" i="24" s="1"/>
  <c r="U51" i="19" l="1"/>
  <c r="U116" i="19" s="1"/>
  <c r="V106" i="19"/>
  <c r="V107" i="19" s="1"/>
  <c r="V102" i="19" s="1"/>
  <c r="V103" i="19" s="1"/>
  <c r="V50" i="19" s="1"/>
  <c r="R51" i="24"/>
  <c r="R117" i="24" s="1"/>
  <c r="R105" i="24"/>
  <c r="S101" i="24" s="1"/>
  <c r="V104" i="19" l="1"/>
  <c r="W100" i="19" s="1"/>
  <c r="W106" i="19" s="1"/>
  <c r="W107" i="19" s="1"/>
  <c r="W102" i="19" s="1"/>
  <c r="V51" i="19"/>
  <c r="V116" i="19" s="1"/>
  <c r="S107" i="24"/>
  <c r="S108" i="24" s="1"/>
  <c r="S103" i="24" s="1"/>
  <c r="W103" i="19" l="1"/>
  <c r="S104" i="24"/>
  <c r="S50" i="24" s="1"/>
  <c r="W50" i="19" l="1"/>
  <c r="W104" i="19"/>
  <c r="X100" i="19" s="1"/>
  <c r="S51" i="24"/>
  <c r="S117" i="24" s="1"/>
  <c r="S105" i="24"/>
  <c r="T101" i="24" s="1"/>
  <c r="W51" i="19" l="1"/>
  <c r="W116" i="19" s="1"/>
  <c r="X106" i="19"/>
  <c r="X107" i="19" s="1"/>
  <c r="X102" i="19" s="1"/>
  <c r="T107" i="24"/>
  <c r="T108" i="24" s="1"/>
  <c r="T103" i="24" s="1"/>
  <c r="T104" i="24" s="1"/>
  <c r="T50" i="24" s="1"/>
  <c r="X103" i="19" l="1"/>
  <c r="T51" i="24"/>
  <c r="T117" i="24" s="1"/>
  <c r="T105" i="24"/>
  <c r="U101" i="24" s="1"/>
  <c r="X50" i="19" l="1"/>
  <c r="X51" i="19" s="1"/>
  <c r="X116" i="19" s="1"/>
  <c r="X104" i="19"/>
  <c r="Y100" i="19" s="1"/>
  <c r="Y106" i="19" s="1"/>
  <c r="Y107" i="19" s="1"/>
  <c r="Y102" i="19" s="1"/>
  <c r="Y103" i="19" s="1"/>
  <c r="Y50" i="19" s="1"/>
  <c r="U107" i="24"/>
  <c r="U108" i="24" s="1"/>
  <c r="U103" i="24" s="1"/>
  <c r="Y104" i="19" l="1"/>
  <c r="Z100" i="19" s="1"/>
  <c r="Z106" i="19" s="1"/>
  <c r="Z107" i="19" s="1"/>
  <c r="Z102" i="19" s="1"/>
  <c r="Y51" i="19"/>
  <c r="Y116" i="19" s="1"/>
  <c r="U104" i="24"/>
  <c r="U50" i="24" s="1"/>
  <c r="Z103" i="19" l="1"/>
  <c r="U51" i="24"/>
  <c r="U117" i="24" s="1"/>
  <c r="U105" i="24"/>
  <c r="V101" i="24" s="1"/>
  <c r="Z50" i="19" l="1"/>
  <c r="Z104" i="19"/>
  <c r="AA100" i="19" s="1"/>
  <c r="V107" i="24"/>
  <c r="V108" i="24" s="1"/>
  <c r="V103" i="24" s="1"/>
  <c r="Z51" i="19" l="1"/>
  <c r="Z116" i="19" s="1"/>
  <c r="AA106" i="19"/>
  <c r="AA107" i="19" s="1"/>
  <c r="AA102" i="19" s="1"/>
  <c r="V104" i="24"/>
  <c r="V50" i="24" s="1"/>
  <c r="AA103" i="19" l="1"/>
  <c r="V51" i="24"/>
  <c r="V117" i="24" s="1"/>
  <c r="V105" i="24"/>
  <c r="W101" i="24" s="1"/>
  <c r="AA50" i="19" l="1"/>
  <c r="AA51" i="19" s="1"/>
  <c r="AA116" i="19" s="1"/>
  <c r="AA104" i="19"/>
  <c r="AB100" i="19" s="1"/>
  <c r="W107" i="24"/>
  <c r="W108" i="24" s="1"/>
  <c r="W103" i="24" s="1"/>
  <c r="W104" i="24" s="1"/>
  <c r="W50" i="24" s="1"/>
  <c r="AB106" i="19" l="1"/>
  <c r="AB107" i="19" s="1"/>
  <c r="AB102" i="19" s="1"/>
  <c r="AB103" i="19" s="1"/>
  <c r="AB50" i="19" s="1"/>
  <c r="AB51" i="19" s="1"/>
  <c r="AB116" i="19" s="1"/>
  <c r="W105" i="24"/>
  <c r="X101" i="24" s="1"/>
  <c r="X107" i="24" s="1"/>
  <c r="X108" i="24" s="1"/>
  <c r="X103" i="24" s="1"/>
  <c r="X104" i="24" s="1"/>
  <c r="X50" i="24" s="1"/>
  <c r="W51" i="24"/>
  <c r="W117" i="24" s="1"/>
  <c r="AB104" i="19" l="1"/>
  <c r="AC100" i="19" s="1"/>
  <c r="AC106" i="19" s="1"/>
  <c r="AC107" i="19" s="1"/>
  <c r="AC102" i="19" s="1"/>
  <c r="AC103" i="19" s="1"/>
  <c r="X51" i="24"/>
  <c r="X117" i="24" s="1"/>
  <c r="X105" i="24"/>
  <c r="Y101" i="24" s="1"/>
  <c r="AC50" i="19" l="1"/>
  <c r="AC104" i="19"/>
  <c r="AD100" i="19" s="1"/>
  <c r="Y107" i="24"/>
  <c r="Y108" i="24" s="1"/>
  <c r="Y103" i="24" s="1"/>
  <c r="Y104" i="24" s="1"/>
  <c r="Y50" i="24" s="1"/>
  <c r="AC51" i="19" l="1"/>
  <c r="AC116" i="19" s="1"/>
  <c r="AD106" i="19"/>
  <c r="AD107" i="19" s="1"/>
  <c r="AD102" i="19" s="1"/>
  <c r="AD103" i="19" s="1"/>
  <c r="Y51" i="24"/>
  <c r="Y117" i="24" s="1"/>
  <c r="Y105" i="24"/>
  <c r="Z101" i="24" s="1"/>
  <c r="AD50" i="19" l="1"/>
  <c r="AD104" i="19"/>
  <c r="AE100" i="19" s="1"/>
  <c r="Z107" i="24"/>
  <c r="Z108" i="24" s="1"/>
  <c r="Z103" i="24" s="1"/>
  <c r="Z104" i="24" s="1"/>
  <c r="Z50" i="24" s="1"/>
  <c r="AD51" i="19" l="1"/>
  <c r="AD116" i="19" s="1"/>
  <c r="AE106" i="19"/>
  <c r="AE107" i="19" s="1"/>
  <c r="AE102" i="19" s="1"/>
  <c r="AE103" i="19" s="1"/>
  <c r="Z51" i="24"/>
  <c r="Z117" i="24" s="1"/>
  <c r="Z105" i="24"/>
  <c r="AA101" i="24" s="1"/>
  <c r="AE50" i="19" l="1"/>
  <c r="AE104" i="19"/>
  <c r="AF100" i="19" s="1"/>
  <c r="AA107" i="24"/>
  <c r="AA108" i="24" s="1"/>
  <c r="AA103" i="24" s="1"/>
  <c r="AA104" i="24" s="1"/>
  <c r="AA50" i="24" s="1"/>
  <c r="AE51" i="19" l="1"/>
  <c r="AE116" i="19" s="1"/>
  <c r="AF106" i="19"/>
  <c r="AF107" i="19" s="1"/>
  <c r="AF102" i="19" s="1"/>
  <c r="AA51" i="24"/>
  <c r="AA117" i="24" s="1"/>
  <c r="AA105" i="24"/>
  <c r="AB101" i="24" s="1"/>
  <c r="AF103" i="19" l="1"/>
  <c r="AB107" i="24"/>
  <c r="AB108" i="24" s="1"/>
  <c r="AB103" i="24" s="1"/>
  <c r="AF50" i="19" l="1"/>
  <c r="AF104" i="19"/>
  <c r="AG100" i="19" s="1"/>
  <c r="AB104" i="24"/>
  <c r="AB50" i="24" s="1"/>
  <c r="AF51" i="19" l="1"/>
  <c r="AF116" i="19" s="1"/>
  <c r="AG106" i="19"/>
  <c r="AG107" i="19" s="1"/>
  <c r="AG102" i="19" s="1"/>
  <c r="AB51" i="24"/>
  <c r="AB117" i="24" s="1"/>
  <c r="AB105" i="24"/>
  <c r="AC101" i="24" s="1"/>
  <c r="AG103" i="19" l="1"/>
  <c r="AC107" i="24"/>
  <c r="AC108" i="24" s="1"/>
  <c r="AC103" i="24" s="1"/>
  <c r="AG50" i="19" l="1"/>
  <c r="AG51" i="19" s="1"/>
  <c r="AG116" i="19" s="1"/>
  <c r="AG104" i="19"/>
  <c r="AH100" i="19" s="1"/>
  <c r="AC104" i="24"/>
  <c r="AC50" i="24" s="1"/>
  <c r="AH106" i="19" l="1"/>
  <c r="AH107" i="19" s="1"/>
  <c r="AH102" i="19" s="1"/>
  <c r="AH103" i="19" s="1"/>
  <c r="AH50" i="19" s="1"/>
  <c r="AH51" i="19" s="1"/>
  <c r="AH116" i="19" s="1"/>
  <c r="AC51" i="24"/>
  <c r="AC117" i="24" s="1"/>
  <c r="AC105" i="24"/>
  <c r="AD101" i="24" s="1"/>
  <c r="AH104" i="19" l="1"/>
  <c r="AI100" i="19" s="1"/>
  <c r="AD107" i="24"/>
  <c r="AD108" i="24" s="1"/>
  <c r="AD103" i="24" s="1"/>
  <c r="AD104" i="24" s="1"/>
  <c r="AD50" i="24" s="1"/>
  <c r="AI106" i="19" l="1"/>
  <c r="AI107" i="19" s="1"/>
  <c r="AI102" i="19" s="1"/>
  <c r="AI103" i="19" s="1"/>
  <c r="AD51" i="24"/>
  <c r="AD117" i="24" s="1"/>
  <c r="AD105" i="24"/>
  <c r="AE101" i="24" s="1"/>
  <c r="AI50" i="19" l="1"/>
  <c r="AI51" i="19" s="1"/>
  <c r="AI116" i="19" s="1"/>
  <c r="AI104" i="19"/>
  <c r="AJ100" i="19" s="1"/>
  <c r="AJ106" i="19" s="1"/>
  <c r="AJ107" i="19" s="1"/>
  <c r="AJ102" i="19" s="1"/>
  <c r="AJ103" i="19" s="1"/>
  <c r="AE107" i="24"/>
  <c r="AE108" i="24" s="1"/>
  <c r="AE103" i="24" s="1"/>
  <c r="AJ104" i="19" l="1"/>
  <c r="AK100" i="19" s="1"/>
  <c r="AK106" i="19" s="1"/>
  <c r="AK107" i="19" s="1"/>
  <c r="AK102" i="19" s="1"/>
  <c r="AK103" i="19" s="1"/>
  <c r="AK50" i="19" s="1"/>
  <c r="AJ50" i="19"/>
  <c r="AJ51" i="19" s="1"/>
  <c r="AJ116" i="19" s="1"/>
  <c r="AE104" i="24"/>
  <c r="AE50" i="24" s="1"/>
  <c r="AK104" i="19" l="1"/>
  <c r="AL100" i="19" s="1"/>
  <c r="AL106" i="19" s="1"/>
  <c r="AL107" i="19" s="1"/>
  <c r="AL102" i="19" s="1"/>
  <c r="AK51" i="19"/>
  <c r="AK116" i="19" s="1"/>
  <c r="AE51" i="24"/>
  <c r="AE117" i="24" s="1"/>
  <c r="AE105" i="24"/>
  <c r="AF101" i="24" s="1"/>
  <c r="AL103" i="19" l="1"/>
  <c r="AF107" i="24"/>
  <c r="AF108" i="24" s="1"/>
  <c r="AF103" i="24" s="1"/>
  <c r="AL50" i="19" l="1"/>
  <c r="AL51" i="19" s="1"/>
  <c r="AL116" i="19" s="1"/>
  <c r="AL104" i="19"/>
  <c r="AM100" i="19" s="1"/>
  <c r="AM106" i="19" s="1"/>
  <c r="AM107" i="19" s="1"/>
  <c r="AM102" i="19" s="1"/>
  <c r="AF104" i="24"/>
  <c r="AF50" i="24" s="1"/>
  <c r="AM103" i="19" l="1"/>
  <c r="AF51" i="24"/>
  <c r="AF117" i="24" s="1"/>
  <c r="AF105" i="24"/>
  <c r="AG101" i="24" s="1"/>
  <c r="AM50" i="19" l="1"/>
  <c r="AM104" i="19"/>
  <c r="AN100" i="19" s="1"/>
  <c r="AG107" i="24"/>
  <c r="AG108" i="24" s="1"/>
  <c r="AG103" i="24" s="1"/>
  <c r="AG104" i="24" s="1"/>
  <c r="AG50" i="24" s="1"/>
  <c r="AM51" i="19" l="1"/>
  <c r="AM116" i="19" s="1"/>
  <c r="AN106" i="19"/>
  <c r="AN107" i="19" s="1"/>
  <c r="AN102" i="19" s="1"/>
  <c r="AN103" i="19" s="1"/>
  <c r="AG51" i="24"/>
  <c r="AG117" i="24" s="1"/>
  <c r="AG105" i="24"/>
  <c r="AH101" i="24" s="1"/>
  <c r="AN104" i="19" l="1"/>
  <c r="AO100" i="19" s="1"/>
  <c r="AO106" i="19" s="1"/>
  <c r="AO107" i="19" s="1"/>
  <c r="AO102" i="19" s="1"/>
  <c r="AN50" i="19"/>
  <c r="AN51" i="19" s="1"/>
  <c r="AN116" i="19" s="1"/>
  <c r="AH107" i="24"/>
  <c r="AH108" i="24" s="1"/>
  <c r="AH103" i="24" s="1"/>
  <c r="AO103" i="19" l="1"/>
  <c r="AH104" i="24"/>
  <c r="AH50" i="24" s="1"/>
  <c r="AO50" i="19" l="1"/>
  <c r="AO104" i="19"/>
  <c r="AP100" i="19" s="1"/>
  <c r="AH51" i="24"/>
  <c r="AH117" i="24" s="1"/>
  <c r="AH105" i="24"/>
  <c r="AI101" i="24" s="1"/>
  <c r="AO51" i="19" l="1"/>
  <c r="AO116" i="19" s="1"/>
  <c r="AP106" i="19"/>
  <c r="AP107" i="19" s="1"/>
  <c r="AP102" i="19" s="1"/>
  <c r="AP103" i="19" s="1"/>
  <c r="AI107" i="24"/>
  <c r="AI108" i="24" s="1"/>
  <c r="AI103" i="24" s="1"/>
  <c r="AI104" i="24" s="1"/>
  <c r="AI50" i="24" s="1"/>
  <c r="AP104" i="19" l="1"/>
  <c r="AQ100" i="19" s="1"/>
  <c r="AP50" i="19"/>
  <c r="AI51" i="24"/>
  <c r="AI117" i="24" s="1"/>
  <c r="AI105" i="24"/>
  <c r="AJ101" i="24" s="1"/>
  <c r="AQ106" i="19" l="1"/>
  <c r="AQ107" i="19" s="1"/>
  <c r="AQ102" i="19" s="1"/>
  <c r="AQ103" i="19" s="1"/>
  <c r="AP51" i="19"/>
  <c r="AP116" i="19" s="1"/>
  <c r="AJ107" i="24"/>
  <c r="AJ108" i="24" s="1"/>
  <c r="AJ103" i="24" s="1"/>
  <c r="AJ104" i="24" s="1"/>
  <c r="AJ50" i="24" s="1"/>
  <c r="AQ50" i="19" l="1"/>
  <c r="AQ104" i="19"/>
  <c r="AR100" i="19" s="1"/>
  <c r="AJ51" i="24"/>
  <c r="AJ117" i="24" s="1"/>
  <c r="AJ105" i="24"/>
  <c r="AK101" i="24" s="1"/>
  <c r="AQ51" i="19" l="1"/>
  <c r="AQ116" i="19" s="1"/>
  <c r="AR106" i="19"/>
  <c r="AR107" i="19" s="1"/>
  <c r="AR102" i="19" s="1"/>
  <c r="AK107" i="24"/>
  <c r="AK108" i="24" s="1"/>
  <c r="AK103" i="24" s="1"/>
  <c r="AK104" i="24" s="1"/>
  <c r="AK50" i="24" s="1"/>
  <c r="AR103" i="19" l="1"/>
  <c r="AK51" i="24"/>
  <c r="AK117" i="24" s="1"/>
  <c r="AK105" i="24"/>
  <c r="AL101" i="24" s="1"/>
  <c r="AR50" i="19" l="1"/>
  <c r="AR104" i="19"/>
  <c r="AS100" i="19" s="1"/>
  <c r="AL107" i="24"/>
  <c r="AL108" i="24" s="1"/>
  <c r="AL103" i="24" s="1"/>
  <c r="AL104" i="24" s="1"/>
  <c r="AL50" i="24" s="1"/>
  <c r="AR51" i="19" l="1"/>
  <c r="AR116" i="19" s="1"/>
  <c r="AS106" i="19"/>
  <c r="AS107" i="19" s="1"/>
  <c r="AS102" i="19" s="1"/>
  <c r="AS103" i="19" s="1"/>
  <c r="AS50" i="19" s="1"/>
  <c r="AL51" i="24"/>
  <c r="AL117" i="24" s="1"/>
  <c r="AL105" i="24"/>
  <c r="AM101" i="24" s="1"/>
  <c r="AS104" i="19" l="1"/>
  <c r="AT100" i="19" s="1"/>
  <c r="AT106" i="19" s="1"/>
  <c r="AT107" i="19" s="1"/>
  <c r="AT102" i="19" s="1"/>
  <c r="AS51" i="19"/>
  <c r="AS116" i="19" s="1"/>
  <c r="AM107" i="24"/>
  <c r="AM108" i="24" s="1"/>
  <c r="AM103" i="24" s="1"/>
  <c r="AM104" i="24" s="1"/>
  <c r="AM50" i="24" s="1"/>
  <c r="AT103" i="19" l="1"/>
  <c r="AM51" i="24"/>
  <c r="AM117" i="24" s="1"/>
  <c r="AM105" i="24"/>
  <c r="AN101" i="24" s="1"/>
  <c r="AN107" i="24" s="1"/>
  <c r="AN108" i="24" s="1"/>
  <c r="AN103" i="24" s="1"/>
  <c r="AN104" i="24" s="1"/>
  <c r="AN50" i="24" s="1"/>
  <c r="AT50" i="19" l="1"/>
  <c r="AT104" i="19"/>
  <c r="AU100" i="19" s="1"/>
  <c r="AN51" i="24"/>
  <c r="AN117" i="24" s="1"/>
  <c r="AN105" i="24"/>
  <c r="AO101" i="24" s="1"/>
  <c r="AO107" i="24" s="1"/>
  <c r="AO108" i="24" s="1"/>
  <c r="AO103" i="24" s="1"/>
  <c r="AT51" i="19" l="1"/>
  <c r="AT116" i="19" s="1"/>
  <c r="AU106" i="19"/>
  <c r="AU107" i="19" s="1"/>
  <c r="AU102" i="19" s="1"/>
  <c r="AU103" i="19" s="1"/>
  <c r="AU50" i="19" s="1"/>
  <c r="AO104" i="24"/>
  <c r="AO50" i="24" s="1"/>
  <c r="AU104" i="19" l="1"/>
  <c r="AV100" i="19" s="1"/>
  <c r="AU51" i="19"/>
  <c r="AU116" i="19" s="1"/>
  <c r="AO51" i="24"/>
  <c r="AO117" i="24" s="1"/>
  <c r="AO105" i="24"/>
  <c r="AP101" i="24" s="1"/>
  <c r="AV106" i="19" l="1"/>
  <c r="AV107" i="19" s="1"/>
  <c r="AV102" i="19" s="1"/>
  <c r="AP107" i="24"/>
  <c r="AP108" i="24" s="1"/>
  <c r="AP103" i="24" s="1"/>
  <c r="AV103" i="19" l="1"/>
  <c r="AP104" i="24"/>
  <c r="AP50" i="24" s="1"/>
  <c r="AV50" i="19" l="1"/>
  <c r="AV51" i="19" s="1"/>
  <c r="AV116" i="19" s="1"/>
  <c r="AV104" i="19"/>
  <c r="AW100" i="19" s="1"/>
  <c r="AW106" i="19" s="1"/>
  <c r="AW107" i="19" s="1"/>
  <c r="AW102" i="19" s="1"/>
  <c r="AW103" i="19" s="1"/>
  <c r="AP51" i="24"/>
  <c r="AP117" i="24" s="1"/>
  <c r="AP105" i="24"/>
  <c r="AQ101" i="24" s="1"/>
  <c r="AW50" i="19" l="1"/>
  <c r="AW104" i="19"/>
  <c r="AX100" i="19" s="1"/>
  <c r="AQ107" i="24"/>
  <c r="AQ108" i="24" s="1"/>
  <c r="AQ103" i="24" s="1"/>
  <c r="AW51" i="19" l="1"/>
  <c r="AW116" i="19" s="1"/>
  <c r="AX106" i="19"/>
  <c r="AX107" i="19" s="1"/>
  <c r="AX102" i="19" s="1"/>
  <c r="AQ104" i="24"/>
  <c r="AQ50" i="24" s="1"/>
  <c r="AX103" i="19" l="1"/>
  <c r="AQ51" i="24"/>
  <c r="AQ117" i="24" s="1"/>
  <c r="AQ105" i="24"/>
  <c r="AR101" i="24" s="1"/>
  <c r="AX50" i="19" l="1"/>
  <c r="AX51" i="19" s="1"/>
  <c r="AX116" i="19" s="1"/>
  <c r="AX104" i="19"/>
  <c r="AY100" i="19" s="1"/>
  <c r="AY106" i="19" s="1"/>
  <c r="AY107" i="19" s="1"/>
  <c r="AY102" i="19" s="1"/>
  <c r="AY103" i="19" s="1"/>
  <c r="AR107" i="24"/>
  <c r="AR108" i="24" s="1"/>
  <c r="AR103" i="24" s="1"/>
  <c r="AR104" i="24" s="1"/>
  <c r="AY50" i="19" l="1"/>
  <c r="AY104" i="19"/>
  <c r="AZ100" i="19" s="1"/>
  <c r="AR50" i="24"/>
  <c r="AR105" i="24"/>
  <c r="AS101" i="24" s="1"/>
  <c r="AY51" i="19" l="1"/>
  <c r="AY116" i="19" s="1"/>
  <c r="AZ106" i="19"/>
  <c r="AZ107" i="19" s="1"/>
  <c r="AZ102" i="19" s="1"/>
  <c r="AS107" i="24"/>
  <c r="AS108" i="24" s="1"/>
  <c r="AS103" i="24" s="1"/>
  <c r="AR51" i="24"/>
  <c r="AR117" i="24" s="1"/>
  <c r="AZ103" i="19" l="1"/>
  <c r="AS104" i="24"/>
  <c r="AS50" i="24" s="1"/>
  <c r="AZ50" i="19" l="1"/>
  <c r="AZ104" i="19"/>
  <c r="BA100" i="19" s="1"/>
  <c r="AS51" i="24"/>
  <c r="AS117" i="24" s="1"/>
  <c r="AS105" i="24"/>
  <c r="AT101" i="24" s="1"/>
  <c r="AZ51" i="19" l="1"/>
  <c r="AZ116" i="19" s="1"/>
  <c r="BA106" i="19"/>
  <c r="BA107" i="19" s="1"/>
  <c r="BA102" i="19" s="1"/>
  <c r="AT107" i="24"/>
  <c r="AT108" i="24" s="1"/>
  <c r="AT103" i="24" s="1"/>
  <c r="BA103" i="19" l="1"/>
  <c r="AT104" i="24"/>
  <c r="AT50" i="24" s="1"/>
  <c r="BA50" i="19" l="1"/>
  <c r="BA104" i="19"/>
  <c r="BB100" i="19" s="1"/>
  <c r="AT51" i="24"/>
  <c r="AT117" i="24" s="1"/>
  <c r="AT105" i="24"/>
  <c r="AU101" i="24" s="1"/>
  <c r="BA51" i="19" l="1"/>
  <c r="BA116" i="19" s="1"/>
  <c r="BB106" i="19"/>
  <c r="BB107" i="19" s="1"/>
  <c r="BB102" i="19" s="1"/>
  <c r="BB103" i="19" s="1"/>
  <c r="AU107" i="24"/>
  <c r="AU108" i="24" s="1"/>
  <c r="AU103" i="24" s="1"/>
  <c r="AU104" i="24" s="1"/>
  <c r="AU50" i="24" s="1"/>
  <c r="BB104" i="19" l="1"/>
  <c r="BC100" i="19" s="1"/>
  <c r="BB50" i="19"/>
  <c r="AU105" i="24"/>
  <c r="AV101" i="24" s="1"/>
  <c r="AV107" i="24" s="1"/>
  <c r="AV108" i="24" s="1"/>
  <c r="AV103" i="24" s="1"/>
  <c r="AV104" i="24" s="1"/>
  <c r="AV50" i="24" s="1"/>
  <c r="AU51" i="24"/>
  <c r="AU117" i="24" s="1"/>
  <c r="BC106" i="19" l="1"/>
  <c r="BC107" i="19" s="1"/>
  <c r="BC102" i="19" s="1"/>
  <c r="BB51" i="19"/>
  <c r="BB116" i="19" s="1"/>
  <c r="AV51" i="24"/>
  <c r="AV117" i="24" s="1"/>
  <c r="AV105" i="24"/>
  <c r="AW101" i="24" s="1"/>
  <c r="BC103" i="19" l="1"/>
  <c r="AW107" i="24"/>
  <c r="AW108" i="24" s="1"/>
  <c r="AW103" i="24" s="1"/>
  <c r="AW104" i="24" s="1"/>
  <c r="AW50" i="24" s="1"/>
  <c r="BC50" i="19" l="1"/>
  <c r="BC51" i="19" s="1"/>
  <c r="BC116" i="19" s="1"/>
  <c r="BC104" i="19"/>
  <c r="BD100" i="19" s="1"/>
  <c r="BD106" i="19" s="1"/>
  <c r="BD107" i="19" s="1"/>
  <c r="BD102" i="19" s="1"/>
  <c r="AW51" i="24"/>
  <c r="AW117" i="24" s="1"/>
  <c r="AW105" i="24"/>
  <c r="AX101" i="24" s="1"/>
  <c r="BD103" i="19" l="1"/>
  <c r="AX107" i="24"/>
  <c r="AX108" i="24" s="1"/>
  <c r="AX103" i="24" s="1"/>
  <c r="AX104" i="24" s="1"/>
  <c r="AX50" i="24" s="1"/>
  <c r="BD50" i="19" l="1"/>
  <c r="BD51" i="19" s="1"/>
  <c r="BD116" i="19" s="1"/>
  <c r="BD104" i="19"/>
  <c r="BE100" i="19" s="1"/>
  <c r="BE106" i="19" s="1"/>
  <c r="BE107" i="19" s="1"/>
  <c r="BE102" i="19" s="1"/>
  <c r="AX105" i="24"/>
  <c r="AY101" i="24" s="1"/>
  <c r="AX51" i="24"/>
  <c r="AX117" i="24" s="1"/>
  <c r="BE103" i="19" l="1"/>
  <c r="AY107" i="24"/>
  <c r="AY108" i="24" s="1"/>
  <c r="AY103" i="24" s="1"/>
  <c r="BE50" i="19" l="1"/>
  <c r="BE51" i="19" s="1"/>
  <c r="BE116" i="19" s="1"/>
  <c r="BE104" i="19"/>
  <c r="BF100" i="19" s="1"/>
  <c r="BF106" i="19" s="1"/>
  <c r="BF107" i="19" s="1"/>
  <c r="BF102" i="19" s="1"/>
  <c r="AY104" i="24"/>
  <c r="AY50" i="24" s="1"/>
  <c r="BF103" i="19" l="1"/>
  <c r="AY51" i="24"/>
  <c r="AY117" i="24" s="1"/>
  <c r="AY105" i="24"/>
  <c r="AZ101" i="24" s="1"/>
  <c r="AB10" i="18"/>
  <c r="U10" i="18"/>
  <c r="O10" i="18"/>
  <c r="X10" i="18"/>
  <c r="R10" i="18"/>
  <c r="H10" i="18"/>
  <c r="N10" i="18"/>
  <c r="Z10" i="18"/>
  <c r="S10" i="18"/>
  <c r="L10" i="18"/>
  <c r="P10" i="18"/>
  <c r="V10" i="18"/>
  <c r="Q10" i="18"/>
  <c r="J10" i="18"/>
  <c r="I10" i="18"/>
  <c r="G10" i="18"/>
  <c r="AC10" i="18"/>
  <c r="T10" i="18"/>
  <c r="M10" i="18"/>
  <c r="T11" i="18"/>
  <c r="F11" i="18"/>
  <c r="AC11" i="18"/>
  <c r="S11" i="18"/>
  <c r="I11" i="18"/>
  <c r="W11" i="18"/>
  <c r="H11" i="18"/>
  <c r="L11" i="18"/>
  <c r="X11" i="18"/>
  <c r="AB11" i="18"/>
  <c r="V11" i="18"/>
  <c r="G11" i="18"/>
  <c r="O11" i="18"/>
  <c r="N11" i="18"/>
  <c r="AA11" i="18"/>
  <c r="U11" i="18"/>
  <c r="Y11" i="18"/>
  <c r="P11" i="18"/>
  <c r="Z11" i="18"/>
  <c r="E11" i="18"/>
  <c r="Q11" i="18"/>
  <c r="R11" i="18"/>
  <c r="M11" i="18"/>
  <c r="J11" i="18"/>
  <c r="K11" i="18"/>
  <c r="J12" i="18"/>
  <c r="P12" i="18"/>
  <c r="AC12" i="18"/>
  <c r="AB12" i="18"/>
  <c r="K12" i="18"/>
  <c r="T12" i="18"/>
  <c r="O12" i="18"/>
  <c r="N12" i="18"/>
  <c r="V12" i="18"/>
  <c r="Z12" i="18"/>
  <c r="U12" i="18"/>
  <c r="X12" i="18"/>
  <c r="M12" i="18"/>
  <c r="Y12" i="18"/>
  <c r="I12" i="18"/>
  <c r="W12" i="18"/>
  <c r="S12" i="18"/>
  <c r="R12" i="18"/>
  <c r="G12" i="18"/>
  <c r="Q12" i="18"/>
  <c r="F12" i="18"/>
  <c r="L12" i="18"/>
  <c r="E12" i="18"/>
  <c r="H12" i="18"/>
  <c r="AA12" i="18"/>
  <c r="U13" i="18"/>
  <c r="Y13" i="18"/>
  <c r="R13" i="18"/>
  <c r="AC13" i="18"/>
  <c r="M13" i="18"/>
  <c r="E13" i="18"/>
  <c r="X13" i="18"/>
  <c r="Q13" i="18"/>
  <c r="T13" i="18"/>
  <c r="Z13" i="18"/>
  <c r="AA13" i="18"/>
  <c r="W13" i="18"/>
  <c r="N13" i="18"/>
  <c r="F13" i="18"/>
  <c r="J13" i="18"/>
  <c r="L13" i="18"/>
  <c r="G13" i="18"/>
  <c r="P13" i="18"/>
  <c r="V13" i="18"/>
  <c r="S13" i="18"/>
  <c r="I13" i="18"/>
  <c r="K13" i="18"/>
  <c r="O13" i="18"/>
  <c r="AB13" i="18"/>
  <c r="H13" i="18"/>
  <c r="W14" i="18"/>
  <c r="M14" i="18"/>
  <c r="H14" i="18"/>
  <c r="Z14" i="18"/>
  <c r="Y14" i="18"/>
  <c r="O14" i="18"/>
  <c r="L14" i="18"/>
  <c r="AC14" i="18"/>
  <c r="F14" i="18"/>
  <c r="K14" i="18"/>
  <c r="P14" i="18"/>
  <c r="J14" i="18"/>
  <c r="S14" i="18"/>
  <c r="V14" i="18"/>
  <c r="T14" i="18"/>
  <c r="N14" i="18"/>
  <c r="Q14" i="18"/>
  <c r="X14" i="18"/>
  <c r="R14" i="18"/>
  <c r="AB14" i="18"/>
  <c r="E14" i="18"/>
  <c r="G14" i="18"/>
  <c r="U14" i="18"/>
  <c r="I14" i="18"/>
  <c r="AA14" i="18"/>
  <c r="W10" i="18"/>
  <c r="Y10" i="18"/>
  <c r="AA10" i="18"/>
  <c r="K10" i="18"/>
  <c r="E10" i="18"/>
  <c r="F10" i="18"/>
  <c r="AB23" i="18"/>
  <c r="K23" i="18"/>
  <c r="H23" i="18"/>
  <c r="J23" i="18"/>
  <c r="Z23" i="18"/>
  <c r="R23" i="18"/>
  <c r="O23" i="18"/>
  <c r="W23" i="18"/>
  <c r="M23" i="18"/>
  <c r="AC23" i="18"/>
  <c r="AA23" i="18"/>
  <c r="L23" i="18"/>
  <c r="T23" i="18"/>
  <c r="P23" i="18"/>
  <c r="F23" i="18"/>
  <c r="U23" i="18"/>
  <c r="Y23" i="18"/>
  <c r="S23" i="18"/>
  <c r="I23" i="18"/>
  <c r="V23" i="18"/>
  <c r="E23" i="18"/>
  <c r="Q23" i="18"/>
  <c r="G23" i="18"/>
  <c r="X23" i="18"/>
  <c r="N23" i="18"/>
  <c r="W22" i="18"/>
  <c r="K22" i="18"/>
  <c r="V22" i="18"/>
  <c r="E22" i="18"/>
  <c r="F22" i="18"/>
  <c r="H22" i="18"/>
  <c r="AA22" i="18"/>
  <c r="N22" i="18"/>
  <c r="AC22" i="18"/>
  <c r="M22" i="18"/>
  <c r="T22" i="18"/>
  <c r="Y22" i="18"/>
  <c r="S22" i="18"/>
  <c r="G22" i="18"/>
  <c r="J22" i="18"/>
  <c r="X22" i="18"/>
  <c r="O22" i="18"/>
  <c r="U22" i="18"/>
  <c r="Q22" i="18"/>
  <c r="L22" i="18"/>
  <c r="AB22" i="18"/>
  <c r="P22" i="18"/>
  <c r="I22" i="18"/>
  <c r="Z22" i="18"/>
  <c r="R22" i="18"/>
  <c r="W21" i="18"/>
  <c r="P21" i="18"/>
  <c r="Z21" i="18"/>
  <c r="AC21" i="18"/>
  <c r="O21" i="18"/>
  <c r="K21" i="18"/>
  <c r="V21" i="18"/>
  <c r="R21" i="18"/>
  <c r="AA21" i="18"/>
  <c r="AB21" i="18"/>
  <c r="Y21" i="18"/>
  <c r="E21" i="18"/>
  <c r="F21" i="18"/>
  <c r="G21" i="18"/>
  <c r="M21" i="18"/>
  <c r="N21" i="18"/>
  <c r="I21" i="18"/>
  <c r="H21" i="18"/>
  <c r="U21" i="18"/>
  <c r="L21" i="18"/>
  <c r="J21" i="18"/>
  <c r="S21" i="18"/>
  <c r="X21" i="18"/>
  <c r="T21" i="18"/>
  <c r="Q21" i="18"/>
  <c r="AA20" i="18"/>
  <c r="L20" i="18"/>
  <c r="H20" i="18"/>
  <c r="N20" i="18"/>
  <c r="U20" i="18"/>
  <c r="AB20" i="18"/>
  <c r="G20" i="18"/>
  <c r="R20" i="18"/>
  <c r="AC20" i="18"/>
  <c r="M20" i="18"/>
  <c r="I20" i="18"/>
  <c r="Q20" i="18"/>
  <c r="T20" i="18"/>
  <c r="F20" i="18"/>
  <c r="J20" i="18"/>
  <c r="V20" i="18"/>
  <c r="X20" i="18"/>
  <c r="O20" i="18"/>
  <c r="E20" i="18"/>
  <c r="K20" i="18"/>
  <c r="S20" i="18"/>
  <c r="Y20" i="18"/>
  <c r="P20" i="18"/>
  <c r="Z20" i="18"/>
  <c r="W20" i="18"/>
  <c r="Z19" i="18"/>
  <c r="V19" i="18"/>
  <c r="O19" i="18"/>
  <c r="J19" i="18"/>
  <c r="K19" i="18"/>
  <c r="S19" i="18"/>
  <c r="Y19" i="18"/>
  <c r="M19" i="18"/>
  <c r="W19" i="18"/>
  <c r="AA19" i="18"/>
  <c r="N19" i="18"/>
  <c r="P19" i="18"/>
  <c r="X19" i="18"/>
  <c r="T19" i="18"/>
  <c r="E19" i="18"/>
  <c r="Q19" i="18"/>
  <c r="I19" i="18"/>
  <c r="F19" i="18"/>
  <c r="U19" i="18"/>
  <c r="AB19" i="18"/>
  <c r="H19" i="18"/>
  <c r="G19" i="18"/>
  <c r="L19" i="18"/>
  <c r="AC19" i="18"/>
  <c r="R19" i="18"/>
  <c r="V18" i="18"/>
  <c r="P18" i="18"/>
  <c r="I18" i="18"/>
  <c r="AC18" i="18"/>
  <c r="AA18" i="18"/>
  <c r="N18" i="18"/>
  <c r="F18" i="18"/>
  <c r="G18" i="18"/>
  <c r="T18" i="18"/>
  <c r="Z18" i="18"/>
  <c r="Q18" i="18"/>
  <c r="H18" i="18"/>
  <c r="J18" i="18"/>
  <c r="L18" i="18"/>
  <c r="R18" i="18"/>
  <c r="K18" i="18"/>
  <c r="U18" i="18"/>
  <c r="E18" i="18"/>
  <c r="Y18" i="18"/>
  <c r="X18" i="18"/>
  <c r="S18" i="18"/>
  <c r="O18" i="18"/>
  <c r="W18" i="18"/>
  <c r="AB18" i="18"/>
  <c r="M18" i="18"/>
  <c r="H17" i="18"/>
  <c r="AC17" i="18"/>
  <c r="N17" i="18"/>
  <c r="Q17" i="18"/>
  <c r="V17" i="18"/>
  <c r="E17" i="18"/>
  <c r="AB17" i="18"/>
  <c r="I17" i="18"/>
  <c r="U17" i="18"/>
  <c r="L17" i="18"/>
  <c r="K17" i="18"/>
  <c r="Z17" i="18"/>
  <c r="R17" i="18"/>
  <c r="Y17" i="18"/>
  <c r="AA17" i="18"/>
  <c r="S17" i="18"/>
  <c r="M17" i="18"/>
  <c r="F17" i="18"/>
  <c r="X17" i="18"/>
  <c r="P17" i="18"/>
  <c r="J17" i="18"/>
  <c r="W17" i="18"/>
  <c r="G17" i="18"/>
  <c r="O17" i="18"/>
  <c r="T17" i="18"/>
  <c r="D24" i="18"/>
  <c r="D15" i="18" s="1"/>
  <c r="G16" i="18"/>
  <c r="R16" i="18"/>
  <c r="L16" i="18"/>
  <c r="J16" i="18"/>
  <c r="Q16" i="18"/>
  <c r="W16" i="18"/>
  <c r="M16" i="18"/>
  <c r="P16" i="18"/>
  <c r="F16" i="18"/>
  <c r="O16" i="18"/>
  <c r="X16" i="18"/>
  <c r="X24" i="18" s="1"/>
  <c r="T16" i="18"/>
  <c r="N16" i="18"/>
  <c r="K16" i="18"/>
  <c r="K24" i="18" s="1"/>
  <c r="K15" i="18"/>
  <c r="H16" i="18"/>
  <c r="I16" i="18"/>
  <c r="S16" i="18"/>
  <c r="Z16" i="18"/>
  <c r="Z24" i="18" s="1"/>
  <c r="V16" i="18"/>
  <c r="Y16" i="18"/>
  <c r="U16" i="18"/>
  <c r="AB16" i="18"/>
  <c r="AA16" i="18"/>
  <c r="AC16" i="18"/>
  <c r="E16" i="18"/>
  <c r="BF50" i="19" l="1"/>
  <c r="BF51" i="19" s="1"/>
  <c r="BF116" i="19" s="1"/>
  <c r="BF104" i="19"/>
  <c r="BG100" i="19" s="1"/>
  <c r="BG106" i="19" s="1"/>
  <c r="BG107" i="19" s="1"/>
  <c r="BG102" i="19" s="1"/>
  <c r="H11" i="24"/>
  <c r="I11" i="24" s="1"/>
  <c r="D27" i="18"/>
  <c r="N24" i="18"/>
  <c r="AC24" i="18"/>
  <c r="AA24" i="18"/>
  <c r="P24" i="18"/>
  <c r="O24" i="18"/>
  <c r="O15" i="18" s="1"/>
  <c r="O27" i="18" s="1"/>
  <c r="U24" i="18"/>
  <c r="M24" i="18"/>
  <c r="M15" i="18" s="1"/>
  <c r="M27" i="18" s="1"/>
  <c r="E24" i="18"/>
  <c r="E15" i="18" s="1"/>
  <c r="E27" i="18" s="1"/>
  <c r="F24" i="18"/>
  <c r="F15" i="18" s="1"/>
  <c r="F27" i="18" s="1"/>
  <c r="Q24" i="18"/>
  <c r="Q15" i="18" s="1"/>
  <c r="Q27" i="18" s="1"/>
  <c r="V24" i="18"/>
  <c r="V15" i="18" s="1"/>
  <c r="V27" i="18" s="1"/>
  <c r="Y24" i="18"/>
  <c r="Y15" i="18" s="1"/>
  <c r="Y27" i="18" s="1"/>
  <c r="L24" i="18"/>
  <c r="L15" i="18" s="1"/>
  <c r="L27" i="18" s="1"/>
  <c r="T24" i="18"/>
  <c r="T15" i="18" s="1"/>
  <c r="AB24" i="18"/>
  <c r="W24" i="18"/>
  <c r="I24" i="18"/>
  <c r="S24" i="18"/>
  <c r="S15" i="18" s="1"/>
  <c r="S27" i="18" s="1"/>
  <c r="AZ107" i="24"/>
  <c r="AZ108" i="24" s="1"/>
  <c r="AZ103" i="24" s="1"/>
  <c r="AB15" i="18"/>
  <c r="AA15" i="18"/>
  <c r="AA27" i="18" s="1"/>
  <c r="G24" i="18"/>
  <c r="G15" i="18" s="1"/>
  <c r="Z15" i="18"/>
  <c r="Z27" i="18" s="1"/>
  <c r="P15" i="18"/>
  <c r="AB27" i="18"/>
  <c r="I15" i="18"/>
  <c r="I27" i="18" s="1"/>
  <c r="W15" i="18"/>
  <c r="W27" i="18" s="1"/>
  <c r="AC15" i="18"/>
  <c r="H24" i="18"/>
  <c r="H15" i="18" s="1"/>
  <c r="H27" i="18" s="1"/>
  <c r="U15" i="18"/>
  <c r="U27" i="18" s="1"/>
  <c r="X15" i="18"/>
  <c r="X27" i="18" s="1"/>
  <c r="N15" i="18"/>
  <c r="J24" i="18"/>
  <c r="J15" i="18" s="1"/>
  <c r="R24" i="18"/>
  <c r="R15" i="18" s="1"/>
  <c r="AB25" i="18"/>
  <c r="H11" i="19"/>
  <c r="AA25" i="18"/>
  <c r="I25" i="18"/>
  <c r="F25" i="18"/>
  <c r="N25" i="18"/>
  <c r="Q25" i="18"/>
  <c r="O25" i="18"/>
  <c r="K25" i="18"/>
  <c r="K27" i="18" s="1"/>
  <c r="Y25" i="18"/>
  <c r="AC25" i="18"/>
  <c r="G25" i="18"/>
  <c r="L25" i="18"/>
  <c r="R25" i="18"/>
  <c r="M25" i="18"/>
  <c r="W25" i="18"/>
  <c r="X25" i="18"/>
  <c r="P25" i="18"/>
  <c r="T25" i="18"/>
  <c r="T27" i="18" s="1"/>
  <c r="V25" i="18"/>
  <c r="U25" i="18"/>
  <c r="H25" i="18"/>
  <c r="J25" i="18"/>
  <c r="H10" i="19"/>
  <c r="AA26" i="18"/>
  <c r="E26" i="18"/>
  <c r="Q26" i="18"/>
  <c r="K26" i="18"/>
  <c r="V26" i="18"/>
  <c r="AB26" i="18"/>
  <c r="U26" i="18"/>
  <c r="W26" i="18"/>
  <c r="I26" i="18"/>
  <c r="X26" i="18"/>
  <c r="L26" i="18"/>
  <c r="H26" i="18"/>
  <c r="Y26" i="18"/>
  <c r="M26" i="18"/>
  <c r="N26" i="18"/>
  <c r="T26" i="18"/>
  <c r="AC26" i="18"/>
  <c r="Z26" i="18"/>
  <c r="P26" i="18"/>
  <c r="R26" i="18"/>
  <c r="O26" i="18"/>
  <c r="S26" i="18"/>
  <c r="G26" i="18"/>
  <c r="F26" i="18"/>
  <c r="J26" i="18"/>
  <c r="E25" i="18"/>
  <c r="S25" i="18"/>
  <c r="D29" i="18"/>
  <c r="Z25" i="18"/>
  <c r="BG103" i="19" l="1"/>
  <c r="R27" i="18"/>
  <c r="P27" i="18"/>
  <c r="AC27" i="18"/>
  <c r="J27" i="18"/>
  <c r="G27" i="18"/>
  <c r="N27" i="18"/>
  <c r="AZ104" i="24"/>
  <c r="AZ50" i="24" s="1"/>
  <c r="I11" i="19"/>
  <c r="I10" i="19"/>
  <c r="Z29" i="18"/>
  <c r="Z30" i="18" s="1"/>
  <c r="D30" i="18"/>
  <c r="D32" i="18" s="1"/>
  <c r="J29" i="18"/>
  <c r="J30" i="18" s="1"/>
  <c r="H29" i="18"/>
  <c r="W29" i="18"/>
  <c r="W30" i="18" s="1"/>
  <c r="U29" i="18"/>
  <c r="U30" i="18" s="1"/>
  <c r="T29" i="18"/>
  <c r="T30" i="18" s="1"/>
  <c r="E29" i="18"/>
  <c r="S29" i="18"/>
  <c r="S30" i="18" s="1"/>
  <c r="V29" i="18"/>
  <c r="V30" i="18" s="1"/>
  <c r="V32" i="18" s="1"/>
  <c r="X29" i="18"/>
  <c r="X30" i="18" s="1"/>
  <c r="R29" i="18"/>
  <c r="R30" i="18" s="1"/>
  <c r="L29" i="18"/>
  <c r="L30" i="18" s="1"/>
  <c r="N29" i="18"/>
  <c r="N30" i="18" s="1"/>
  <c r="M29" i="18"/>
  <c r="M30" i="18" s="1"/>
  <c r="K29" i="18"/>
  <c r="G29" i="18"/>
  <c r="G30" i="18" s="1"/>
  <c r="F29" i="18"/>
  <c r="F30" i="18" s="1"/>
  <c r="F32" i="18" s="1"/>
  <c r="AC29" i="18"/>
  <c r="AC30" i="18" s="1"/>
  <c r="O29" i="18"/>
  <c r="O30" i="18" s="1"/>
  <c r="P29" i="18"/>
  <c r="Y29" i="18"/>
  <c r="Y30" i="18" s="1"/>
  <c r="Q29" i="18"/>
  <c r="Q30" i="18" s="1"/>
  <c r="I29" i="18"/>
  <c r="I30" i="18" s="1"/>
  <c r="AB29" i="18"/>
  <c r="AB30" i="18" s="1"/>
  <c r="AA29" i="18"/>
  <c r="AA30" i="18" s="1"/>
  <c r="AA32" i="18" s="1"/>
  <c r="BG50" i="19" l="1"/>
  <c r="BG51" i="19" s="1"/>
  <c r="BG116" i="19" s="1"/>
  <c r="BG104" i="19"/>
  <c r="BH100" i="19" s="1"/>
  <c r="BH106" i="19" s="1"/>
  <c r="BH107" i="19" s="1"/>
  <c r="BH102" i="19" s="1"/>
  <c r="Z39" i="24"/>
  <c r="Z59" i="24" s="1"/>
  <c r="AE39" i="24"/>
  <c r="AE59" i="24" s="1"/>
  <c r="J39" i="19"/>
  <c r="J39" i="24"/>
  <c r="H12" i="24"/>
  <c r="AZ51" i="24"/>
  <c r="AZ117" i="24" s="1"/>
  <c r="AZ105" i="24"/>
  <c r="BA101" i="24" s="1"/>
  <c r="J32" i="18"/>
  <c r="K30" i="18"/>
  <c r="K32" i="18" s="1"/>
  <c r="U32" i="18"/>
  <c r="L32" i="18"/>
  <c r="R32" i="18"/>
  <c r="I32" i="18"/>
  <c r="Q32" i="18"/>
  <c r="H12" i="19"/>
  <c r="G32" i="18"/>
  <c r="AB32" i="18"/>
  <c r="P30" i="18"/>
  <c r="P32" i="18" s="1"/>
  <c r="S32" i="18"/>
  <c r="AC32" i="18"/>
  <c r="X32" i="18"/>
  <c r="T32" i="18"/>
  <c r="E30" i="18"/>
  <c r="E32" i="18" s="1"/>
  <c r="H30" i="18"/>
  <c r="H32" i="18" s="1"/>
  <c r="M32" i="18"/>
  <c r="O32" i="18"/>
  <c r="Y32" i="18"/>
  <c r="J59" i="19"/>
  <c r="Z32" i="18"/>
  <c r="N32" i="18"/>
  <c r="W32" i="18"/>
  <c r="BH103" i="19" l="1"/>
  <c r="AF39" i="24"/>
  <c r="AF59" i="24" s="1"/>
  <c r="K39" i="24"/>
  <c r="K39" i="19"/>
  <c r="K59" i="19" s="1"/>
  <c r="O39" i="24"/>
  <c r="O59" i="24" s="1"/>
  <c r="J59" i="24"/>
  <c r="AB39" i="24"/>
  <c r="AB59" i="24" s="1"/>
  <c r="AC39" i="24"/>
  <c r="AC59" i="24" s="1"/>
  <c r="N39" i="24"/>
  <c r="N59" i="24" s="1"/>
  <c r="P39" i="24"/>
  <c r="P59" i="24" s="1"/>
  <c r="S39" i="24"/>
  <c r="S59" i="24" s="1"/>
  <c r="U39" i="24"/>
  <c r="U59" i="24" s="1"/>
  <c r="AA39" i="24"/>
  <c r="AA59" i="24" s="1"/>
  <c r="M39" i="24"/>
  <c r="M59" i="24" s="1"/>
  <c r="Q39" i="24"/>
  <c r="Q59" i="24" s="1"/>
  <c r="R39" i="24"/>
  <c r="R59" i="24" s="1"/>
  <c r="L39" i="24"/>
  <c r="L59" i="24" s="1"/>
  <c r="L39" i="19"/>
  <c r="L59" i="19" s="1"/>
  <c r="W39" i="24"/>
  <c r="W59" i="24" s="1"/>
  <c r="X39" i="24"/>
  <c r="X59" i="24" s="1"/>
  <c r="Y39" i="24"/>
  <c r="Y59" i="24" s="1"/>
  <c r="AG39" i="24"/>
  <c r="AG59" i="24" s="1"/>
  <c r="AD39" i="24"/>
  <c r="AD59" i="24" s="1"/>
  <c r="I39" i="19"/>
  <c r="I59" i="19" s="1"/>
  <c r="I39" i="24"/>
  <c r="T39" i="24"/>
  <c r="T59" i="24" s="1"/>
  <c r="V39" i="24"/>
  <c r="V59" i="24" s="1"/>
  <c r="I12" i="24"/>
  <c r="H15" i="24"/>
  <c r="BA107" i="24"/>
  <c r="BA108" i="24" s="1"/>
  <c r="BA103" i="24" s="1"/>
  <c r="BA104" i="24" s="1"/>
  <c r="BA50" i="24" s="1"/>
  <c r="H15" i="19"/>
  <c r="I12" i="19"/>
  <c r="BH50" i="19" l="1"/>
  <c r="BH51" i="19" s="1"/>
  <c r="BH116" i="19" s="1"/>
  <c r="BH104" i="19"/>
  <c r="BI100" i="19" s="1"/>
  <c r="BI106" i="19" s="1"/>
  <c r="BI107" i="19" s="1"/>
  <c r="BI102" i="19" s="1"/>
  <c r="BI103" i="19" s="1"/>
  <c r="M10" i="19"/>
  <c r="M9" i="19"/>
  <c r="L11" i="24"/>
  <c r="B39" i="19"/>
  <c r="K59" i="24"/>
  <c r="I59" i="24"/>
  <c r="B59" i="24" s="1"/>
  <c r="B39" i="24"/>
  <c r="I15" i="24"/>
  <c r="M10" i="24"/>
  <c r="M9" i="24"/>
  <c r="L15" i="24"/>
  <c r="M11" i="24"/>
  <c r="BA105" i="24"/>
  <c r="BB101" i="24" s="1"/>
  <c r="BB107" i="24" s="1"/>
  <c r="BB108" i="24" s="1"/>
  <c r="BB103" i="24" s="1"/>
  <c r="BB104" i="24" s="1"/>
  <c r="BB50" i="24" s="1"/>
  <c r="BA51" i="24"/>
  <c r="BA117" i="24" s="1"/>
  <c r="L11" i="19"/>
  <c r="I15" i="19"/>
  <c r="B59" i="19"/>
  <c r="BI50" i="19" l="1"/>
  <c r="BI51" i="19" s="1"/>
  <c r="BI116" i="19" s="1"/>
  <c r="BI104" i="19"/>
  <c r="BJ100" i="19" s="1"/>
  <c r="BJ106" i="19" s="1"/>
  <c r="BJ107" i="19" s="1"/>
  <c r="BJ102" i="19" s="1"/>
  <c r="BJ103" i="19" s="1"/>
  <c r="L12" i="24"/>
  <c r="L13" i="24"/>
  <c r="M11" i="19"/>
  <c r="M15" i="19" s="1"/>
  <c r="I76" i="24"/>
  <c r="M15" i="24"/>
  <c r="I76" i="19"/>
  <c r="BB51" i="24"/>
  <c r="BB117" i="24" s="1"/>
  <c r="BB105" i="24"/>
  <c r="BC101" i="24" s="1"/>
  <c r="L12" i="19"/>
  <c r="L13" i="19"/>
  <c r="L15" i="19"/>
  <c r="BJ104" i="19" l="1"/>
  <c r="BK100" i="19" s="1"/>
  <c r="BJ50" i="19"/>
  <c r="I83" i="24"/>
  <c r="I82" i="19"/>
  <c r="I88" i="19" s="1"/>
  <c r="I89" i="19" s="1"/>
  <c r="J76" i="19"/>
  <c r="BC107" i="24"/>
  <c r="BC108" i="24" s="1"/>
  <c r="BC103" i="24" s="1"/>
  <c r="BC104" i="24" s="1"/>
  <c r="BC50" i="24" s="1"/>
  <c r="I77" i="19"/>
  <c r="J75" i="19" s="1"/>
  <c r="I62" i="19"/>
  <c r="BK106" i="19" l="1"/>
  <c r="BK107" i="19" s="1"/>
  <c r="BK102" i="19" s="1"/>
  <c r="BK103" i="19" s="1"/>
  <c r="BJ51" i="19"/>
  <c r="BJ116" i="19" s="1"/>
  <c r="J77" i="19"/>
  <c r="K75" i="19" s="1"/>
  <c r="K77" i="19" s="1"/>
  <c r="L75" i="19" s="1"/>
  <c r="L77" i="19" s="1"/>
  <c r="M75" i="19" s="1"/>
  <c r="J82" i="19"/>
  <c r="K76" i="19"/>
  <c r="J62" i="19"/>
  <c r="I42" i="24"/>
  <c r="I63" i="24" s="1"/>
  <c r="I89" i="24"/>
  <c r="I77" i="24"/>
  <c r="I78" i="24" s="1"/>
  <c r="J75" i="24" s="1"/>
  <c r="J76" i="24" s="1"/>
  <c r="J83" i="24" s="1"/>
  <c r="I62" i="24"/>
  <c r="BC105" i="24"/>
  <c r="BD101" i="24" s="1"/>
  <c r="BD107" i="24" s="1"/>
  <c r="BD108" i="24" s="1"/>
  <c r="BD103" i="24" s="1"/>
  <c r="BD104" i="24" s="1"/>
  <c r="BD50" i="24" s="1"/>
  <c r="BC51" i="24"/>
  <c r="BC117" i="24" s="1"/>
  <c r="I42" i="19"/>
  <c r="BK50" i="19" l="1"/>
  <c r="BK104" i="19"/>
  <c r="BL100" i="19" s="1"/>
  <c r="L76" i="19"/>
  <c r="M76" i="19"/>
  <c r="K62" i="19"/>
  <c r="K82" i="19"/>
  <c r="L82" i="19" s="1"/>
  <c r="I90" i="24"/>
  <c r="I43" i="24"/>
  <c r="J42" i="24"/>
  <c r="J63" i="24" s="1"/>
  <c r="J77" i="24"/>
  <c r="BD51" i="24"/>
  <c r="BD117" i="24" s="1"/>
  <c r="BD105" i="24"/>
  <c r="BE101" i="24" s="1"/>
  <c r="I63" i="19"/>
  <c r="I43" i="19"/>
  <c r="J42" i="19"/>
  <c r="J63" i="19" s="1"/>
  <c r="BK51" i="19" l="1"/>
  <c r="BK116" i="19" s="1"/>
  <c r="BL106" i="19"/>
  <c r="BL107" i="19" s="1"/>
  <c r="BL102" i="19" s="1"/>
  <c r="BL103" i="19" s="1"/>
  <c r="L62" i="19"/>
  <c r="M82" i="19"/>
  <c r="M42" i="19" s="1"/>
  <c r="M63" i="19" s="1"/>
  <c r="M62" i="19"/>
  <c r="M77" i="19"/>
  <c r="N75" i="19" s="1"/>
  <c r="N77" i="19" s="1"/>
  <c r="O75" i="19" s="1"/>
  <c r="N76" i="19"/>
  <c r="J78" i="24"/>
  <c r="K75" i="24" s="1"/>
  <c r="K76" i="24" s="1"/>
  <c r="J62" i="24"/>
  <c r="K83" i="24"/>
  <c r="I91" i="24"/>
  <c r="J88" i="24" s="1"/>
  <c r="J97" i="24" s="1"/>
  <c r="J98" i="24" s="1"/>
  <c r="I46" i="24"/>
  <c r="I84" i="24" s="1"/>
  <c r="I64" i="24"/>
  <c r="I66" i="24" s="1"/>
  <c r="BE107" i="24"/>
  <c r="BE108" i="24" s="1"/>
  <c r="BE103" i="24" s="1"/>
  <c r="BE104" i="24" s="1"/>
  <c r="BE50" i="24" s="1"/>
  <c r="I46" i="19"/>
  <c r="I83" i="19" s="1"/>
  <c r="K42" i="19"/>
  <c r="K63" i="19" s="1"/>
  <c r="L42" i="19"/>
  <c r="L63" i="19" s="1"/>
  <c r="I90" i="19"/>
  <c r="J87" i="19" s="1"/>
  <c r="J96" i="19" s="1"/>
  <c r="J97" i="19" s="1"/>
  <c r="I64" i="19"/>
  <c r="I66" i="19" s="1"/>
  <c r="N62" i="19" l="1"/>
  <c r="N82" i="19"/>
  <c r="N42" i="19" s="1"/>
  <c r="N63" i="19" s="1"/>
  <c r="BL104" i="19"/>
  <c r="BM100" i="19" s="1"/>
  <c r="BL50" i="19"/>
  <c r="O76" i="19"/>
  <c r="P76" i="19"/>
  <c r="I85" i="24"/>
  <c r="J81" i="24" s="1"/>
  <c r="J82" i="24" s="1"/>
  <c r="E142" i="25"/>
  <c r="K77" i="24"/>
  <c r="K42" i="24"/>
  <c r="K63" i="24" s="1"/>
  <c r="J45" i="24"/>
  <c r="I54" i="24"/>
  <c r="I55" i="24" s="1"/>
  <c r="BE105" i="24"/>
  <c r="BF101" i="24" s="1"/>
  <c r="BF107" i="24" s="1"/>
  <c r="BF108" i="24" s="1"/>
  <c r="BF103" i="24" s="1"/>
  <c r="BF104" i="24" s="1"/>
  <c r="BF50" i="24" s="1"/>
  <c r="BE51" i="24"/>
  <c r="BE117" i="24" s="1"/>
  <c r="J45" i="19"/>
  <c r="BM106" i="19" l="1"/>
  <c r="BM107" i="19" s="1"/>
  <c r="BM102" i="19" s="1"/>
  <c r="BM103" i="19" s="1"/>
  <c r="BL51" i="19"/>
  <c r="BL116" i="19" s="1"/>
  <c r="O77" i="19"/>
  <c r="P75" i="19" s="1"/>
  <c r="P77" i="19" s="1"/>
  <c r="Q75" i="19" s="1"/>
  <c r="O82" i="19"/>
  <c r="O42" i="19" s="1"/>
  <c r="O63" i="19" s="1"/>
  <c r="O62" i="19"/>
  <c r="P82" i="19"/>
  <c r="P42" i="19" s="1"/>
  <c r="P63" i="19" s="1"/>
  <c r="P62" i="19"/>
  <c r="Q76" i="19"/>
  <c r="R76" i="19"/>
  <c r="K78" i="24"/>
  <c r="L75" i="24" s="1"/>
  <c r="L76" i="24" s="1"/>
  <c r="K62" i="24"/>
  <c r="L42" i="24"/>
  <c r="L63" i="24" s="1"/>
  <c r="L77" i="24"/>
  <c r="L78" i="24" s="1"/>
  <c r="M75" i="24" s="1"/>
  <c r="M76" i="24" s="1"/>
  <c r="I56" i="24"/>
  <c r="I114" i="24"/>
  <c r="J41" i="24"/>
  <c r="J89" i="24" s="1"/>
  <c r="J90" i="24" s="1"/>
  <c r="J91" i="24" s="1"/>
  <c r="K88" i="24" s="1"/>
  <c r="BF51" i="24"/>
  <c r="BF117" i="24" s="1"/>
  <c r="BF105" i="24"/>
  <c r="BG101" i="24" s="1"/>
  <c r="I54" i="19"/>
  <c r="I84" i="19"/>
  <c r="J80" i="19" s="1"/>
  <c r="Q62" i="19" l="1"/>
  <c r="Q82" i="19"/>
  <c r="Q42" i="19" s="1"/>
  <c r="Q63" i="19" s="1"/>
  <c r="S76" i="19"/>
  <c r="R62" i="19"/>
  <c r="R82" i="19"/>
  <c r="R42" i="19" s="1"/>
  <c r="R63" i="19" s="1"/>
  <c r="L62" i="24"/>
  <c r="L83" i="24"/>
  <c r="Q77" i="19"/>
  <c r="R75" i="19" s="1"/>
  <c r="R77" i="19" s="1"/>
  <c r="S75" i="19" s="1"/>
  <c r="S77" i="19" s="1"/>
  <c r="T75" i="19" s="1"/>
  <c r="BM50" i="19"/>
  <c r="BM104" i="19"/>
  <c r="BN100" i="19" s="1"/>
  <c r="T76" i="19"/>
  <c r="M83" i="24"/>
  <c r="I116" i="24"/>
  <c r="E132" i="25" s="1"/>
  <c r="I55" i="19"/>
  <c r="K97" i="24"/>
  <c r="K98" i="24" s="1"/>
  <c r="J61" i="24"/>
  <c r="J44" i="24"/>
  <c r="BG107" i="24"/>
  <c r="BG108" i="24" s="1"/>
  <c r="BG103" i="24" s="1"/>
  <c r="J41" i="19"/>
  <c r="J88" i="19" s="1"/>
  <c r="J89" i="19" s="1"/>
  <c r="J81" i="19"/>
  <c r="J44" i="19"/>
  <c r="S62" i="19" l="1"/>
  <c r="S82" i="19"/>
  <c r="S42" i="19" s="1"/>
  <c r="S63" i="19" s="1"/>
  <c r="BM51" i="19"/>
  <c r="BM116" i="19" s="1"/>
  <c r="BN106" i="19"/>
  <c r="BN107" i="19" s="1"/>
  <c r="BN102" i="19" s="1"/>
  <c r="BN103" i="19" s="1"/>
  <c r="T62" i="19"/>
  <c r="T82" i="19"/>
  <c r="T42" i="19" s="1"/>
  <c r="T63" i="19" s="1"/>
  <c r="T77" i="19"/>
  <c r="U75" i="19" s="1"/>
  <c r="U77" i="19" s="1"/>
  <c r="V75" i="19" s="1"/>
  <c r="U76" i="19"/>
  <c r="V76" i="19"/>
  <c r="W76" i="19"/>
  <c r="X76" i="19"/>
  <c r="M77" i="24"/>
  <c r="M42" i="24"/>
  <c r="M63" i="24" s="1"/>
  <c r="I113" i="19"/>
  <c r="J43" i="24"/>
  <c r="BG104" i="24"/>
  <c r="BG50" i="24" s="1"/>
  <c r="I56" i="19"/>
  <c r="I118" i="24" s="1"/>
  <c r="E23" i="25" s="1"/>
  <c r="J61" i="19"/>
  <c r="U62" i="19" l="1"/>
  <c r="U82" i="19"/>
  <c r="V62" i="19"/>
  <c r="W62" i="19"/>
  <c r="X62" i="19"/>
  <c r="V77" i="19"/>
  <c r="W75" i="19" s="1"/>
  <c r="W77" i="19" s="1"/>
  <c r="X75" i="19" s="1"/>
  <c r="X77" i="19" s="1"/>
  <c r="Y75" i="19" s="1"/>
  <c r="Y77" i="19" s="1"/>
  <c r="Z75" i="19" s="1"/>
  <c r="Z77" i="19" s="1"/>
  <c r="AA75" i="19" s="1"/>
  <c r="AA77" i="19" s="1"/>
  <c r="AB75" i="19" s="1"/>
  <c r="AB77" i="19" s="1"/>
  <c r="AC75" i="19" s="1"/>
  <c r="BN104" i="19"/>
  <c r="BO100" i="19" s="1"/>
  <c r="BN50" i="19"/>
  <c r="Y76" i="19"/>
  <c r="Z76" i="19"/>
  <c r="AA76" i="19"/>
  <c r="AB76" i="19"/>
  <c r="M78" i="24"/>
  <c r="N75" i="24" s="1"/>
  <c r="N76" i="24" s="1"/>
  <c r="M62" i="24"/>
  <c r="N83" i="24"/>
  <c r="E47" i="25"/>
  <c r="I115" i="19"/>
  <c r="J46" i="24"/>
  <c r="J84" i="24" s="1"/>
  <c r="J64" i="24"/>
  <c r="J66" i="24" s="1"/>
  <c r="BG51" i="24"/>
  <c r="BG117" i="24" s="1"/>
  <c r="BG105" i="24"/>
  <c r="BH101" i="24" s="1"/>
  <c r="J43" i="19"/>
  <c r="J90" i="19"/>
  <c r="K87" i="19" s="1"/>
  <c r="K96" i="19" s="1"/>
  <c r="K97" i="19" s="1"/>
  <c r="BO106" i="19" l="1"/>
  <c r="BO107" i="19" s="1"/>
  <c r="BO102" i="19" s="1"/>
  <c r="BO103" i="19" s="1"/>
  <c r="BN51" i="19"/>
  <c r="BN116" i="19" s="1"/>
  <c r="Y62" i="19"/>
  <c r="Z62" i="19"/>
  <c r="AA62" i="19"/>
  <c r="AB62" i="19"/>
  <c r="U42" i="19"/>
  <c r="U63" i="19" s="1"/>
  <c r="V82" i="19"/>
  <c r="W82" i="19"/>
  <c r="W42" i="19" s="1"/>
  <c r="W63" i="19" s="1"/>
  <c r="AC76" i="19"/>
  <c r="N42" i="24"/>
  <c r="N63" i="24" s="1"/>
  <c r="N77" i="24"/>
  <c r="I117" i="19"/>
  <c r="E60" i="25"/>
  <c r="E34" i="25"/>
  <c r="E123" i="21"/>
  <c r="J85" i="24"/>
  <c r="K81" i="24" s="1"/>
  <c r="K82" i="24" s="1"/>
  <c r="F142" i="25"/>
  <c r="J54" i="24"/>
  <c r="J55" i="24" s="1"/>
  <c r="K45" i="24"/>
  <c r="BH107" i="24"/>
  <c r="BH108" i="24" s="1"/>
  <c r="BH103" i="24" s="1"/>
  <c r="K45" i="19"/>
  <c r="J64" i="19"/>
  <c r="J46" i="19"/>
  <c r="AC77" i="19" l="1"/>
  <c r="AD75" i="19" s="1"/>
  <c r="AD77" i="19" s="1"/>
  <c r="AE75" i="19" s="1"/>
  <c r="AC62" i="19"/>
  <c r="BO50" i="19"/>
  <c r="BO104" i="19"/>
  <c r="BP100" i="19" s="1"/>
  <c r="V42" i="19"/>
  <c r="V63" i="19" s="1"/>
  <c r="X82" i="19"/>
  <c r="AD76" i="19"/>
  <c r="N78" i="24"/>
  <c r="O75" i="24" s="1"/>
  <c r="O76" i="24" s="1"/>
  <c r="N62" i="24"/>
  <c r="O83" i="24"/>
  <c r="E63" i="25"/>
  <c r="E62" i="25"/>
  <c r="E64" i="25" s="1"/>
  <c r="E36" i="25"/>
  <c r="E38" i="25" s="1"/>
  <c r="E37" i="25"/>
  <c r="E87" i="25"/>
  <c r="E23" i="21"/>
  <c r="E34" i="21" s="1"/>
  <c r="E31" i="25"/>
  <c r="J56" i="24"/>
  <c r="K41" i="24"/>
  <c r="K89" i="24" s="1"/>
  <c r="K90" i="24" s="1"/>
  <c r="K91" i="24" s="1"/>
  <c r="L88" i="24" s="1"/>
  <c r="J114" i="24"/>
  <c r="BH104" i="24"/>
  <c r="BH50" i="24" s="1"/>
  <c r="J83" i="19"/>
  <c r="K44" i="19"/>
  <c r="J66" i="19"/>
  <c r="BO51" i="19" l="1"/>
  <c r="BO116" i="19" s="1"/>
  <c r="BP106" i="19"/>
  <c r="BP107" i="19" s="1"/>
  <c r="BP102" i="19" s="1"/>
  <c r="Y82" i="19"/>
  <c r="X42" i="19"/>
  <c r="X63" i="19" s="1"/>
  <c r="AD62" i="19"/>
  <c r="AE76" i="19"/>
  <c r="O42" i="24"/>
  <c r="O63" i="24" s="1"/>
  <c r="O77" i="24"/>
  <c r="J116" i="24"/>
  <c r="F132" i="25" s="1"/>
  <c r="E89" i="25"/>
  <c r="E91" i="25" s="1"/>
  <c r="E90" i="25"/>
  <c r="E44" i="21"/>
  <c r="E31" i="21"/>
  <c r="E57" i="21"/>
  <c r="E58" i="21" s="1"/>
  <c r="E35" i="21"/>
  <c r="E81" i="21"/>
  <c r="E82" i="21" s="1"/>
  <c r="L97" i="24"/>
  <c r="L98" i="24" s="1"/>
  <c r="BH51" i="24"/>
  <c r="BH117" i="24" s="1"/>
  <c r="K44" i="24"/>
  <c r="K61" i="24"/>
  <c r="BH105" i="24"/>
  <c r="BI101" i="24" s="1"/>
  <c r="BI107" i="24" s="1"/>
  <c r="BI108" i="24" s="1"/>
  <c r="BI103" i="24" s="1"/>
  <c r="BI104" i="24" s="1"/>
  <c r="BI50" i="24" s="1"/>
  <c r="J54" i="19"/>
  <c r="J84" i="19"/>
  <c r="K80" i="19" s="1"/>
  <c r="K41" i="19"/>
  <c r="K88" i="19" s="1"/>
  <c r="K89" i="19" s="1"/>
  <c r="AE77" i="19" l="1"/>
  <c r="AF75" i="19" s="1"/>
  <c r="AE62" i="19"/>
  <c r="BP103" i="19"/>
  <c r="Y42" i="19"/>
  <c r="Y63" i="19" s="1"/>
  <c r="Z82" i="19"/>
  <c r="AA82" i="19"/>
  <c r="AA42" i="19" s="1"/>
  <c r="AA63" i="19" s="1"/>
  <c r="AF76" i="19"/>
  <c r="O78" i="24"/>
  <c r="P75" i="24" s="1"/>
  <c r="P76" i="24" s="1"/>
  <c r="O62" i="24"/>
  <c r="P83" i="24"/>
  <c r="E36" i="21"/>
  <c r="E37" i="21" s="1"/>
  <c r="F33" i="21" s="1"/>
  <c r="E39" i="25"/>
  <c r="BI51" i="24"/>
  <c r="BI117" i="24" s="1"/>
  <c r="K43" i="24"/>
  <c r="BI105" i="24"/>
  <c r="BJ101" i="24" s="1"/>
  <c r="BJ107" i="24" s="1"/>
  <c r="BJ108" i="24" s="1"/>
  <c r="BJ103" i="24" s="1"/>
  <c r="BJ104" i="24" s="1"/>
  <c r="BJ50" i="24" s="1"/>
  <c r="J55" i="19"/>
  <c r="K61" i="19"/>
  <c r="K81" i="19"/>
  <c r="AB82" i="19" l="1"/>
  <c r="Z42" i="19"/>
  <c r="Z63" i="19" s="1"/>
  <c r="AF62" i="19"/>
  <c r="AF77" i="19"/>
  <c r="AG75" i="19" s="1"/>
  <c r="AG77" i="19" s="1"/>
  <c r="AH75" i="19" s="1"/>
  <c r="BP50" i="19"/>
  <c r="BP104" i="19"/>
  <c r="BQ100" i="19" s="1"/>
  <c r="AG76" i="19"/>
  <c r="P42" i="24"/>
  <c r="P63" i="24" s="1"/>
  <c r="P77" i="24"/>
  <c r="E39" i="21"/>
  <c r="E40" i="21" s="1"/>
  <c r="E59" i="21" s="1"/>
  <c r="F35" i="25"/>
  <c r="E40" i="25"/>
  <c r="F33" i="25" s="1"/>
  <c r="E42" i="25"/>
  <c r="K46" i="24"/>
  <c r="K84" i="24" s="1"/>
  <c r="K64" i="24"/>
  <c r="K66" i="24" s="1"/>
  <c r="BJ51" i="24"/>
  <c r="BJ117" i="24" s="1"/>
  <c r="BJ105" i="24"/>
  <c r="BK101" i="24" s="1"/>
  <c r="J113" i="19"/>
  <c r="J56" i="19"/>
  <c r="K43" i="19"/>
  <c r="AB42" i="19" l="1"/>
  <c r="AB63" i="19" s="1"/>
  <c r="BP51" i="19"/>
  <c r="BP116" i="19" s="1"/>
  <c r="BQ106" i="19"/>
  <c r="BQ107" i="19" s="1"/>
  <c r="BQ102" i="19" s="1"/>
  <c r="AG62" i="19"/>
  <c r="AH76" i="19"/>
  <c r="P62" i="24"/>
  <c r="P78" i="24"/>
  <c r="Q75" i="24" s="1"/>
  <c r="Q76" i="24" s="1"/>
  <c r="AC82" i="19"/>
  <c r="E43" i="21"/>
  <c r="E45" i="21" s="1"/>
  <c r="E83" i="21"/>
  <c r="E92" i="25"/>
  <c r="E46" i="25"/>
  <c r="E43" i="25"/>
  <c r="E65" i="25" s="1"/>
  <c r="K85" i="24"/>
  <c r="L81" i="24" s="1"/>
  <c r="L82" i="24" s="1"/>
  <c r="G142" i="25"/>
  <c r="E41" i="21"/>
  <c r="J115" i="19"/>
  <c r="K54" i="24"/>
  <c r="K55" i="24" s="1"/>
  <c r="L45" i="24"/>
  <c r="BK107" i="24"/>
  <c r="BK108" i="24" s="1"/>
  <c r="BK103" i="24" s="1"/>
  <c r="BK104" i="24" s="1"/>
  <c r="BK50" i="24" s="1"/>
  <c r="K46" i="19"/>
  <c r="K83" i="19" s="1"/>
  <c r="K64" i="19"/>
  <c r="K90" i="19"/>
  <c r="L87" i="19" s="1"/>
  <c r="L96" i="19" s="1"/>
  <c r="L97" i="19" s="1"/>
  <c r="AH77" i="19" l="1"/>
  <c r="AI75" i="19" s="1"/>
  <c r="AH62" i="19"/>
  <c r="Q83" i="24"/>
  <c r="BQ103" i="19"/>
  <c r="AI76" i="19"/>
  <c r="AC42" i="19"/>
  <c r="AC63" i="19" s="1"/>
  <c r="AE82" i="19"/>
  <c r="AD82" i="19"/>
  <c r="F123" i="21"/>
  <c r="E48" i="25"/>
  <c r="E44" i="25"/>
  <c r="E57" i="25" s="1"/>
  <c r="E66" i="25" s="1"/>
  <c r="F61" i="25" s="1"/>
  <c r="E54" i="21"/>
  <c r="E60" i="21" s="1"/>
  <c r="J118" i="24"/>
  <c r="K114" i="24"/>
  <c r="K56" i="24"/>
  <c r="L44" i="24"/>
  <c r="L41" i="24"/>
  <c r="L89" i="24" s="1"/>
  <c r="L90" i="24" s="1"/>
  <c r="L91" i="24" s="1"/>
  <c r="M88" i="24" s="1"/>
  <c r="BK51" i="24"/>
  <c r="BK117" i="24" s="1"/>
  <c r="BK105" i="24"/>
  <c r="BL101" i="24" s="1"/>
  <c r="L45" i="19"/>
  <c r="K54" i="19"/>
  <c r="K84" i="19"/>
  <c r="L80" i="19" s="1"/>
  <c r="J117" i="19"/>
  <c r="K66" i="19"/>
  <c r="Q42" i="24" l="1"/>
  <c r="Q63" i="24" s="1"/>
  <c r="Q77" i="24"/>
  <c r="AI62" i="19"/>
  <c r="AI77" i="19"/>
  <c r="AJ75" i="19" s="1"/>
  <c r="AJ77" i="19" s="1"/>
  <c r="AK75" i="19" s="1"/>
  <c r="BQ50" i="19"/>
  <c r="BQ104" i="19"/>
  <c r="BR100" i="19" s="1"/>
  <c r="AJ76" i="19"/>
  <c r="AE42" i="19"/>
  <c r="AE63" i="19" s="1"/>
  <c r="AF82" i="19"/>
  <c r="AD42" i="19"/>
  <c r="AD63" i="19" s="1"/>
  <c r="K116" i="24"/>
  <c r="G132" i="25" s="1"/>
  <c r="E67" i="25"/>
  <c r="F59" i="25" s="1"/>
  <c r="E64" i="21"/>
  <c r="E68" i="21" s="1"/>
  <c r="E61" i="21"/>
  <c r="F56" i="21" s="1"/>
  <c r="F23" i="21"/>
  <c r="F31" i="21" s="1"/>
  <c r="E70" i="25"/>
  <c r="F23" i="25"/>
  <c r="M97" i="24"/>
  <c r="M98" i="24" s="1"/>
  <c r="L61" i="24"/>
  <c r="BL107" i="24"/>
  <c r="BL108" i="24" s="1"/>
  <c r="BL103" i="24" s="1"/>
  <c r="BL104" i="24" s="1"/>
  <c r="BL50" i="24" s="1"/>
  <c r="L44" i="19"/>
  <c r="K55" i="19"/>
  <c r="L81" i="19"/>
  <c r="Q62" i="24" l="1"/>
  <c r="Q78" i="24"/>
  <c r="R75" i="24" s="1"/>
  <c r="R76" i="24" s="1"/>
  <c r="BQ51" i="19"/>
  <c r="BQ116" i="19" s="1"/>
  <c r="BR106" i="19"/>
  <c r="BR107" i="19" s="1"/>
  <c r="BR102" i="19" s="1"/>
  <c r="AJ62" i="19"/>
  <c r="AK76" i="19"/>
  <c r="AF42" i="19"/>
  <c r="AF63" i="19" s="1"/>
  <c r="AG82" i="19"/>
  <c r="F57" i="21"/>
  <c r="F58" i="21" s="1"/>
  <c r="F44" i="21"/>
  <c r="E74" i="25"/>
  <c r="E69" i="25"/>
  <c r="E63" i="21"/>
  <c r="F34" i="21"/>
  <c r="F81" i="21" s="1"/>
  <c r="F82" i="21" s="1"/>
  <c r="F60" i="25"/>
  <c r="F34" i="25"/>
  <c r="F47" i="25"/>
  <c r="F31" i="25"/>
  <c r="L43" i="24"/>
  <c r="BL51" i="24"/>
  <c r="BL117" i="24" s="1"/>
  <c r="BL105" i="24"/>
  <c r="BM101" i="24" s="1"/>
  <c r="K113" i="19"/>
  <c r="K56" i="19"/>
  <c r="L41" i="19"/>
  <c r="L88" i="19" s="1"/>
  <c r="L89" i="19" s="1"/>
  <c r="BR103" i="19" l="1"/>
  <c r="R83" i="24"/>
  <c r="AK77" i="19"/>
  <c r="AL75" i="19" s="1"/>
  <c r="AK62" i="19"/>
  <c r="AH82" i="19"/>
  <c r="AG42" i="19"/>
  <c r="AG63" i="19" s="1"/>
  <c r="AL76" i="19"/>
  <c r="AM76" i="19"/>
  <c r="E93" i="25"/>
  <c r="E73" i="25"/>
  <c r="F62" i="25"/>
  <c r="F64" i="25" s="1"/>
  <c r="F63" i="25"/>
  <c r="F37" i="25"/>
  <c r="F36" i="25"/>
  <c r="F38" i="25" s="1"/>
  <c r="F87" i="25"/>
  <c r="E65" i="21"/>
  <c r="E84" i="21"/>
  <c r="F35" i="21"/>
  <c r="F36" i="21" s="1"/>
  <c r="F39" i="21" s="1"/>
  <c r="F83" i="21" s="1"/>
  <c r="E67" i="21"/>
  <c r="E71" i="25"/>
  <c r="E84" i="25" s="1"/>
  <c r="K115" i="19"/>
  <c r="L46" i="24"/>
  <c r="L84" i="24" s="1"/>
  <c r="L64" i="24"/>
  <c r="L66" i="24" s="1"/>
  <c r="BM107" i="24"/>
  <c r="BM108" i="24" s="1"/>
  <c r="BM103" i="24" s="1"/>
  <c r="L61" i="19"/>
  <c r="BR50" i="19" l="1"/>
  <c r="BR51" i="19" s="1"/>
  <c r="BR116" i="19" s="1"/>
  <c r="BR104" i="19"/>
  <c r="BS100" i="19" s="1"/>
  <c r="AJ82" i="19"/>
  <c r="AJ42" i="19" s="1"/>
  <c r="AJ63" i="19" s="1"/>
  <c r="AH42" i="19"/>
  <c r="AH63" i="19" s="1"/>
  <c r="AL62" i="19"/>
  <c r="AM62" i="19"/>
  <c r="AL77" i="19"/>
  <c r="AM75" i="19" s="1"/>
  <c r="AM77" i="19" s="1"/>
  <c r="AN75" i="19" s="1"/>
  <c r="AN77" i="19" s="1"/>
  <c r="AO75" i="19" s="1"/>
  <c r="AO77" i="19" s="1"/>
  <c r="AP75" i="19" s="1"/>
  <c r="R42" i="24"/>
  <c r="R63" i="24" s="1"/>
  <c r="R77" i="24"/>
  <c r="AI82" i="19"/>
  <c r="AN76" i="19"/>
  <c r="AO76" i="19"/>
  <c r="G123" i="21"/>
  <c r="F89" i="25"/>
  <c r="F37" i="21"/>
  <c r="G33" i="21" s="1"/>
  <c r="E78" i="21"/>
  <c r="E69" i="21"/>
  <c r="E75" i="25"/>
  <c r="L85" i="24"/>
  <c r="M81" i="24" s="1"/>
  <c r="M82" i="24" s="1"/>
  <c r="H142" i="25"/>
  <c r="F39" i="25"/>
  <c r="F43" i="21"/>
  <c r="F40" i="21"/>
  <c r="K118" i="24"/>
  <c r="L54" i="24"/>
  <c r="L55" i="24" s="1"/>
  <c r="M45" i="24"/>
  <c r="BM104" i="24"/>
  <c r="BM50" i="24" s="1"/>
  <c r="K117" i="19"/>
  <c r="L43" i="19"/>
  <c r="BS106" i="19" l="1"/>
  <c r="BS107" i="19" s="1"/>
  <c r="BS102" i="19" s="1"/>
  <c r="BS103" i="19" s="1"/>
  <c r="R62" i="24"/>
  <c r="R78" i="24"/>
  <c r="S75" i="24" s="1"/>
  <c r="S76" i="24" s="1"/>
  <c r="AN62" i="19"/>
  <c r="AO62" i="19"/>
  <c r="AI42" i="19"/>
  <c r="AI63" i="19" s="1"/>
  <c r="AK82" i="19"/>
  <c r="AP76" i="19"/>
  <c r="E85" i="21"/>
  <c r="E86" i="21" s="1"/>
  <c r="F80" i="21" s="1"/>
  <c r="F40" i="25"/>
  <c r="G33" i="25" s="1"/>
  <c r="G35" i="25"/>
  <c r="F41" i="21"/>
  <c r="F54" i="21" s="1"/>
  <c r="F59" i="21"/>
  <c r="G23" i="21"/>
  <c r="G57" i="21" s="1"/>
  <c r="G58" i="21" s="1"/>
  <c r="F42" i="25"/>
  <c r="F92" i="25" s="1"/>
  <c r="F45" i="21"/>
  <c r="G23" i="25"/>
  <c r="M44" i="24"/>
  <c r="M41" i="24"/>
  <c r="M89" i="24" s="1"/>
  <c r="M90" i="24" s="1"/>
  <c r="M91" i="24" s="1"/>
  <c r="N88" i="24" s="1"/>
  <c r="L114" i="24"/>
  <c r="L56" i="24"/>
  <c r="BM51" i="24"/>
  <c r="BM117" i="24" s="1"/>
  <c r="BM105" i="24"/>
  <c r="BN101" i="24" s="1"/>
  <c r="L46" i="19"/>
  <c r="L83" i="19" s="1"/>
  <c r="L90" i="19"/>
  <c r="M87" i="19" s="1"/>
  <c r="L64" i="19"/>
  <c r="BS50" i="19" l="1"/>
  <c r="BS51" i="19" s="1"/>
  <c r="BS116" i="19" s="1"/>
  <c r="BS104" i="19"/>
  <c r="BT100" i="19" s="1"/>
  <c r="S83" i="24"/>
  <c r="AL82" i="19"/>
  <c r="AK42" i="19"/>
  <c r="AK63" i="19" s="1"/>
  <c r="AP62" i="19"/>
  <c r="AQ76" i="19"/>
  <c r="AP77" i="19"/>
  <c r="AQ75" i="19" s="1"/>
  <c r="AQ77" i="19" s="1"/>
  <c r="AR75" i="19" s="1"/>
  <c r="M96" i="19"/>
  <c r="M45" i="19"/>
  <c r="E88" i="21"/>
  <c r="E89" i="21" s="1"/>
  <c r="E93" i="21" s="1"/>
  <c r="L116" i="24"/>
  <c r="H132" i="25" s="1"/>
  <c r="F60" i="21"/>
  <c r="G31" i="21"/>
  <c r="G34" i="21"/>
  <c r="G81" i="21" s="1"/>
  <c r="G82" i="21" s="1"/>
  <c r="G44" i="21"/>
  <c r="G60" i="25"/>
  <c r="G62" i="25" s="1"/>
  <c r="G47" i="25"/>
  <c r="G34" i="25"/>
  <c r="F43" i="25"/>
  <c r="F65" i="25" s="1"/>
  <c r="F46" i="25"/>
  <c r="G31" i="25"/>
  <c r="N97" i="24"/>
  <c r="N98" i="24" s="1"/>
  <c r="M61" i="24"/>
  <c r="BN107" i="24"/>
  <c r="BN108" i="24" s="1"/>
  <c r="BN103" i="24" s="1"/>
  <c r="L66" i="19"/>
  <c r="L54" i="19"/>
  <c r="L84" i="19"/>
  <c r="M80" i="19" s="1"/>
  <c r="BT106" i="19" l="1"/>
  <c r="BT107" i="19" s="1"/>
  <c r="BT102" i="19" s="1"/>
  <c r="AQ62" i="19"/>
  <c r="M97" i="19"/>
  <c r="S42" i="24"/>
  <c r="S63" i="24" s="1"/>
  <c r="S77" i="24"/>
  <c r="AL42" i="19"/>
  <c r="AL63" i="19" s="1"/>
  <c r="AM82" i="19"/>
  <c r="AR76" i="19"/>
  <c r="M81" i="19"/>
  <c r="E92" i="21"/>
  <c r="G37" i="25"/>
  <c r="G36" i="25"/>
  <c r="G38" i="25" s="1"/>
  <c r="G87" i="25"/>
  <c r="G89" i="25" s="1"/>
  <c r="E90" i="21"/>
  <c r="G35" i="21"/>
  <c r="G36" i="21" s="1"/>
  <c r="G39" i="21" s="1"/>
  <c r="F61" i="21"/>
  <c r="G56" i="21" s="1"/>
  <c r="F64" i="21"/>
  <c r="F63" i="21" s="1"/>
  <c r="F44" i="25"/>
  <c r="F57" i="25" s="1"/>
  <c r="F66" i="25" s="1"/>
  <c r="G64" i="25" s="1"/>
  <c r="F48" i="25"/>
  <c r="M43" i="24"/>
  <c r="M46" i="24"/>
  <c r="BN104" i="24"/>
  <c r="BN50" i="24" s="1"/>
  <c r="L55" i="19"/>
  <c r="BT103" i="19" l="1"/>
  <c r="S62" i="24"/>
  <c r="S78" i="24"/>
  <c r="T75" i="24" s="1"/>
  <c r="T76" i="24" s="1"/>
  <c r="AM42" i="19"/>
  <c r="AM63" i="19" s="1"/>
  <c r="AR62" i="19"/>
  <c r="AR77" i="19"/>
  <c r="AS75" i="19" s="1"/>
  <c r="AS77" i="19" s="1"/>
  <c r="AT75" i="19" s="1"/>
  <c r="M41" i="19"/>
  <c r="M44" i="19"/>
  <c r="AN82" i="19"/>
  <c r="AS76" i="19"/>
  <c r="E94" i="21"/>
  <c r="E103" i="21"/>
  <c r="E105" i="21" s="1"/>
  <c r="E108" i="21" s="1"/>
  <c r="E112" i="21" s="1"/>
  <c r="E122" i="21" s="1"/>
  <c r="E124" i="21" s="1"/>
  <c r="G61" i="25"/>
  <c r="G63" i="25" s="1"/>
  <c r="F67" i="25"/>
  <c r="G59" i="25" s="1"/>
  <c r="F67" i="21"/>
  <c r="F84" i="21"/>
  <c r="G83" i="21"/>
  <c r="G43" i="21"/>
  <c r="G45" i="21" s="1"/>
  <c r="G40" i="21"/>
  <c r="G41" i="21" s="1"/>
  <c r="G54" i="21" s="1"/>
  <c r="F68" i="21"/>
  <c r="F65" i="21"/>
  <c r="G37" i="21"/>
  <c r="H33" i="21" s="1"/>
  <c r="G39" i="25"/>
  <c r="M84" i="24"/>
  <c r="M64" i="24"/>
  <c r="M66" i="24" s="1"/>
  <c r="BN51" i="24"/>
  <c r="BN117" i="24" s="1"/>
  <c r="BN105" i="24"/>
  <c r="BO101" i="24" s="1"/>
  <c r="L113" i="19"/>
  <c r="L56" i="19"/>
  <c r="BT50" i="19" l="1"/>
  <c r="BT51" i="19" s="1"/>
  <c r="BT116" i="19" s="1"/>
  <c r="BT104" i="19"/>
  <c r="BU100" i="19" s="1"/>
  <c r="BU106" i="19" s="1"/>
  <c r="BU107" i="19" s="1"/>
  <c r="BU102" i="19" s="1"/>
  <c r="BU103" i="19" s="1"/>
  <c r="T83" i="24"/>
  <c r="M61" i="19"/>
  <c r="M88" i="19"/>
  <c r="AS62" i="19"/>
  <c r="AT76" i="19"/>
  <c r="AN42" i="19"/>
  <c r="AN63" i="19" s="1"/>
  <c r="AO82" i="19"/>
  <c r="E104" i="21"/>
  <c r="E107" i="21" s="1"/>
  <c r="E109" i="21" s="1"/>
  <c r="E113" i="21" s="1"/>
  <c r="G40" i="25"/>
  <c r="H33" i="25" s="1"/>
  <c r="H35" i="25"/>
  <c r="G59" i="21"/>
  <c r="G60" i="21" s="1"/>
  <c r="F78" i="21"/>
  <c r="F85" i="21" s="1"/>
  <c r="F69" i="21"/>
  <c r="F70" i="25"/>
  <c r="F69" i="25" s="1"/>
  <c r="F93" i="25" s="1"/>
  <c r="M85" i="24"/>
  <c r="N81" i="24" s="1"/>
  <c r="N82" i="24" s="1"/>
  <c r="I142" i="25"/>
  <c r="G42" i="25"/>
  <c r="G92" i="25" s="1"/>
  <c r="L115" i="19"/>
  <c r="N45" i="24"/>
  <c r="M54" i="24"/>
  <c r="M55" i="24" s="1"/>
  <c r="BO107" i="24"/>
  <c r="BO108" i="24" s="1"/>
  <c r="BO103" i="24" s="1"/>
  <c r="BU50" i="19" l="1"/>
  <c r="BU51" i="19" s="1"/>
  <c r="BU116" i="19" s="1"/>
  <c r="BU104" i="19"/>
  <c r="BV100" i="19" s="1"/>
  <c r="BV106" i="19" s="1"/>
  <c r="BV107" i="19" s="1"/>
  <c r="BV102" i="19" s="1"/>
  <c r="M89" i="19"/>
  <c r="M43" i="19"/>
  <c r="AT77" i="19"/>
  <c r="AU75" i="19" s="1"/>
  <c r="AT62" i="19"/>
  <c r="AP82" i="19"/>
  <c r="AO42" i="19"/>
  <c r="AO63" i="19" s="1"/>
  <c r="T42" i="24"/>
  <c r="T63" i="24" s="1"/>
  <c r="T77" i="24"/>
  <c r="AU76" i="19"/>
  <c r="H123" i="21"/>
  <c r="E111" i="21"/>
  <c r="F88" i="21"/>
  <c r="F89" i="21" s="1"/>
  <c r="F86" i="21"/>
  <c r="G80" i="21" s="1"/>
  <c r="G61" i="21"/>
  <c r="H56" i="21" s="1"/>
  <c r="G64" i="21"/>
  <c r="G63" i="21" s="1"/>
  <c r="F74" i="25"/>
  <c r="G43" i="25"/>
  <c r="G65" i="25" s="1"/>
  <c r="F71" i="25"/>
  <c r="F84" i="25" s="1"/>
  <c r="F73" i="25"/>
  <c r="G46" i="25"/>
  <c r="L118" i="24"/>
  <c r="M114" i="24"/>
  <c r="M56" i="24"/>
  <c r="N41" i="24"/>
  <c r="N89" i="24" s="1"/>
  <c r="N90" i="24" s="1"/>
  <c r="N91" i="24" s="1"/>
  <c r="O88" i="24" s="1"/>
  <c r="BO104" i="24"/>
  <c r="BO50" i="24" s="1"/>
  <c r="L117" i="19"/>
  <c r="M64" i="19" l="1"/>
  <c r="M66" i="19" s="1"/>
  <c r="AQ82" i="19"/>
  <c r="AQ42" i="19" s="1"/>
  <c r="AQ63" i="19" s="1"/>
  <c r="AP42" i="19"/>
  <c r="AP63" i="19" s="1"/>
  <c r="T62" i="24"/>
  <c r="T78" i="24"/>
  <c r="U75" i="24" s="1"/>
  <c r="U76" i="24" s="1"/>
  <c r="AU62" i="19"/>
  <c r="AV76" i="19"/>
  <c r="AU77" i="19"/>
  <c r="AV75" i="19" s="1"/>
  <c r="AV77" i="19" s="1"/>
  <c r="AW75" i="19" s="1"/>
  <c r="M46" i="19"/>
  <c r="M83" i="19" s="1"/>
  <c r="M90" i="19"/>
  <c r="N87" i="19" s="1"/>
  <c r="BV103" i="19"/>
  <c r="AR82" i="19"/>
  <c r="M116" i="24"/>
  <c r="I132" i="25" s="1"/>
  <c r="G67" i="21"/>
  <c r="G84" i="21"/>
  <c r="G68" i="21"/>
  <c r="G65" i="21"/>
  <c r="F92" i="21"/>
  <c r="F93" i="21"/>
  <c r="F90" i="21"/>
  <c r="H23" i="21"/>
  <c r="H44" i="21" s="1"/>
  <c r="G44" i="25"/>
  <c r="G57" i="25" s="1"/>
  <c r="G66" i="25" s="1"/>
  <c r="H61" i="25" s="1"/>
  <c r="F75" i="25"/>
  <c r="G48" i="25"/>
  <c r="H23" i="25"/>
  <c r="O97" i="24"/>
  <c r="O98" i="24" s="1"/>
  <c r="N44" i="24"/>
  <c r="N61" i="24"/>
  <c r="BO51" i="24"/>
  <c r="BO117" i="24" s="1"/>
  <c r="BO105" i="24"/>
  <c r="BP101" i="24" s="1"/>
  <c r="BV50" i="19" l="1"/>
  <c r="BV104" i="19"/>
  <c r="BW100" i="19" s="1"/>
  <c r="BW106" i="19" s="1"/>
  <c r="BW107" i="19" s="1"/>
  <c r="BW102" i="19" s="1"/>
  <c r="M54" i="19"/>
  <c r="M55" i="19" s="1"/>
  <c r="M84" i="19"/>
  <c r="N80" i="19" s="1"/>
  <c r="U83" i="24"/>
  <c r="U42" i="24" s="1"/>
  <c r="U63" i="24" s="1"/>
  <c r="U77" i="24"/>
  <c r="AV62" i="19"/>
  <c r="N96" i="19"/>
  <c r="N45" i="19"/>
  <c r="AW76" i="19"/>
  <c r="AR42" i="19"/>
  <c r="AR63" i="19" s="1"/>
  <c r="AU82" i="19"/>
  <c r="AU42" i="19" s="1"/>
  <c r="AU63" i="19" s="1"/>
  <c r="AS82" i="19"/>
  <c r="AT82" i="19"/>
  <c r="AT42" i="19" s="1"/>
  <c r="AT63" i="19" s="1"/>
  <c r="G67" i="25"/>
  <c r="F94" i="21"/>
  <c r="F103" i="21"/>
  <c r="G69" i="21"/>
  <c r="G78" i="21"/>
  <c r="G85" i="21" s="1"/>
  <c r="H34" i="21"/>
  <c r="H81" i="21" s="1"/>
  <c r="H82" i="21" s="1"/>
  <c r="H31" i="21"/>
  <c r="H57" i="21"/>
  <c r="H58" i="21" s="1"/>
  <c r="G70" i="25"/>
  <c r="G69" i="25" s="1"/>
  <c r="G93" i="25" s="1"/>
  <c r="H60" i="25"/>
  <c r="H62" i="25" s="1"/>
  <c r="H47" i="25"/>
  <c r="H34" i="25"/>
  <c r="H31" i="25"/>
  <c r="N43" i="24"/>
  <c r="N46" i="24"/>
  <c r="BP107" i="24"/>
  <c r="BP108" i="24" s="1"/>
  <c r="BP103" i="24" s="1"/>
  <c r="BP104" i="24" s="1"/>
  <c r="BP50" i="24" s="1"/>
  <c r="BV51" i="19" l="1"/>
  <c r="BV116" i="19" s="1"/>
  <c r="M113" i="19"/>
  <c r="M56" i="19"/>
  <c r="M115" i="19" s="1"/>
  <c r="M117" i="19" s="1"/>
  <c r="N81" i="19"/>
  <c r="N97" i="19"/>
  <c r="AW77" i="19"/>
  <c r="AX75" i="19" s="1"/>
  <c r="AW62" i="19"/>
  <c r="U78" i="24"/>
  <c r="V75" i="24" s="1"/>
  <c r="V76" i="24" s="1"/>
  <c r="U62" i="24"/>
  <c r="BW103" i="19"/>
  <c r="AX76" i="19"/>
  <c r="AS42" i="19"/>
  <c r="AS63" i="19" s="1"/>
  <c r="AV82" i="19"/>
  <c r="H64" i="25"/>
  <c r="H63" i="25"/>
  <c r="H37" i="25"/>
  <c r="H36" i="25"/>
  <c r="H38" i="25" s="1"/>
  <c r="H87" i="25"/>
  <c r="H89" i="25" s="1"/>
  <c r="H35" i="21"/>
  <c r="H36" i="21" s="1"/>
  <c r="H37" i="21" s="1"/>
  <c r="I33" i="21" s="1"/>
  <c r="G88" i="21"/>
  <c r="G89" i="21" s="1"/>
  <c r="G86" i="21"/>
  <c r="H80" i="21" s="1"/>
  <c r="F104" i="21"/>
  <c r="F107" i="21" s="1"/>
  <c r="F105" i="21"/>
  <c r="F108" i="21" s="1"/>
  <c r="F112" i="21" s="1"/>
  <c r="F122" i="21" s="1"/>
  <c r="F124" i="21" s="1"/>
  <c r="G74" i="25"/>
  <c r="H59" i="25"/>
  <c r="G71" i="25"/>
  <c r="G84" i="25" s="1"/>
  <c r="G73" i="25"/>
  <c r="N84" i="24"/>
  <c r="O45" i="24"/>
  <c r="N64" i="24"/>
  <c r="N66" i="24" s="1"/>
  <c r="BP51" i="24"/>
  <c r="BP117" i="24" s="1"/>
  <c r="BP105" i="24"/>
  <c r="BQ101" i="24" s="1"/>
  <c r="BW50" i="19" l="1"/>
  <c r="BW51" i="19" s="1"/>
  <c r="BW116" i="19" s="1"/>
  <c r="BW104" i="19"/>
  <c r="BX100" i="19" s="1"/>
  <c r="BX106" i="19" s="1"/>
  <c r="BX107" i="19" s="1"/>
  <c r="BX102" i="19" s="1"/>
  <c r="N41" i="19"/>
  <c r="N44" i="19"/>
  <c r="V83" i="24"/>
  <c r="V42" i="24" s="1"/>
  <c r="V63" i="24" s="1"/>
  <c r="V77" i="24"/>
  <c r="AX62" i="19"/>
  <c r="AX82" i="19"/>
  <c r="AX42" i="19" s="1"/>
  <c r="AX63" i="19" s="1"/>
  <c r="AX77" i="19"/>
  <c r="AY75" i="19" s="1"/>
  <c r="AY77" i="19" s="1"/>
  <c r="AZ75" i="19" s="1"/>
  <c r="AY76" i="19"/>
  <c r="AV42" i="19"/>
  <c r="AV63" i="19" s="1"/>
  <c r="AW82" i="19"/>
  <c r="AW42" i="19" s="1"/>
  <c r="AW63" i="19" s="1"/>
  <c r="H39" i="21"/>
  <c r="H83" i="21" s="1"/>
  <c r="F109" i="21"/>
  <c r="F113" i="21" s="1"/>
  <c r="F111" i="21"/>
  <c r="G92" i="21"/>
  <c r="G93" i="21"/>
  <c r="G75" i="25"/>
  <c r="N85" i="24"/>
  <c r="O81" i="24" s="1"/>
  <c r="O82" i="24" s="1"/>
  <c r="J142" i="25"/>
  <c r="H39" i="25"/>
  <c r="O41" i="24"/>
  <c r="O89" i="24" s="1"/>
  <c r="O90" i="24" s="1"/>
  <c r="O91" i="24" s="1"/>
  <c r="P88" i="24" s="1"/>
  <c r="N54" i="24"/>
  <c r="N55" i="24" s="1"/>
  <c r="BQ107" i="24"/>
  <c r="BQ108" i="24" s="1"/>
  <c r="BQ103" i="24" s="1"/>
  <c r="BQ104" i="24" s="1"/>
  <c r="BQ50" i="24" s="1"/>
  <c r="N88" i="19" l="1"/>
  <c r="N61" i="19"/>
  <c r="AY62" i="19"/>
  <c r="AY82" i="19"/>
  <c r="AY42" i="19" s="1"/>
  <c r="AY63" i="19" s="1"/>
  <c r="AZ76" i="19"/>
  <c r="V78" i="24"/>
  <c r="W75" i="24" s="1"/>
  <c r="W76" i="24" s="1"/>
  <c r="V62" i="24"/>
  <c r="BX103" i="19"/>
  <c r="H43" i="21"/>
  <c r="H45" i="21" s="1"/>
  <c r="H40" i="25"/>
  <c r="I33" i="25" s="1"/>
  <c r="I35" i="25"/>
  <c r="H40" i="21"/>
  <c r="H41" i="21" s="1"/>
  <c r="H54" i="21" s="1"/>
  <c r="G90" i="21"/>
  <c r="G103" i="21" s="1"/>
  <c r="H42" i="25"/>
  <c r="H92" i="25" s="1"/>
  <c r="P97" i="24"/>
  <c r="P98" i="24" s="1"/>
  <c r="N114" i="24"/>
  <c r="N56" i="24"/>
  <c r="O44" i="24"/>
  <c r="O61" i="24"/>
  <c r="BQ51" i="24"/>
  <c r="BQ117" i="24" s="1"/>
  <c r="BQ105" i="24"/>
  <c r="BR101" i="24" s="1"/>
  <c r="N89" i="19" l="1"/>
  <c r="N43" i="19"/>
  <c r="N64" i="19" s="1"/>
  <c r="N66" i="19" s="1"/>
  <c r="AZ77" i="19"/>
  <c r="BA75" i="19" s="1"/>
  <c r="BA77" i="19" s="1"/>
  <c r="BB75" i="19" s="1"/>
  <c r="AZ82" i="19"/>
  <c r="AZ42" i="19" s="1"/>
  <c r="AZ63" i="19" s="1"/>
  <c r="AZ62" i="19"/>
  <c r="W83" i="24"/>
  <c r="W42" i="24" s="1"/>
  <c r="W63" i="24" s="1"/>
  <c r="W77" i="24"/>
  <c r="BA76" i="19"/>
  <c r="BX50" i="19"/>
  <c r="BX104" i="19"/>
  <c r="BY100" i="19" s="1"/>
  <c r="I123" i="21"/>
  <c r="H59" i="21"/>
  <c r="H60" i="21" s="1"/>
  <c r="N116" i="24"/>
  <c r="J132" i="25" s="1"/>
  <c r="G94" i="21"/>
  <c r="G104" i="21"/>
  <c r="G107" i="21" s="1"/>
  <c r="G105" i="21"/>
  <c r="G108" i="21" s="1"/>
  <c r="G112" i="21" s="1"/>
  <c r="G122" i="21" s="1"/>
  <c r="G124" i="21" s="1"/>
  <c r="H43" i="25"/>
  <c r="H65" i="25" s="1"/>
  <c r="H46" i="25"/>
  <c r="M118" i="24"/>
  <c r="O43" i="24"/>
  <c r="O46" i="24"/>
  <c r="BR107" i="24"/>
  <c r="BR108" i="24" s="1"/>
  <c r="BR103" i="24" s="1"/>
  <c r="BR104" i="24" s="1"/>
  <c r="BR50" i="24" s="1"/>
  <c r="N46" i="19" l="1"/>
  <c r="N83" i="19" s="1"/>
  <c r="N90" i="19"/>
  <c r="O87" i="19" s="1"/>
  <c r="BA62" i="19"/>
  <c r="BA82" i="19"/>
  <c r="BA42" i="19" s="1"/>
  <c r="BA63" i="19" s="1"/>
  <c r="BB76" i="19"/>
  <c r="BX51" i="19"/>
  <c r="BX116" i="19" s="1"/>
  <c r="BY106" i="19"/>
  <c r="BY107" i="19" s="1"/>
  <c r="BY102" i="19" s="1"/>
  <c r="BY103" i="19" s="1"/>
  <c r="W78" i="24"/>
  <c r="X75" i="24" s="1"/>
  <c r="X76" i="24" s="1"/>
  <c r="W62" i="24"/>
  <c r="H64" i="21"/>
  <c r="H63" i="21" s="1"/>
  <c r="H61" i="21"/>
  <c r="I56" i="21" s="1"/>
  <c r="G109" i="21"/>
  <c r="G113" i="21" s="1"/>
  <c r="G111" i="21"/>
  <c r="I23" i="21"/>
  <c r="I44" i="21" s="1"/>
  <c r="H44" i="25"/>
  <c r="H57" i="25" s="1"/>
  <c r="H66" i="25" s="1"/>
  <c r="I61" i="25" s="1"/>
  <c r="H48" i="25"/>
  <c r="I23" i="25"/>
  <c r="O64" i="24"/>
  <c r="O66" i="24" s="1"/>
  <c r="O84" i="24"/>
  <c r="BR51" i="24"/>
  <c r="BR117" i="24" s="1"/>
  <c r="BR105" i="24"/>
  <c r="BS101" i="24" s="1"/>
  <c r="O96" i="19" l="1"/>
  <c r="O97" i="19" s="1"/>
  <c r="O45" i="19"/>
  <c r="N84" i="19"/>
  <c r="O80" i="19" s="1"/>
  <c r="O81" i="19" s="1"/>
  <c r="N54" i="19"/>
  <c r="N55" i="19" s="1"/>
  <c r="BY104" i="19"/>
  <c r="BZ100" i="19" s="1"/>
  <c r="BZ106" i="19" s="1"/>
  <c r="BZ107" i="19" s="1"/>
  <c r="BZ102" i="19" s="1"/>
  <c r="BY50" i="19"/>
  <c r="BY51" i="19" s="1"/>
  <c r="BY116" i="19" s="1"/>
  <c r="BB77" i="19"/>
  <c r="BC75" i="19" s="1"/>
  <c r="BB82" i="19"/>
  <c r="BB42" i="19" s="1"/>
  <c r="BB63" i="19" s="1"/>
  <c r="BB62" i="19"/>
  <c r="X83" i="24"/>
  <c r="X42" i="24" s="1"/>
  <c r="X63" i="24" s="1"/>
  <c r="X77" i="24"/>
  <c r="BC76" i="19"/>
  <c r="H67" i="25"/>
  <c r="H67" i="21"/>
  <c r="H84" i="21"/>
  <c r="I31" i="21"/>
  <c r="I34" i="21"/>
  <c r="I81" i="21" s="1"/>
  <c r="I82" i="21" s="1"/>
  <c r="I57" i="21"/>
  <c r="I58" i="21" s="1"/>
  <c r="H68" i="21"/>
  <c r="H65" i="21"/>
  <c r="I60" i="25"/>
  <c r="I62" i="25" s="1"/>
  <c r="O85" i="24"/>
  <c r="P81" i="24" s="1"/>
  <c r="P82" i="24" s="1"/>
  <c r="K142" i="25"/>
  <c r="I47" i="25"/>
  <c r="I34" i="25"/>
  <c r="I31" i="25"/>
  <c r="O54" i="24"/>
  <c r="O55" i="24" s="1"/>
  <c r="P45" i="24"/>
  <c r="BS107" i="24"/>
  <c r="BS108" i="24" s="1"/>
  <c r="BS103" i="24" s="1"/>
  <c r="N113" i="19" l="1"/>
  <c r="N56" i="19"/>
  <c r="N115" i="19" s="1"/>
  <c r="N117" i="19" s="1"/>
  <c r="O41" i="19"/>
  <c r="O44" i="19"/>
  <c r="BC82" i="19"/>
  <c r="BC42" i="19" s="1"/>
  <c r="BC63" i="19" s="1"/>
  <c r="BC62" i="19"/>
  <c r="BD76" i="19"/>
  <c r="BC77" i="19"/>
  <c r="BD75" i="19" s="1"/>
  <c r="BD77" i="19" s="1"/>
  <c r="BE75" i="19" s="1"/>
  <c r="BE77" i="19" s="1"/>
  <c r="BF75" i="19" s="1"/>
  <c r="BZ103" i="19"/>
  <c r="X78" i="24"/>
  <c r="Y75" i="24" s="1"/>
  <c r="Y76" i="24" s="1"/>
  <c r="X62" i="24"/>
  <c r="BE76" i="19"/>
  <c r="I64" i="25"/>
  <c r="I63" i="25"/>
  <c r="I37" i="25"/>
  <c r="I36" i="25"/>
  <c r="I38" i="25" s="1"/>
  <c r="I87" i="25"/>
  <c r="I89" i="25" s="1"/>
  <c r="I35" i="21"/>
  <c r="I36" i="21" s="1"/>
  <c r="I39" i="21" s="1"/>
  <c r="I83" i="21" s="1"/>
  <c r="H78" i="21"/>
  <c r="H85" i="21" s="1"/>
  <c r="H69" i="21"/>
  <c r="H70" i="25"/>
  <c r="H69" i="25" s="1"/>
  <c r="H93" i="25" s="1"/>
  <c r="I59" i="25"/>
  <c r="O56" i="24"/>
  <c r="O114" i="24"/>
  <c r="P41" i="24"/>
  <c r="P89" i="24" s="1"/>
  <c r="P90" i="24" s="1"/>
  <c r="P91" i="24" s="1"/>
  <c r="Q88" i="24" s="1"/>
  <c r="BS104" i="24"/>
  <c r="BS50" i="24" s="1"/>
  <c r="O88" i="19" l="1"/>
  <c r="O61" i="19"/>
  <c r="BD62" i="19"/>
  <c r="BD82" i="19"/>
  <c r="BD42" i="19" s="1"/>
  <c r="BD63" i="19" s="1"/>
  <c r="Y83" i="24"/>
  <c r="Y42" i="24" s="1"/>
  <c r="Y63" i="24" s="1"/>
  <c r="Y77" i="24"/>
  <c r="BE62" i="19"/>
  <c r="BE82" i="19"/>
  <c r="BE42" i="19" s="1"/>
  <c r="BE63" i="19" s="1"/>
  <c r="BZ50" i="19"/>
  <c r="BZ104" i="19"/>
  <c r="CA100" i="19" s="1"/>
  <c r="BF76" i="19"/>
  <c r="J123" i="21"/>
  <c r="I37" i="21"/>
  <c r="J33" i="21" s="1"/>
  <c r="O116" i="24"/>
  <c r="K132" i="25" s="1"/>
  <c r="H88" i="21"/>
  <c r="H89" i="21" s="1"/>
  <c r="H86" i="21"/>
  <c r="I80" i="21" s="1"/>
  <c r="H74" i="25"/>
  <c r="H71" i="25"/>
  <c r="H84" i="25" s="1"/>
  <c r="H73" i="25"/>
  <c r="I39" i="25"/>
  <c r="I43" i="21"/>
  <c r="I40" i="21"/>
  <c r="N118" i="24"/>
  <c r="J23" i="25" s="1"/>
  <c r="Q97" i="24"/>
  <c r="Q98" i="24" s="1"/>
  <c r="P61" i="24"/>
  <c r="P44" i="24"/>
  <c r="BS51" i="24"/>
  <c r="BS117" i="24" s="1"/>
  <c r="BS105" i="24"/>
  <c r="BT101" i="24" s="1"/>
  <c r="O43" i="19" l="1"/>
  <c r="O89" i="19"/>
  <c r="O64" i="19"/>
  <c r="O66" i="19" s="1"/>
  <c r="BZ51" i="19"/>
  <c r="BZ116" i="19" s="1"/>
  <c r="CA106" i="19"/>
  <c r="CA107" i="19" s="1"/>
  <c r="CA102" i="19" s="1"/>
  <c r="BF77" i="19"/>
  <c r="BG75" i="19" s="1"/>
  <c r="BF62" i="19"/>
  <c r="BF82" i="19"/>
  <c r="BF42" i="19" s="1"/>
  <c r="BF63" i="19" s="1"/>
  <c r="Y78" i="24"/>
  <c r="Z75" i="24" s="1"/>
  <c r="Z76" i="24" s="1"/>
  <c r="Y62" i="24"/>
  <c r="BG76" i="19"/>
  <c r="J23" i="21"/>
  <c r="J44" i="21" s="1"/>
  <c r="I40" i="25"/>
  <c r="J33" i="25" s="1"/>
  <c r="J35" i="25"/>
  <c r="I41" i="21"/>
  <c r="I54" i="21" s="1"/>
  <c r="I59" i="21"/>
  <c r="H92" i="21"/>
  <c r="H93" i="21"/>
  <c r="H90" i="21"/>
  <c r="J60" i="25"/>
  <c r="J62" i="25" s="1"/>
  <c r="H75" i="25"/>
  <c r="J47" i="25"/>
  <c r="J34" i="25"/>
  <c r="J36" i="25" s="1"/>
  <c r="I42" i="25"/>
  <c r="I92" i="25" s="1"/>
  <c r="I45" i="21"/>
  <c r="J31" i="25"/>
  <c r="P43" i="24"/>
  <c r="P46" i="24"/>
  <c r="BT107" i="24"/>
  <c r="BT108" i="24" s="1"/>
  <c r="BT103" i="24" s="1"/>
  <c r="O46" i="19" l="1"/>
  <c r="O83" i="19" s="1"/>
  <c r="O90" i="19"/>
  <c r="P87" i="19" s="1"/>
  <c r="Z83" i="24"/>
  <c r="BG82" i="19"/>
  <c r="BG42" i="19" s="1"/>
  <c r="BG63" i="19" s="1"/>
  <c r="BG62" i="19"/>
  <c r="BG77" i="19"/>
  <c r="BH75" i="19" s="1"/>
  <c r="BH77" i="19" s="1"/>
  <c r="BI75" i="19" s="1"/>
  <c r="CA103" i="19"/>
  <c r="BH76" i="19"/>
  <c r="J57" i="21"/>
  <c r="J58" i="21" s="1"/>
  <c r="J34" i="21"/>
  <c r="J81" i="21" s="1"/>
  <c r="J82" i="21" s="1"/>
  <c r="J31" i="21"/>
  <c r="J38" i="25"/>
  <c r="J37" i="25"/>
  <c r="J87" i="25"/>
  <c r="J89" i="25" s="1"/>
  <c r="I60" i="21"/>
  <c r="H103" i="21"/>
  <c r="H94" i="21"/>
  <c r="I43" i="25"/>
  <c r="I65" i="25" s="1"/>
  <c r="I46" i="25"/>
  <c r="P84" i="24"/>
  <c r="P64" i="24"/>
  <c r="P66" i="24" s="1"/>
  <c r="BT104" i="24"/>
  <c r="BT50" i="24" s="1"/>
  <c r="O84" i="19" l="1"/>
  <c r="P80" i="19" s="1"/>
  <c r="P81" i="19" s="1"/>
  <c r="O54" i="19"/>
  <c r="O55" i="19" s="1"/>
  <c r="P96" i="19"/>
  <c r="P97" i="19" s="1"/>
  <c r="P45" i="19"/>
  <c r="CA50" i="19"/>
  <c r="CA51" i="19" s="1"/>
  <c r="CA116" i="19" s="1"/>
  <c r="CA104" i="19"/>
  <c r="CB100" i="19" s="1"/>
  <c r="CB106" i="19" s="1"/>
  <c r="CB107" i="19" s="1"/>
  <c r="CB102" i="19" s="1"/>
  <c r="CB103" i="19" s="1"/>
  <c r="BH62" i="19"/>
  <c r="BH82" i="19"/>
  <c r="BH42" i="19" s="1"/>
  <c r="BH63" i="19" s="1"/>
  <c r="BI76" i="19"/>
  <c r="BJ76" i="19"/>
  <c r="Z42" i="24"/>
  <c r="Z63" i="24" s="1"/>
  <c r="Z77" i="24"/>
  <c r="J35" i="21"/>
  <c r="J36" i="21" s="1"/>
  <c r="I61" i="21"/>
  <c r="J56" i="21" s="1"/>
  <c r="I64" i="21"/>
  <c r="I63" i="21" s="1"/>
  <c r="H105" i="21"/>
  <c r="H108" i="21" s="1"/>
  <c r="H112" i="21" s="1"/>
  <c r="H122" i="21" s="1"/>
  <c r="H124" i="21" s="1"/>
  <c r="H104" i="21"/>
  <c r="H107" i="21" s="1"/>
  <c r="P85" i="24"/>
  <c r="Q81" i="24" s="1"/>
  <c r="Q82" i="24" s="1"/>
  <c r="L142" i="25"/>
  <c r="I44" i="25"/>
  <c r="I57" i="25" s="1"/>
  <c r="I66" i="25" s="1"/>
  <c r="J64" i="25" s="1"/>
  <c r="I48" i="25"/>
  <c r="J39" i="25"/>
  <c r="J40" i="25" s="1"/>
  <c r="O118" i="24"/>
  <c r="K23" i="25" s="1"/>
  <c r="Q45" i="24"/>
  <c r="Q41" i="24"/>
  <c r="Q89" i="24" s="1"/>
  <c r="Q90" i="24" s="1"/>
  <c r="Q91" i="24" s="1"/>
  <c r="R88" i="24" s="1"/>
  <c r="P54" i="24"/>
  <c r="P55" i="24" s="1"/>
  <c r="BT51" i="24"/>
  <c r="BT117" i="24" s="1"/>
  <c r="BT105" i="24"/>
  <c r="BU101" i="24" s="1"/>
  <c r="O113" i="19" l="1"/>
  <c r="O56" i="19"/>
  <c r="O115" i="19" s="1"/>
  <c r="P41" i="19"/>
  <c r="P44" i="19"/>
  <c r="BI77" i="19"/>
  <c r="BJ75" i="19" s="1"/>
  <c r="BJ77" i="19" s="1"/>
  <c r="BK75" i="19" s="1"/>
  <c r="BK76" i="19"/>
  <c r="BI62" i="19"/>
  <c r="BI82" i="19"/>
  <c r="BJ62" i="19"/>
  <c r="Z62" i="24"/>
  <c r="Z78" i="24"/>
  <c r="AA75" i="24" s="1"/>
  <c r="AA76" i="24" s="1"/>
  <c r="CB104" i="19"/>
  <c r="CC100" i="19" s="1"/>
  <c r="CB50" i="19"/>
  <c r="J37" i="21"/>
  <c r="K33" i="21" s="1"/>
  <c r="J39" i="21"/>
  <c r="J61" i="25"/>
  <c r="J63" i="25" s="1"/>
  <c r="I67" i="25"/>
  <c r="K35" i="25"/>
  <c r="I67" i="21"/>
  <c r="I84" i="21"/>
  <c r="I68" i="21"/>
  <c r="I65" i="21"/>
  <c r="H111" i="21"/>
  <c r="H109" i="21"/>
  <c r="H113" i="21" s="1"/>
  <c r="K60" i="25"/>
  <c r="K62" i="25" s="1"/>
  <c r="I70" i="25"/>
  <c r="K47" i="25"/>
  <c r="K34" i="25"/>
  <c r="K36" i="25" s="1"/>
  <c r="J42" i="25"/>
  <c r="J92" i="25" s="1"/>
  <c r="K33" i="25"/>
  <c r="K31" i="25"/>
  <c r="R97" i="24"/>
  <c r="R98" i="24" s="1"/>
  <c r="Q44" i="24"/>
  <c r="P114" i="24"/>
  <c r="P56" i="24"/>
  <c r="Q61" i="24"/>
  <c r="BU107" i="24"/>
  <c r="BU108" i="24" s="1"/>
  <c r="BU103" i="24" s="1"/>
  <c r="BU104" i="24" s="1"/>
  <c r="BU50" i="24" s="1"/>
  <c r="P61" i="19" l="1"/>
  <c r="P88" i="19"/>
  <c r="O117" i="19"/>
  <c r="K23" i="21" s="1"/>
  <c r="K31" i="21" s="1"/>
  <c r="K123" i="21"/>
  <c r="BK82" i="19"/>
  <c r="BK42" i="19" s="1"/>
  <c r="BK63" i="19" s="1"/>
  <c r="BK62" i="19"/>
  <c r="AA83" i="24"/>
  <c r="CC106" i="19"/>
  <c r="CC107" i="19" s="1"/>
  <c r="CC102" i="19" s="1"/>
  <c r="CC103" i="19" s="1"/>
  <c r="CB51" i="19"/>
  <c r="CB116" i="19" s="1"/>
  <c r="BK77" i="19"/>
  <c r="BL75" i="19" s="1"/>
  <c r="BL77" i="19" s="1"/>
  <c r="BM75" i="19" s="1"/>
  <c r="BL76" i="19"/>
  <c r="BI42" i="19"/>
  <c r="BI63" i="19" s="1"/>
  <c r="BJ82" i="19"/>
  <c r="BJ42" i="19" s="1"/>
  <c r="BJ63" i="19" s="1"/>
  <c r="J83" i="21"/>
  <c r="J40" i="21"/>
  <c r="J43" i="21"/>
  <c r="J45" i="21" s="1"/>
  <c r="P116" i="24"/>
  <c r="L132" i="25" s="1"/>
  <c r="K38" i="25"/>
  <c r="K37" i="25"/>
  <c r="K87" i="25"/>
  <c r="K89" i="25" s="1"/>
  <c r="I78" i="21"/>
  <c r="I85" i="21" s="1"/>
  <c r="I69" i="21"/>
  <c r="J59" i="25"/>
  <c r="I69" i="25"/>
  <c r="I93" i="25" s="1"/>
  <c r="I74" i="25"/>
  <c r="J43" i="25"/>
  <c r="J65" i="25" s="1"/>
  <c r="J46" i="25"/>
  <c r="Q43" i="24"/>
  <c r="Q46" i="24"/>
  <c r="BU51" i="24"/>
  <c r="BU117" i="24" s="1"/>
  <c r="BU105" i="24"/>
  <c r="BV101" i="24" s="1"/>
  <c r="P89" i="19" l="1"/>
  <c r="P43" i="19"/>
  <c r="P64" i="19" s="1"/>
  <c r="P66" i="19" s="1"/>
  <c r="BL62" i="19"/>
  <c r="BL82" i="19"/>
  <c r="BL42" i="19" s="1"/>
  <c r="BL63" i="19" s="1"/>
  <c r="AA42" i="24"/>
  <c r="AA63" i="24" s="1"/>
  <c r="AA77" i="24"/>
  <c r="CC104" i="19"/>
  <c r="CD100" i="19" s="1"/>
  <c r="CC50" i="19"/>
  <c r="BM76" i="19"/>
  <c r="J41" i="21"/>
  <c r="J54" i="21" s="1"/>
  <c r="J59" i="21"/>
  <c r="K57" i="21"/>
  <c r="K58" i="21" s="1"/>
  <c r="K44" i="21"/>
  <c r="K34" i="21"/>
  <c r="K81" i="21" s="1"/>
  <c r="K82" i="21" s="1"/>
  <c r="I88" i="21"/>
  <c r="I89" i="21" s="1"/>
  <c r="I93" i="21" s="1"/>
  <c r="I86" i="21"/>
  <c r="J80" i="21" s="1"/>
  <c r="K39" i="25"/>
  <c r="L35" i="25" s="1"/>
  <c r="I71" i="25"/>
  <c r="I84" i="25" s="1"/>
  <c r="I73" i="25"/>
  <c r="J44" i="25"/>
  <c r="J57" i="25" s="1"/>
  <c r="J66" i="25" s="1"/>
  <c r="K64" i="25" s="1"/>
  <c r="J48" i="25"/>
  <c r="Q84" i="24"/>
  <c r="Q64" i="24"/>
  <c r="Q66" i="24" s="1"/>
  <c r="BV107" i="24"/>
  <c r="BV108" i="24" s="1"/>
  <c r="BV103" i="24" s="1"/>
  <c r="BV104" i="24" s="1"/>
  <c r="BV50" i="24" s="1"/>
  <c r="P46" i="19" l="1"/>
  <c r="P83" i="19" s="1"/>
  <c r="P90" i="19"/>
  <c r="Q87" i="19" s="1"/>
  <c r="AA62" i="24"/>
  <c r="AA78" i="24"/>
  <c r="AB75" i="24" s="1"/>
  <c r="AB76" i="24" s="1"/>
  <c r="CD106" i="19"/>
  <c r="CD107" i="19" s="1"/>
  <c r="CD102" i="19" s="1"/>
  <c r="CD103" i="19" s="1"/>
  <c r="CC51" i="19"/>
  <c r="CC116" i="19" s="1"/>
  <c r="BM77" i="19"/>
  <c r="BN75" i="19" s="1"/>
  <c r="BN77" i="19" s="1"/>
  <c r="BO75" i="19" s="1"/>
  <c r="BM82" i="19"/>
  <c r="BM42" i="19" s="1"/>
  <c r="BM63" i="19" s="1"/>
  <c r="BM62" i="19"/>
  <c r="BN76" i="19"/>
  <c r="BO76" i="19"/>
  <c r="J60" i="21"/>
  <c r="K35" i="21"/>
  <c r="K36" i="21" s="1"/>
  <c r="K39" i="21" s="1"/>
  <c r="K83" i="21" s="1"/>
  <c r="I92" i="21"/>
  <c r="K61" i="25"/>
  <c r="K63" i="25" s="1"/>
  <c r="J67" i="25"/>
  <c r="I90" i="21"/>
  <c r="K40" i="25"/>
  <c r="L33" i="25" s="1"/>
  <c r="K42" i="25"/>
  <c r="K92" i="25" s="1"/>
  <c r="J70" i="25"/>
  <c r="I75" i="25"/>
  <c r="Q85" i="24"/>
  <c r="R81" i="24" s="1"/>
  <c r="R82" i="24" s="1"/>
  <c r="M142" i="25"/>
  <c r="Q54" i="24"/>
  <c r="Q55" i="24" s="1"/>
  <c r="R45" i="24"/>
  <c r="BV51" i="24"/>
  <c r="BV117" i="24" s="1"/>
  <c r="BV105" i="24"/>
  <c r="BW101" i="24" s="1"/>
  <c r="Q45" i="19" l="1"/>
  <c r="Q96" i="19"/>
  <c r="Q97" i="19" s="1"/>
  <c r="P84" i="19"/>
  <c r="Q80" i="19" s="1"/>
  <c r="Q81" i="19" s="1"/>
  <c r="P54" i="19"/>
  <c r="P55" i="19" s="1"/>
  <c r="AB83" i="24"/>
  <c r="BN62" i="19"/>
  <c r="BN82" i="19"/>
  <c r="BN42" i="19" s="1"/>
  <c r="BN63" i="19" s="1"/>
  <c r="BO62" i="19"/>
  <c r="BO82" i="19"/>
  <c r="BO42" i="19" s="1"/>
  <c r="BO63" i="19" s="1"/>
  <c r="BO77" i="19"/>
  <c r="BP75" i="19" s="1"/>
  <c r="CD104" i="19"/>
  <c r="CE100" i="19" s="1"/>
  <c r="CD50" i="19"/>
  <c r="BP76" i="19"/>
  <c r="J61" i="21"/>
  <c r="K56" i="21" s="1"/>
  <c r="J64" i="21"/>
  <c r="K37" i="21"/>
  <c r="L33" i="21" s="1"/>
  <c r="I94" i="21"/>
  <c r="I103" i="21"/>
  <c r="K43" i="25"/>
  <c r="K65" i="25" s="1"/>
  <c r="K46" i="25"/>
  <c r="K48" i="25" s="1"/>
  <c r="K59" i="25"/>
  <c r="J69" i="25"/>
  <c r="J93" i="25" s="1"/>
  <c r="J74" i="25"/>
  <c r="K43" i="21"/>
  <c r="K45" i="21" s="1"/>
  <c r="K40" i="21"/>
  <c r="P118" i="24"/>
  <c r="L23" i="25" s="1"/>
  <c r="R41" i="24"/>
  <c r="R89" i="24" s="1"/>
  <c r="R90" i="24" s="1"/>
  <c r="R91" i="24" s="1"/>
  <c r="S88" i="24" s="1"/>
  <c r="Q114" i="24"/>
  <c r="Q56" i="24"/>
  <c r="BW107" i="24"/>
  <c r="BW108" i="24" s="1"/>
  <c r="BW103" i="24" s="1"/>
  <c r="P113" i="19" l="1"/>
  <c r="P56" i="19"/>
  <c r="P115" i="19" s="1"/>
  <c r="CE106" i="19"/>
  <c r="CE107" i="19" s="1"/>
  <c r="CE102" i="19" s="1"/>
  <c r="CE103" i="19" s="1"/>
  <c r="CD51" i="19"/>
  <c r="CD116" i="19" s="1"/>
  <c r="BP62" i="19"/>
  <c r="BP82" i="19"/>
  <c r="BP42" i="19" s="1"/>
  <c r="BP63" i="19" s="1"/>
  <c r="BP77" i="19"/>
  <c r="BQ75" i="19" s="1"/>
  <c r="BQ77" i="19" s="1"/>
  <c r="BR75" i="19" s="1"/>
  <c r="Q41" i="19"/>
  <c r="Q44" i="19"/>
  <c r="AB42" i="24"/>
  <c r="AB63" i="24" s="1"/>
  <c r="AB77" i="24"/>
  <c r="BQ76" i="19"/>
  <c r="J63" i="21"/>
  <c r="J68" i="21"/>
  <c r="J67" i="21"/>
  <c r="Q116" i="24"/>
  <c r="M132" i="25" s="1"/>
  <c r="I104" i="21"/>
  <c r="I107" i="21" s="1"/>
  <c r="I105" i="21"/>
  <c r="I108" i="21" s="1"/>
  <c r="I112" i="21" s="1"/>
  <c r="I122" i="21" s="1"/>
  <c r="I124" i="21" s="1"/>
  <c r="K41" i="21"/>
  <c r="K54" i="21" s="1"/>
  <c r="K59" i="21"/>
  <c r="K44" i="25"/>
  <c r="K57" i="25" s="1"/>
  <c r="K66" i="25" s="1"/>
  <c r="L61" i="25" s="1"/>
  <c r="L60" i="25"/>
  <c r="L62" i="25" s="1"/>
  <c r="J71" i="25"/>
  <c r="J84" i="25" s="1"/>
  <c r="J73" i="25"/>
  <c r="L47" i="25"/>
  <c r="L34" i="25"/>
  <c r="L31" i="25"/>
  <c r="S97" i="24"/>
  <c r="S98" i="24" s="1"/>
  <c r="R44" i="24"/>
  <c r="R61" i="24"/>
  <c r="BW104" i="24"/>
  <c r="BW50" i="24" s="1"/>
  <c r="P117" i="19" l="1"/>
  <c r="L23" i="21" s="1"/>
  <c r="L44" i="21" s="1"/>
  <c r="L123" i="21"/>
  <c r="Q61" i="19"/>
  <c r="Q88" i="19"/>
  <c r="AB62" i="24"/>
  <c r="AB78" i="24"/>
  <c r="AC75" i="24" s="1"/>
  <c r="AC76" i="24" s="1"/>
  <c r="BQ82" i="19"/>
  <c r="BQ42" i="19" s="1"/>
  <c r="BQ63" i="19" s="1"/>
  <c r="BQ62" i="19"/>
  <c r="CE50" i="19"/>
  <c r="CE104" i="19"/>
  <c r="CF100" i="19" s="1"/>
  <c r="BR76" i="19"/>
  <c r="J84" i="21"/>
  <c r="J65" i="21"/>
  <c r="L64" i="25"/>
  <c r="K67" i="25"/>
  <c r="L59" i="25" s="1"/>
  <c r="L63" i="25"/>
  <c r="L37" i="25"/>
  <c r="L36" i="25"/>
  <c r="L38" i="25" s="1"/>
  <c r="L87" i="25"/>
  <c r="L89" i="25" s="1"/>
  <c r="I109" i="21"/>
  <c r="I113" i="21" s="1"/>
  <c r="I111" i="21"/>
  <c r="K60" i="21"/>
  <c r="K70" i="25"/>
  <c r="K74" i="25" s="1"/>
  <c r="J75" i="25"/>
  <c r="R43" i="24"/>
  <c r="R46" i="24"/>
  <c r="BW51" i="24"/>
  <c r="BW117" i="24" s="1"/>
  <c r="BW105" i="24"/>
  <c r="BX101" i="24" s="1"/>
  <c r="Q89" i="19" l="1"/>
  <c r="Q43" i="19"/>
  <c r="AC83" i="24"/>
  <c r="AC42" i="24" s="1"/>
  <c r="AC63" i="24" s="1"/>
  <c r="AC77" i="24"/>
  <c r="CE51" i="19"/>
  <c r="CE116" i="19" s="1"/>
  <c r="CF106" i="19"/>
  <c r="CF107" i="19" s="1"/>
  <c r="CF102" i="19" s="1"/>
  <c r="BR82" i="19"/>
  <c r="BR42" i="19" s="1"/>
  <c r="BR63" i="19" s="1"/>
  <c r="BR62" i="19"/>
  <c r="BR77" i="19"/>
  <c r="BS75" i="19" s="1"/>
  <c r="BS76" i="19"/>
  <c r="J69" i="21"/>
  <c r="J78" i="21"/>
  <c r="J85" i="21" s="1"/>
  <c r="L31" i="21"/>
  <c r="L57" i="21"/>
  <c r="L58" i="21" s="1"/>
  <c r="L34" i="21"/>
  <c r="L81" i="21" s="1"/>
  <c r="L82" i="21" s="1"/>
  <c r="K61" i="21"/>
  <c r="L56" i="21" s="1"/>
  <c r="K64" i="21"/>
  <c r="K63" i="21" s="1"/>
  <c r="K69" i="25"/>
  <c r="K93" i="25" s="1"/>
  <c r="L39" i="25"/>
  <c r="R84" i="24"/>
  <c r="S45" i="24"/>
  <c r="R64" i="24"/>
  <c r="R66" i="24" s="1"/>
  <c r="BX107" i="24"/>
  <c r="BX108" i="24" s="1"/>
  <c r="BX103" i="24" s="1"/>
  <c r="Q64" i="19" l="1"/>
  <c r="Q66" i="19" s="1"/>
  <c r="BS62" i="19"/>
  <c r="BS82" i="19"/>
  <c r="BS42" i="19" s="1"/>
  <c r="BS63" i="19" s="1"/>
  <c r="BT76" i="19"/>
  <c r="BS77" i="19"/>
  <c r="BT75" i="19" s="1"/>
  <c r="BT77" i="19" s="1"/>
  <c r="BU75" i="19" s="1"/>
  <c r="Q46" i="19"/>
  <c r="Q83" i="19" s="1"/>
  <c r="Q90" i="19"/>
  <c r="R87" i="19" s="1"/>
  <c r="AC78" i="24"/>
  <c r="AD75" i="24" s="1"/>
  <c r="AD76" i="24" s="1"/>
  <c r="AC62" i="24"/>
  <c r="CF103" i="19"/>
  <c r="J88" i="21"/>
  <c r="J86" i="21"/>
  <c r="K80" i="21" s="1"/>
  <c r="L35" i="21"/>
  <c r="L36" i="21" s="1"/>
  <c r="L39" i="21" s="1"/>
  <c r="L83" i="21" s="1"/>
  <c r="L40" i="25"/>
  <c r="M33" i="25" s="1"/>
  <c r="M35" i="25"/>
  <c r="K67" i="21"/>
  <c r="K84" i="21"/>
  <c r="K68" i="21"/>
  <c r="K65" i="21"/>
  <c r="K71" i="25"/>
  <c r="K84" i="25" s="1"/>
  <c r="K73" i="25"/>
  <c r="R85" i="24"/>
  <c r="S81" i="24" s="1"/>
  <c r="S82" i="24" s="1"/>
  <c r="N142" i="25"/>
  <c r="L42" i="25"/>
  <c r="L92" i="25" s="1"/>
  <c r="S41" i="24"/>
  <c r="S89" i="24" s="1"/>
  <c r="R54" i="24"/>
  <c r="R55" i="24" s="1"/>
  <c r="BX104" i="24"/>
  <c r="BX50" i="24" s="1"/>
  <c r="Q54" i="19" l="1"/>
  <c r="Q55" i="19" s="1"/>
  <c r="Q84" i="19"/>
  <c r="R80" i="19" s="1"/>
  <c r="BU76" i="19"/>
  <c r="BT82" i="19"/>
  <c r="BT42" i="19" s="1"/>
  <c r="BT63" i="19" s="1"/>
  <c r="BT62" i="19"/>
  <c r="R96" i="19"/>
  <c r="R45" i="19"/>
  <c r="AD83" i="24"/>
  <c r="AD42" i="24" s="1"/>
  <c r="AD63" i="24" s="1"/>
  <c r="AD77" i="24"/>
  <c r="CF50" i="19"/>
  <c r="CF104" i="19"/>
  <c r="CG100" i="19" s="1"/>
  <c r="J92" i="21"/>
  <c r="J89" i="21"/>
  <c r="L37" i="21"/>
  <c r="M33" i="21" s="1"/>
  <c r="K69" i="21"/>
  <c r="K78" i="21"/>
  <c r="K85" i="21" s="1"/>
  <c r="K75" i="25"/>
  <c r="L43" i="25"/>
  <c r="L65" i="25" s="1"/>
  <c r="L46" i="25"/>
  <c r="L43" i="21"/>
  <c r="L45" i="21" s="1"/>
  <c r="L40" i="21"/>
  <c r="Q118" i="24"/>
  <c r="M23" i="25" s="1"/>
  <c r="S90" i="24"/>
  <c r="S91" i="24" s="1"/>
  <c r="T88" i="24" s="1"/>
  <c r="R114" i="24"/>
  <c r="R56" i="24"/>
  <c r="S44" i="24"/>
  <c r="S61" i="24"/>
  <c r="BX51" i="24"/>
  <c r="BX117" i="24" s="1"/>
  <c r="BX105" i="24"/>
  <c r="BY101" i="24" s="1"/>
  <c r="Q56" i="19" l="1"/>
  <c r="Q113" i="19"/>
  <c r="R81" i="19"/>
  <c r="BU77" i="19"/>
  <c r="BV75" i="19" s="1"/>
  <c r="BV77" i="19" s="1"/>
  <c r="BW75" i="19" s="1"/>
  <c r="BW77" i="19" s="1"/>
  <c r="BX75" i="19" s="1"/>
  <c r="BU82" i="19"/>
  <c r="BU42" i="19" s="1"/>
  <c r="BU63" i="19" s="1"/>
  <c r="BU62" i="19"/>
  <c r="R97" i="19"/>
  <c r="CF51" i="19"/>
  <c r="CF116" i="19" s="1"/>
  <c r="CG106" i="19"/>
  <c r="CG107" i="19" s="1"/>
  <c r="CG102" i="19" s="1"/>
  <c r="CG103" i="19" s="1"/>
  <c r="BV76" i="19"/>
  <c r="BW76" i="19"/>
  <c r="AD78" i="24"/>
  <c r="AE75" i="24" s="1"/>
  <c r="AE76" i="24" s="1"/>
  <c r="AD62" i="24"/>
  <c r="J90" i="21"/>
  <c r="J93" i="21"/>
  <c r="R116" i="24"/>
  <c r="N132" i="25" s="1"/>
  <c r="K88" i="21"/>
  <c r="K89" i="21" s="1"/>
  <c r="K86" i="21"/>
  <c r="L80" i="21" s="1"/>
  <c r="L41" i="21"/>
  <c r="L54" i="21" s="1"/>
  <c r="L59" i="21"/>
  <c r="M60" i="25"/>
  <c r="M62" i="25" s="1"/>
  <c r="L48" i="25"/>
  <c r="L44" i="25"/>
  <c r="L57" i="25" s="1"/>
  <c r="L66" i="25" s="1"/>
  <c r="M47" i="25"/>
  <c r="M34" i="25"/>
  <c r="M31" i="25"/>
  <c r="T97" i="24"/>
  <c r="T98" i="24" s="1"/>
  <c r="S43" i="24"/>
  <c r="S46" i="24"/>
  <c r="BY107" i="24"/>
  <c r="BY108" i="24" s="1"/>
  <c r="BY103" i="24" s="1"/>
  <c r="BY104" i="24" s="1"/>
  <c r="BY50" i="24" s="1"/>
  <c r="R41" i="19" l="1"/>
  <c r="R44" i="19"/>
  <c r="Q115" i="19"/>
  <c r="BV82" i="19"/>
  <c r="BV62" i="19"/>
  <c r="BX76" i="19"/>
  <c r="BW62" i="19"/>
  <c r="AE83" i="24"/>
  <c r="AE42" i="24" s="1"/>
  <c r="AE63" i="24" s="1"/>
  <c r="AE77" i="24"/>
  <c r="CG50" i="19"/>
  <c r="CG104" i="19"/>
  <c r="CH100" i="19" s="1"/>
  <c r="J103" i="21"/>
  <c r="J94" i="21"/>
  <c r="M64" i="25"/>
  <c r="M61" i="25"/>
  <c r="M63" i="25" s="1"/>
  <c r="L67" i="25"/>
  <c r="M59" i="25" s="1"/>
  <c r="M37" i="25"/>
  <c r="M36" i="25"/>
  <c r="M38" i="25" s="1"/>
  <c r="M87" i="25"/>
  <c r="M89" i="25" s="1"/>
  <c r="L60" i="21"/>
  <c r="K92" i="21"/>
  <c r="K93" i="21"/>
  <c r="S84" i="24"/>
  <c r="S64" i="24"/>
  <c r="S66" i="24" s="1"/>
  <c r="BY105" i="24"/>
  <c r="BZ101" i="24" s="1"/>
  <c r="BZ107" i="24" s="1"/>
  <c r="BZ108" i="24" s="1"/>
  <c r="BZ103" i="24" s="1"/>
  <c r="BZ104" i="24" s="1"/>
  <c r="BZ50" i="24" s="1"/>
  <c r="BY51" i="24"/>
  <c r="BY117" i="24" s="1"/>
  <c r="J104" i="21" l="1"/>
  <c r="J107" i="21" s="1"/>
  <c r="J105" i="21"/>
  <c r="J108" i="21" s="1"/>
  <c r="J112" i="21" s="1"/>
  <c r="J122" i="21" s="1"/>
  <c r="J124" i="21" s="1"/>
  <c r="R61" i="19"/>
  <c r="R88" i="19"/>
  <c r="Q117" i="19"/>
  <c r="M23" i="21" s="1"/>
  <c r="M123" i="21"/>
  <c r="BX77" i="19"/>
  <c r="BY75" i="19" s="1"/>
  <c r="BX62" i="19"/>
  <c r="CG51" i="19"/>
  <c r="CG116" i="19" s="1"/>
  <c r="CH106" i="19"/>
  <c r="CH107" i="19" s="1"/>
  <c r="CH102" i="19" s="1"/>
  <c r="BV42" i="19"/>
  <c r="BV63" i="19" s="1"/>
  <c r="BW82" i="19"/>
  <c r="BY76" i="19"/>
  <c r="AE78" i="24"/>
  <c r="AF75" i="24" s="1"/>
  <c r="AF76" i="24" s="1"/>
  <c r="AE62" i="24"/>
  <c r="K90" i="21"/>
  <c r="L61" i="21"/>
  <c r="M56" i="21" s="1"/>
  <c r="L64" i="21"/>
  <c r="L63" i="21" s="1"/>
  <c r="L70" i="25"/>
  <c r="L69" i="25" s="1"/>
  <c r="L93" i="25" s="1"/>
  <c r="S85" i="24"/>
  <c r="T81" i="24" s="1"/>
  <c r="T82" i="24" s="1"/>
  <c r="O142" i="25"/>
  <c r="M39" i="25"/>
  <c r="T45" i="24"/>
  <c r="S54" i="24"/>
  <c r="S55" i="24" s="1"/>
  <c r="BZ105" i="24"/>
  <c r="CA101" i="24" s="1"/>
  <c r="BZ51" i="24"/>
  <c r="BZ117" i="24" s="1"/>
  <c r="J109" i="21" l="1"/>
  <c r="J113" i="21" s="1"/>
  <c r="J111" i="21"/>
  <c r="R89" i="19"/>
  <c r="R43" i="19"/>
  <c r="R64" i="19" s="1"/>
  <c r="R66" i="19" s="1"/>
  <c r="M31" i="21"/>
  <c r="M44" i="21"/>
  <c r="M57" i="21"/>
  <c r="M58" i="21" s="1"/>
  <c r="M34" i="21"/>
  <c r="BY82" i="19"/>
  <c r="BY42" i="19" s="1"/>
  <c r="BY63" i="19" s="1"/>
  <c r="BY62" i="19"/>
  <c r="BZ76" i="19"/>
  <c r="AF83" i="24"/>
  <c r="BY77" i="19"/>
  <c r="BZ75" i="19" s="1"/>
  <c r="CH103" i="19"/>
  <c r="BW42" i="19"/>
  <c r="BW63" i="19" s="1"/>
  <c r="BX82" i="19"/>
  <c r="BX42" i="19" s="1"/>
  <c r="BX63" i="19" s="1"/>
  <c r="M40" i="25"/>
  <c r="N33" i="25" s="1"/>
  <c r="N35" i="25"/>
  <c r="L67" i="21"/>
  <c r="L84" i="21"/>
  <c r="L68" i="21"/>
  <c r="L65" i="21"/>
  <c r="K94" i="21"/>
  <c r="K103" i="21"/>
  <c r="L74" i="25"/>
  <c r="L71" i="25"/>
  <c r="L84" i="25" s="1"/>
  <c r="L73" i="25"/>
  <c r="M42" i="25"/>
  <c r="M92" i="25" s="1"/>
  <c r="S114" i="24"/>
  <c r="S56" i="24"/>
  <c r="T41" i="24"/>
  <c r="T89" i="24" s="1"/>
  <c r="CA107" i="24"/>
  <c r="CA108" i="24" s="1"/>
  <c r="CA103" i="24" s="1"/>
  <c r="CA104" i="24" s="1"/>
  <c r="CA50" i="24" s="1"/>
  <c r="R46" i="19" l="1"/>
  <c r="R83" i="19" s="1"/>
  <c r="R90" i="19"/>
  <c r="S87" i="19" s="1"/>
  <c r="M81" i="21"/>
  <c r="M82" i="21" s="1"/>
  <c r="M35" i="21"/>
  <c r="CH50" i="19"/>
  <c r="CH104" i="19"/>
  <c r="CI100" i="19" s="1"/>
  <c r="CI106" i="19" s="1"/>
  <c r="CI107" i="19" s="1"/>
  <c r="CI102" i="19" s="1"/>
  <c r="BZ62" i="19"/>
  <c r="BZ82" i="19"/>
  <c r="BZ42" i="19" s="1"/>
  <c r="BZ63" i="19" s="1"/>
  <c r="BZ77" i="19"/>
  <c r="CA75" i="19" s="1"/>
  <c r="CA76" i="19"/>
  <c r="AF42" i="24"/>
  <c r="AF63" i="24" s="1"/>
  <c r="AF77" i="24"/>
  <c r="S116" i="24"/>
  <c r="O132" i="25" s="1"/>
  <c r="L69" i="21"/>
  <c r="L78" i="21"/>
  <c r="L85" i="21" s="1"/>
  <c r="K105" i="21"/>
  <c r="K108" i="21" s="1"/>
  <c r="K112" i="21" s="1"/>
  <c r="K122" i="21" s="1"/>
  <c r="K124" i="21" s="1"/>
  <c r="K104" i="21"/>
  <c r="K107" i="21" s="1"/>
  <c r="L75" i="25"/>
  <c r="M43" i="25"/>
  <c r="M65" i="25" s="1"/>
  <c r="M46" i="25"/>
  <c r="R118" i="24"/>
  <c r="N23" i="25" s="1"/>
  <c r="T90" i="24"/>
  <c r="T91" i="24" s="1"/>
  <c r="U88" i="24" s="1"/>
  <c r="T44" i="24"/>
  <c r="T61" i="24"/>
  <c r="CA51" i="24"/>
  <c r="CA117" i="24" s="1"/>
  <c r="CA105" i="24"/>
  <c r="CB101" i="24" s="1"/>
  <c r="R84" i="19" l="1"/>
  <c r="S80" i="19" s="1"/>
  <c r="S81" i="19" s="1"/>
  <c r="R54" i="19"/>
  <c r="R55" i="19" s="1"/>
  <c r="S45" i="19"/>
  <c r="S96" i="19"/>
  <c r="M36" i="21"/>
  <c r="CH51" i="19"/>
  <c r="CH116" i="19" s="1"/>
  <c r="CA82" i="19"/>
  <c r="CA42" i="19" s="1"/>
  <c r="CA63" i="19" s="1"/>
  <c r="CA62" i="19"/>
  <c r="AF62" i="24"/>
  <c r="AF78" i="24"/>
  <c r="AG75" i="24" s="1"/>
  <c r="AG76" i="24" s="1"/>
  <c r="CA77" i="19"/>
  <c r="CB75" i="19" s="1"/>
  <c r="CB77" i="19" s="1"/>
  <c r="CC75" i="19" s="1"/>
  <c r="CI103" i="19"/>
  <c r="CB76" i="19"/>
  <c r="K109" i="21"/>
  <c r="K113" i="21" s="1"/>
  <c r="K111" i="21"/>
  <c r="L88" i="21"/>
  <c r="L89" i="21" s="1"/>
  <c r="L86" i="21"/>
  <c r="M80" i="21" s="1"/>
  <c r="N60" i="25"/>
  <c r="N62" i="25" s="1"/>
  <c r="M48" i="25"/>
  <c r="M44" i="25"/>
  <c r="M57" i="25" s="1"/>
  <c r="M66" i="25" s="1"/>
  <c r="N47" i="25"/>
  <c r="N34" i="25"/>
  <c r="N31" i="25"/>
  <c r="U97" i="24"/>
  <c r="U98" i="24" s="1"/>
  <c r="T43" i="24"/>
  <c r="T46" i="24"/>
  <c r="CB107" i="24"/>
  <c r="CB108" i="24" s="1"/>
  <c r="CB103" i="24" s="1"/>
  <c r="CB104" i="24" s="1"/>
  <c r="R113" i="19" l="1"/>
  <c r="R56" i="19"/>
  <c r="R115" i="19" s="1"/>
  <c r="S97" i="19"/>
  <c r="M39" i="21"/>
  <c r="M37" i="21"/>
  <c r="N33" i="21" s="1"/>
  <c r="AG83" i="24"/>
  <c r="AG42" i="24" s="1"/>
  <c r="AG63" i="24" s="1"/>
  <c r="AG77" i="24"/>
  <c r="CB82" i="19"/>
  <c r="CB42" i="19" s="1"/>
  <c r="CB63" i="19" s="1"/>
  <c r="CB62" i="19"/>
  <c r="CD76" i="19"/>
  <c r="CI50" i="19"/>
  <c r="CI104" i="19"/>
  <c r="CJ100" i="19" s="1"/>
  <c r="CC76" i="19"/>
  <c r="N64" i="25"/>
  <c r="N61" i="25"/>
  <c r="N63" i="25" s="1"/>
  <c r="M67" i="25"/>
  <c r="N59" i="25" s="1"/>
  <c r="N37" i="25"/>
  <c r="N36" i="25"/>
  <c r="N38" i="25" s="1"/>
  <c r="N87" i="25"/>
  <c r="N89" i="25" s="1"/>
  <c r="L92" i="21"/>
  <c r="L93" i="21"/>
  <c r="L90" i="21"/>
  <c r="T84" i="24"/>
  <c r="T64" i="24"/>
  <c r="T66" i="24" s="1"/>
  <c r="CB50" i="24"/>
  <c r="CB105" i="24"/>
  <c r="CC101" i="24" s="1"/>
  <c r="S41" i="19" l="1"/>
  <c r="S44" i="19"/>
  <c r="M40" i="21"/>
  <c r="M43" i="21"/>
  <c r="M45" i="21" s="1"/>
  <c r="M83" i="21"/>
  <c r="N123" i="21"/>
  <c r="R117" i="19"/>
  <c r="N23" i="21" s="1"/>
  <c r="CD62" i="19"/>
  <c r="CI51" i="19"/>
  <c r="CI116" i="19" s="1"/>
  <c r="CJ106" i="19"/>
  <c r="CJ107" i="19" s="1"/>
  <c r="CJ102" i="19" s="1"/>
  <c r="CC82" i="19"/>
  <c r="CC62" i="19"/>
  <c r="CE76" i="19"/>
  <c r="CC77" i="19"/>
  <c r="CD75" i="19" s="1"/>
  <c r="CD77" i="19" s="1"/>
  <c r="CE75" i="19" s="1"/>
  <c r="AG78" i="24"/>
  <c r="AH75" i="24" s="1"/>
  <c r="AH76" i="24" s="1"/>
  <c r="AG62" i="24"/>
  <c r="L94" i="21"/>
  <c r="L103" i="21"/>
  <c r="M70" i="25"/>
  <c r="M74" i="25" s="1"/>
  <c r="T85" i="24"/>
  <c r="U81" i="24" s="1"/>
  <c r="U82" i="24" s="1"/>
  <c r="P142" i="25"/>
  <c r="N39" i="25"/>
  <c r="U45" i="24"/>
  <c r="U41" i="24"/>
  <c r="U89" i="24" s="1"/>
  <c r="T54" i="24"/>
  <c r="T55" i="24" s="1"/>
  <c r="CC107" i="24"/>
  <c r="CC108" i="24" s="1"/>
  <c r="CC103" i="24" s="1"/>
  <c r="CB51" i="24"/>
  <c r="CB117" i="24" s="1"/>
  <c r="S88" i="19" l="1"/>
  <c r="S61" i="19"/>
  <c r="M59" i="21"/>
  <c r="M41" i="21"/>
  <c r="M54" i="21" s="1"/>
  <c r="M60" i="21" s="1"/>
  <c r="N44" i="21"/>
  <c r="N34" i="21"/>
  <c r="N31" i="21"/>
  <c r="N57" i="21"/>
  <c r="N58" i="21" s="1"/>
  <c r="CG76" i="19"/>
  <c r="CE82" i="19"/>
  <c r="CE42" i="19" s="1"/>
  <c r="CE63" i="19" s="1"/>
  <c r="CE62" i="19"/>
  <c r="AH83" i="24"/>
  <c r="CE77" i="19"/>
  <c r="CF75" i="19" s="1"/>
  <c r="CF77" i="19" s="1"/>
  <c r="CG75" i="19" s="1"/>
  <c r="CJ103" i="19"/>
  <c r="CC42" i="19"/>
  <c r="CC63" i="19" s="1"/>
  <c r="CD82" i="19"/>
  <c r="CD42" i="19" s="1"/>
  <c r="CD63" i="19" s="1"/>
  <c r="CF76" i="19"/>
  <c r="N40" i="25"/>
  <c r="O33" i="25" s="1"/>
  <c r="O35" i="25"/>
  <c r="L104" i="21"/>
  <c r="L107" i="21" s="1"/>
  <c r="L105" i="21"/>
  <c r="L108" i="21" s="1"/>
  <c r="L112" i="21" s="1"/>
  <c r="L122" i="21" s="1"/>
  <c r="L124" i="21" s="1"/>
  <c r="M69" i="25"/>
  <c r="M93" i="25" s="1"/>
  <c r="N42" i="25"/>
  <c r="N92" i="25" s="1"/>
  <c r="U90" i="24"/>
  <c r="U91" i="24" s="1"/>
  <c r="V88" i="24" s="1"/>
  <c r="U44" i="24"/>
  <c r="T114" i="24"/>
  <c r="T56" i="24"/>
  <c r="U61" i="24"/>
  <c r="CC104" i="24"/>
  <c r="CC50" i="24" s="1"/>
  <c r="S43" i="19" l="1"/>
  <c r="S64" i="19" s="1"/>
  <c r="S66" i="19" s="1"/>
  <c r="S89" i="19"/>
  <c r="M64" i="21"/>
  <c r="M61" i="21"/>
  <c r="N56" i="21" s="1"/>
  <c r="N81" i="21"/>
  <c r="N82" i="21" s="1"/>
  <c r="N35" i="21"/>
  <c r="CG62" i="19"/>
  <c r="CF82" i="19"/>
  <c r="CF62" i="19"/>
  <c r="CG77" i="19"/>
  <c r="CH75" i="19" s="1"/>
  <c r="AH42" i="24"/>
  <c r="AH63" i="24" s="1"/>
  <c r="AH77" i="24"/>
  <c r="CJ50" i="19"/>
  <c r="CJ104" i="19"/>
  <c r="CK100" i="19" s="1"/>
  <c r="CH76" i="19"/>
  <c r="T116" i="24"/>
  <c r="P132" i="25" s="1"/>
  <c r="L109" i="21"/>
  <c r="L113" i="21" s="1"/>
  <c r="L111" i="21"/>
  <c r="M71" i="25"/>
  <c r="M73" i="25"/>
  <c r="N43" i="25"/>
  <c r="N65" i="25" s="1"/>
  <c r="N46" i="25"/>
  <c r="S118" i="24"/>
  <c r="O23" i="25" s="1"/>
  <c r="V97" i="24"/>
  <c r="V98" i="24" s="1"/>
  <c r="CC51" i="24"/>
  <c r="CC117" i="24" s="1"/>
  <c r="U43" i="24"/>
  <c r="U46" i="24"/>
  <c r="CC105" i="24"/>
  <c r="CD101" i="24" s="1"/>
  <c r="CD107" i="24" s="1"/>
  <c r="CD108" i="24" s="1"/>
  <c r="CD103" i="24" s="1"/>
  <c r="CD104" i="24" s="1"/>
  <c r="CD50" i="24" s="1"/>
  <c r="S90" i="19" l="1"/>
  <c r="T87" i="19" s="1"/>
  <c r="S46" i="19"/>
  <c r="S83" i="19" s="1"/>
  <c r="M63" i="21"/>
  <c r="M68" i="21"/>
  <c r="N36" i="21"/>
  <c r="AH62" i="24"/>
  <c r="AH78" i="24"/>
  <c r="AI75" i="24" s="1"/>
  <c r="AI76" i="24" s="1"/>
  <c r="CJ51" i="19"/>
  <c r="CJ116" i="19" s="1"/>
  <c r="CK106" i="19"/>
  <c r="CK107" i="19" s="1"/>
  <c r="CK102" i="19" s="1"/>
  <c r="CH62" i="19"/>
  <c r="CH77" i="19"/>
  <c r="CI75" i="19" s="1"/>
  <c r="CF42" i="19"/>
  <c r="CF63" i="19" s="1"/>
  <c r="CG82" i="19"/>
  <c r="CI76" i="19"/>
  <c r="CJ76" i="19"/>
  <c r="M75" i="25"/>
  <c r="M84" i="25"/>
  <c r="O60" i="25"/>
  <c r="O62" i="25" s="1"/>
  <c r="N48" i="25"/>
  <c r="N44" i="25"/>
  <c r="N57" i="25" s="1"/>
  <c r="N66" i="25" s="1"/>
  <c r="O47" i="25"/>
  <c r="O34" i="25"/>
  <c r="O31" i="25"/>
  <c r="U84" i="24"/>
  <c r="CD51" i="24"/>
  <c r="CD117" i="24" s="1"/>
  <c r="U64" i="24"/>
  <c r="U66" i="24" s="1"/>
  <c r="CD105" i="24"/>
  <c r="CE101" i="24" s="1"/>
  <c r="CE107" i="24" s="1"/>
  <c r="CE108" i="24" s="1"/>
  <c r="CE103" i="24" s="1"/>
  <c r="CE104" i="24" s="1"/>
  <c r="CE50" i="24" s="1"/>
  <c r="T96" i="19" l="1"/>
  <c r="T45" i="19"/>
  <c r="S84" i="19"/>
  <c r="T80" i="19" s="1"/>
  <c r="T81" i="19" s="1"/>
  <c r="S54" i="19"/>
  <c r="S55" i="19" s="1"/>
  <c r="M84" i="21"/>
  <c r="M65" i="21"/>
  <c r="M67" i="21"/>
  <c r="N39" i="21"/>
  <c r="N43" i="21" s="1"/>
  <c r="N45" i="21" s="1"/>
  <c r="N37" i="21"/>
  <c r="O33" i="21" s="1"/>
  <c r="CK103" i="19"/>
  <c r="AI83" i="24"/>
  <c r="AI42" i="24" s="1"/>
  <c r="AI63" i="24" s="1"/>
  <c r="AI77" i="24"/>
  <c r="CI62" i="19"/>
  <c r="CK76" i="19"/>
  <c r="CJ62" i="19"/>
  <c r="CI77" i="19"/>
  <c r="CJ75" i="19" s="1"/>
  <c r="CJ77" i="19" s="1"/>
  <c r="CK75" i="19" s="1"/>
  <c r="CK77" i="19" s="1"/>
  <c r="CL75" i="19" s="1"/>
  <c r="CG42" i="19"/>
  <c r="CG63" i="19" s="1"/>
  <c r="CH82" i="19"/>
  <c r="O64" i="25"/>
  <c r="O61" i="25"/>
  <c r="O63" i="25" s="1"/>
  <c r="N67" i="25"/>
  <c r="O59" i="25" s="1"/>
  <c r="O37" i="25"/>
  <c r="O36" i="25"/>
  <c r="O38" i="25" s="1"/>
  <c r="O87" i="25"/>
  <c r="O89" i="25" s="1"/>
  <c r="U85" i="24"/>
  <c r="V81" i="24" s="1"/>
  <c r="V82" i="24" s="1"/>
  <c r="Q142" i="25"/>
  <c r="U54" i="24"/>
  <c r="U55" i="24" s="1"/>
  <c r="V45" i="24"/>
  <c r="CE51" i="24"/>
  <c r="CE117" i="24" s="1"/>
  <c r="CE105" i="24"/>
  <c r="CF101" i="24" s="1"/>
  <c r="T97" i="19" l="1"/>
  <c r="S56" i="19"/>
  <c r="S115" i="19" s="1"/>
  <c r="O123" i="21" s="1"/>
  <c r="S113" i="19"/>
  <c r="N83" i="21"/>
  <c r="N40" i="21"/>
  <c r="M69" i="21"/>
  <c r="M78" i="21"/>
  <c r="M85" i="21" s="1"/>
  <c r="CK50" i="19"/>
  <c r="CK51" i="19" s="1"/>
  <c r="CK116" i="19" s="1"/>
  <c r="CK104" i="19"/>
  <c r="CL100" i="19" s="1"/>
  <c r="CL76" i="19"/>
  <c r="CK62" i="19"/>
  <c r="AI78" i="24"/>
  <c r="AJ75" i="24" s="1"/>
  <c r="AJ76" i="24" s="1"/>
  <c r="AI62" i="24"/>
  <c r="CH42" i="19"/>
  <c r="CH63" i="19" s="1"/>
  <c r="CI82" i="19"/>
  <c r="N70" i="25"/>
  <c r="N74" i="25" s="1"/>
  <c r="O39" i="25"/>
  <c r="U114" i="24"/>
  <c r="U56" i="24"/>
  <c r="V41" i="24"/>
  <c r="V89" i="24" s="1"/>
  <c r="CF107" i="24"/>
  <c r="CF108" i="24" s="1"/>
  <c r="CF103" i="24" s="1"/>
  <c r="CF104" i="24" s="1"/>
  <c r="CF50" i="24" s="1"/>
  <c r="T41" i="19" l="1"/>
  <c r="T44" i="19"/>
  <c r="S117" i="19"/>
  <c r="O23" i="21" s="1"/>
  <c r="N59" i="21"/>
  <c r="N41" i="21"/>
  <c r="N54" i="21" s="1"/>
  <c r="N60" i="21" s="1"/>
  <c r="M86" i="21"/>
  <c r="N80" i="21" s="1"/>
  <c r="M88" i="21"/>
  <c r="CL106" i="19"/>
  <c r="CL107" i="19" s="1"/>
  <c r="CL102" i="19" s="1"/>
  <c r="CL103" i="19" s="1"/>
  <c r="CM76" i="19"/>
  <c r="CL77" i="19"/>
  <c r="CM75" i="19" s="1"/>
  <c r="CL62" i="19"/>
  <c r="AJ83" i="24"/>
  <c r="CJ82" i="19"/>
  <c r="CI42" i="19"/>
  <c r="CI63" i="19" s="1"/>
  <c r="U116" i="24"/>
  <c r="Q132" i="25" s="1"/>
  <c r="O40" i="25"/>
  <c r="P33" i="25" s="1"/>
  <c r="P35" i="25"/>
  <c r="N69" i="25"/>
  <c r="N93" i="25" s="1"/>
  <c r="O42" i="25"/>
  <c r="O92" i="25" s="1"/>
  <c r="V90" i="24"/>
  <c r="V91" i="24" s="1"/>
  <c r="W88" i="24" s="1"/>
  <c r="V44" i="24"/>
  <c r="V61" i="24"/>
  <c r="CF51" i="24"/>
  <c r="CF117" i="24" s="1"/>
  <c r="CF105" i="24"/>
  <c r="CG101" i="24" s="1"/>
  <c r="T61" i="19" l="1"/>
  <c r="T88" i="19"/>
  <c r="O57" i="21"/>
  <c r="O58" i="21" s="1"/>
  <c r="O31" i="21"/>
  <c r="O34" i="21"/>
  <c r="O44" i="21"/>
  <c r="N61" i="21"/>
  <c r="O56" i="21" s="1"/>
  <c r="N64" i="21"/>
  <c r="CL50" i="19"/>
  <c r="CL51" i="19" s="1"/>
  <c r="CL116" i="19" s="1"/>
  <c r="CL104" i="19"/>
  <c r="CM100" i="19" s="1"/>
  <c r="M92" i="21"/>
  <c r="M89" i="21"/>
  <c r="CM62" i="19"/>
  <c r="CK82" i="19"/>
  <c r="CJ42" i="19"/>
  <c r="CJ63" i="19" s="1"/>
  <c r="CM77" i="19"/>
  <c r="CN75" i="19" s="1"/>
  <c r="CN76" i="19"/>
  <c r="CO76" i="19" s="1"/>
  <c r="AJ42" i="24"/>
  <c r="AJ63" i="24" s="1"/>
  <c r="AJ77" i="24"/>
  <c r="N73" i="25"/>
  <c r="N71" i="25"/>
  <c r="N84" i="25" s="1"/>
  <c r="O43" i="25"/>
  <c r="O65" i="25" s="1"/>
  <c r="O46" i="25"/>
  <c r="T118" i="24"/>
  <c r="P23" i="25" s="1"/>
  <c r="W97" i="24"/>
  <c r="W98" i="24" s="1"/>
  <c r="V43" i="24"/>
  <c r="V46" i="24"/>
  <c r="CG107" i="24"/>
  <c r="CG108" i="24" s="1"/>
  <c r="CG103" i="24" s="1"/>
  <c r="CG104" i="24" s="1"/>
  <c r="CG50" i="24" s="1"/>
  <c r="T89" i="19" l="1"/>
  <c r="T43" i="19"/>
  <c r="T64" i="19" s="1"/>
  <c r="T66" i="19" s="1"/>
  <c r="O35" i="21"/>
  <c r="O36" i="21" s="1"/>
  <c r="O81" i="21"/>
  <c r="O82" i="21" s="1"/>
  <c r="N63" i="21"/>
  <c r="N68" i="21"/>
  <c r="CM106" i="19"/>
  <c r="CM107" i="19" s="1"/>
  <c r="CM102" i="19" s="1"/>
  <c r="CM103" i="19" s="1"/>
  <c r="M93" i="21"/>
  <c r="M90" i="21"/>
  <c r="CL82" i="19"/>
  <c r="CK42" i="19"/>
  <c r="CK63" i="19" s="1"/>
  <c r="CO62" i="19"/>
  <c r="CN62" i="19"/>
  <c r="AJ62" i="24"/>
  <c r="AJ78" i="24"/>
  <c r="AK75" i="24" s="1"/>
  <c r="AK76" i="24" s="1"/>
  <c r="CN77" i="19"/>
  <c r="CO75" i="19" s="1"/>
  <c r="CO77" i="19" s="1"/>
  <c r="N75" i="25"/>
  <c r="P60" i="25"/>
  <c r="P62" i="25" s="1"/>
  <c r="O48" i="25"/>
  <c r="O44" i="25"/>
  <c r="O57" i="25" s="1"/>
  <c r="O66" i="25" s="1"/>
  <c r="P47" i="25"/>
  <c r="P34" i="25"/>
  <c r="P31" i="25"/>
  <c r="V84" i="24"/>
  <c r="V64" i="24"/>
  <c r="V66" i="24" s="1"/>
  <c r="CG105" i="24"/>
  <c r="CH101" i="24" s="1"/>
  <c r="CH107" i="24" s="1"/>
  <c r="CH108" i="24" s="1"/>
  <c r="CH103" i="24" s="1"/>
  <c r="CH104" i="24" s="1"/>
  <c r="CG51" i="24"/>
  <c r="CG117" i="24" s="1"/>
  <c r="T46" i="19" l="1"/>
  <c r="T83" i="19" s="1"/>
  <c r="T90" i="19"/>
  <c r="U87" i="19" s="1"/>
  <c r="N65" i="21"/>
  <c r="N84" i="21"/>
  <c r="N67" i="21"/>
  <c r="CM50" i="19"/>
  <c r="CM104" i="19"/>
  <c r="CN100" i="19" s="1"/>
  <c r="M94" i="21"/>
  <c r="M103" i="21"/>
  <c r="O39" i="21"/>
  <c r="O37" i="21"/>
  <c r="P33" i="21" s="1"/>
  <c r="CM82" i="19"/>
  <c r="CL42" i="19"/>
  <c r="CL63" i="19" s="1"/>
  <c r="AK83" i="24"/>
  <c r="P64" i="25"/>
  <c r="P61" i="25"/>
  <c r="P63" i="25" s="1"/>
  <c r="O67" i="25"/>
  <c r="P37" i="25"/>
  <c r="P36" i="25"/>
  <c r="P38" i="25" s="1"/>
  <c r="P87" i="25"/>
  <c r="P89" i="25" s="1"/>
  <c r="V85" i="24"/>
  <c r="W81" i="24" s="1"/>
  <c r="W82" i="24" s="1"/>
  <c r="R142" i="25"/>
  <c r="V54" i="24"/>
  <c r="V55" i="24" s="1"/>
  <c r="W45" i="24"/>
  <c r="CH50" i="24"/>
  <c r="CH105" i="24"/>
  <c r="CI101" i="24" s="1"/>
  <c r="T54" i="19" l="1"/>
  <c r="T55" i="19" s="1"/>
  <c r="T84" i="19"/>
  <c r="U80" i="19" s="1"/>
  <c r="U81" i="19" s="1"/>
  <c r="U96" i="19"/>
  <c r="U45" i="19"/>
  <c r="N78" i="21"/>
  <c r="N85" i="21" s="1"/>
  <c r="N69" i="21"/>
  <c r="CM51" i="19"/>
  <c r="CM116" i="19" s="1"/>
  <c r="CN106" i="19"/>
  <c r="CN107" i="19" s="1"/>
  <c r="CN102" i="19" s="1"/>
  <c r="M105" i="21"/>
  <c r="M108" i="21" s="1"/>
  <c r="M112" i="21" s="1"/>
  <c r="M122" i="21" s="1"/>
  <c r="M124" i="21" s="1"/>
  <c r="M104" i="21"/>
  <c r="M107" i="21" s="1"/>
  <c r="O40" i="21"/>
  <c r="O43" i="21"/>
  <c r="O45" i="21" s="1"/>
  <c r="O83" i="21"/>
  <c r="CM42" i="19"/>
  <c r="CM63" i="19" s="1"/>
  <c r="CN82" i="19"/>
  <c r="AK42" i="24"/>
  <c r="AK63" i="24" s="1"/>
  <c r="AK77" i="24"/>
  <c r="O70" i="25"/>
  <c r="O69" i="25" s="1"/>
  <c r="O93" i="25" s="1"/>
  <c r="P59" i="25"/>
  <c r="P39" i="25"/>
  <c r="W41" i="24"/>
  <c r="W89" i="24" s="1"/>
  <c r="V114" i="24"/>
  <c r="V56" i="24"/>
  <c r="CI107" i="24"/>
  <c r="CI108" i="24" s="1"/>
  <c r="CI103" i="24" s="1"/>
  <c r="CI104" i="24" s="1"/>
  <c r="CI50" i="24" s="1"/>
  <c r="CH51" i="24"/>
  <c r="CH117" i="24" s="1"/>
  <c r="T113" i="19" l="1"/>
  <c r="T56" i="19"/>
  <c r="T115" i="19" s="1"/>
  <c r="U97" i="19"/>
  <c r="N86" i="21"/>
  <c r="O80" i="21" s="1"/>
  <c r="N88" i="21"/>
  <c r="CN103" i="19"/>
  <c r="M109" i="21"/>
  <c r="M113" i="21" s="1"/>
  <c r="M111" i="21"/>
  <c r="O59" i="21"/>
  <c r="O41" i="21"/>
  <c r="O54" i="21" s="1"/>
  <c r="AK62" i="24"/>
  <c r="AK78" i="24"/>
  <c r="AL75" i="24" s="1"/>
  <c r="AL76" i="24" s="1"/>
  <c r="CN42" i="19"/>
  <c r="CN63" i="19" s="1"/>
  <c r="CO82" i="19"/>
  <c r="CO42" i="19" s="1"/>
  <c r="CO63" i="19" s="1"/>
  <c r="V116" i="24"/>
  <c r="R132" i="25" s="1"/>
  <c r="P40" i="25"/>
  <c r="Q33" i="25" s="1"/>
  <c r="Q35" i="25"/>
  <c r="O74" i="25"/>
  <c r="O71" i="25"/>
  <c r="O84" i="25" s="1"/>
  <c r="O73" i="25"/>
  <c r="P42" i="25"/>
  <c r="P92" i="25" s="1"/>
  <c r="W90" i="24"/>
  <c r="W91" i="24" s="1"/>
  <c r="X88" i="24" s="1"/>
  <c r="W44" i="24"/>
  <c r="W61" i="24"/>
  <c r="CI51" i="24"/>
  <c r="CI117" i="24" s="1"/>
  <c r="CI105" i="24"/>
  <c r="CJ101" i="24" s="1"/>
  <c r="T117" i="19" l="1"/>
  <c r="P23" i="21" s="1"/>
  <c r="P123" i="21"/>
  <c r="U41" i="19"/>
  <c r="U44" i="19"/>
  <c r="N92" i="21"/>
  <c r="N89" i="21"/>
  <c r="O60" i="21"/>
  <c r="CN50" i="19"/>
  <c r="CN104" i="19"/>
  <c r="CO100" i="19" s="1"/>
  <c r="CO106" i="19" s="1"/>
  <c r="CO107" i="19" s="1"/>
  <c r="CO102" i="19" s="1"/>
  <c r="AL83" i="24"/>
  <c r="O75" i="25"/>
  <c r="P43" i="25"/>
  <c r="P65" i="25" s="1"/>
  <c r="P46" i="25"/>
  <c r="U118" i="24"/>
  <c r="Q23" i="25" s="1"/>
  <c r="X97" i="24"/>
  <c r="X98" i="24" s="1"/>
  <c r="W43" i="24"/>
  <c r="W46" i="24"/>
  <c r="CJ107" i="24"/>
  <c r="CJ108" i="24" s="1"/>
  <c r="CJ103" i="24" s="1"/>
  <c r="CJ104" i="24" s="1"/>
  <c r="P31" i="21" l="1"/>
  <c r="P44" i="21"/>
  <c r="P34" i="21"/>
  <c r="P57" i="21"/>
  <c r="P58" i="21" s="1"/>
  <c r="U61" i="19"/>
  <c r="U88" i="19"/>
  <c r="N90" i="21"/>
  <c r="N93" i="21"/>
  <c r="O64" i="21"/>
  <c r="O61" i="21"/>
  <c r="P56" i="21" s="1"/>
  <c r="CN51" i="19"/>
  <c r="CN116" i="19" s="1"/>
  <c r="CO103" i="19"/>
  <c r="AL42" i="24"/>
  <c r="AL63" i="24" s="1"/>
  <c r="AL77" i="24"/>
  <c r="Q60" i="25"/>
  <c r="Q62" i="25" s="1"/>
  <c r="P48" i="25"/>
  <c r="P44" i="25"/>
  <c r="P57" i="25" s="1"/>
  <c r="P66" i="25" s="1"/>
  <c r="Q47" i="25"/>
  <c r="Q34" i="25"/>
  <c r="Q31" i="25"/>
  <c r="W84" i="24"/>
  <c r="W64" i="24"/>
  <c r="W66" i="24" s="1"/>
  <c r="CJ50" i="24"/>
  <c r="CJ105" i="24"/>
  <c r="CK101" i="24" s="1"/>
  <c r="P81" i="21" l="1"/>
  <c r="P82" i="21" s="1"/>
  <c r="P35" i="21"/>
  <c r="P36" i="21" s="1"/>
  <c r="U43" i="19"/>
  <c r="U64" i="19" s="1"/>
  <c r="U66" i="19" s="1"/>
  <c r="U89" i="19"/>
  <c r="N94" i="21"/>
  <c r="N103" i="21"/>
  <c r="O68" i="21"/>
  <c r="O63" i="21"/>
  <c r="CO50" i="19"/>
  <c r="CO51" i="19" s="1"/>
  <c r="CO104" i="19"/>
  <c r="AL62" i="24"/>
  <c r="AL78" i="24"/>
  <c r="AM75" i="24" s="1"/>
  <c r="AM76" i="24" s="1"/>
  <c r="Q64" i="25"/>
  <c r="Q61" i="25"/>
  <c r="Q63" i="25" s="1"/>
  <c r="P67" i="25"/>
  <c r="Q59" i="25" s="1"/>
  <c r="Q37" i="25"/>
  <c r="Q36" i="25"/>
  <c r="Q38" i="25" s="1"/>
  <c r="Q87" i="25"/>
  <c r="Q89" i="25" s="1"/>
  <c r="W85" i="24"/>
  <c r="X81" i="24" s="1"/>
  <c r="X82" i="24" s="1"/>
  <c r="S142" i="25"/>
  <c r="X45" i="24"/>
  <c r="W54" i="24"/>
  <c r="W55" i="24" s="1"/>
  <c r="CK107" i="24"/>
  <c r="CK108" i="24" s="1"/>
  <c r="CK103" i="24" s="1"/>
  <c r="CK104" i="24" s="1"/>
  <c r="CK50" i="24" s="1"/>
  <c r="CJ51" i="24"/>
  <c r="CJ117" i="24" s="1"/>
  <c r="U90" i="19" l="1"/>
  <c r="V87" i="19" s="1"/>
  <c r="U46" i="19"/>
  <c r="U83" i="19" s="1"/>
  <c r="CO116" i="19"/>
  <c r="N104" i="21"/>
  <c r="N107" i="21" s="1"/>
  <c r="N105" i="21"/>
  <c r="N108" i="21" s="1"/>
  <c r="N112" i="21" s="1"/>
  <c r="N122" i="21" s="1"/>
  <c r="N124" i="21" s="1"/>
  <c r="O84" i="21"/>
  <c r="O65" i="21"/>
  <c r="O67" i="21"/>
  <c r="AM83" i="24"/>
  <c r="AM42" i="24" s="1"/>
  <c r="AM63" i="24" s="1"/>
  <c r="AM77" i="24"/>
  <c r="P39" i="21"/>
  <c r="P37" i="21"/>
  <c r="Q33" i="21" s="1"/>
  <c r="P70" i="25"/>
  <c r="P69" i="25" s="1"/>
  <c r="P93" i="25" s="1"/>
  <c r="Q39" i="25"/>
  <c r="W114" i="24"/>
  <c r="W56" i="24"/>
  <c r="X41" i="24"/>
  <c r="X89" i="24" s="1"/>
  <c r="CK51" i="24"/>
  <c r="CK117" i="24" s="1"/>
  <c r="CK105" i="24"/>
  <c r="CL101" i="24" s="1"/>
  <c r="V45" i="19" l="1"/>
  <c r="V96" i="19"/>
  <c r="U54" i="19"/>
  <c r="U55" i="19" s="1"/>
  <c r="U84" i="19"/>
  <c r="V80" i="19" s="1"/>
  <c r="V81" i="19" s="1"/>
  <c r="N111" i="21"/>
  <c r="N109" i="21"/>
  <c r="N113" i="21" s="1"/>
  <c r="O69" i="21"/>
  <c r="O78" i="21"/>
  <c r="O85" i="21" s="1"/>
  <c r="P83" i="21"/>
  <c r="P40" i="21"/>
  <c r="P43" i="21"/>
  <c r="P45" i="21" s="1"/>
  <c r="AM78" i="24"/>
  <c r="AN75" i="24" s="1"/>
  <c r="AN76" i="24" s="1"/>
  <c r="AM62" i="24"/>
  <c r="W116" i="24"/>
  <c r="S132" i="25" s="1"/>
  <c r="Q40" i="25"/>
  <c r="R33" i="25" s="1"/>
  <c r="R35" i="25"/>
  <c r="P74" i="25"/>
  <c r="P71" i="25"/>
  <c r="P84" i="25" s="1"/>
  <c r="P73" i="25"/>
  <c r="Q42" i="25"/>
  <c r="Q92" i="25" s="1"/>
  <c r="X90" i="24"/>
  <c r="X91" i="24" s="1"/>
  <c r="Y88" i="24" s="1"/>
  <c r="X44" i="24"/>
  <c r="X61" i="24"/>
  <c r="CL107" i="24"/>
  <c r="CL108" i="24" s="1"/>
  <c r="CL103" i="24" s="1"/>
  <c r="V97" i="19" l="1"/>
  <c r="U113" i="19"/>
  <c r="U56" i="19"/>
  <c r="U115" i="19" s="1"/>
  <c r="Q123" i="21" s="1"/>
  <c r="O86" i="21"/>
  <c r="P80" i="21" s="1"/>
  <c r="O88" i="21"/>
  <c r="AN83" i="24"/>
  <c r="P59" i="21"/>
  <c r="P41" i="21"/>
  <c r="P54" i="21" s="1"/>
  <c r="P75" i="25"/>
  <c r="Q43" i="25"/>
  <c r="Q65" i="25" s="1"/>
  <c r="Q46" i="25"/>
  <c r="V118" i="24"/>
  <c r="R23" i="25" s="1"/>
  <c r="Y97" i="24"/>
  <c r="Y98" i="24" s="1"/>
  <c r="X43" i="24"/>
  <c r="X46" i="24"/>
  <c r="CL104" i="24"/>
  <c r="CL50" i="24" s="1"/>
  <c r="U117" i="19" l="1"/>
  <c r="Q23" i="21" s="1"/>
  <c r="V41" i="19"/>
  <c r="V44" i="19"/>
  <c r="O89" i="21"/>
  <c r="O92" i="21"/>
  <c r="P60" i="21"/>
  <c r="AN42" i="24"/>
  <c r="AN63" i="24" s="1"/>
  <c r="AN77" i="24"/>
  <c r="R60" i="25"/>
  <c r="R62" i="25" s="1"/>
  <c r="Q48" i="25"/>
  <c r="Q44" i="25"/>
  <c r="Q57" i="25" s="1"/>
  <c r="Q66" i="25" s="1"/>
  <c r="R34" i="25"/>
  <c r="R47" i="25"/>
  <c r="R31" i="25"/>
  <c r="X84" i="24"/>
  <c r="X64" i="24"/>
  <c r="X66" i="24" s="1"/>
  <c r="CL51" i="24"/>
  <c r="CL117" i="24" s="1"/>
  <c r="CL105" i="24"/>
  <c r="CM101" i="24" s="1"/>
  <c r="Q31" i="21" l="1"/>
  <c r="Q57" i="21"/>
  <c r="Q58" i="21" s="1"/>
  <c r="Q34" i="21"/>
  <c r="Q44" i="21"/>
  <c r="V61" i="19"/>
  <c r="V88" i="19"/>
  <c r="O90" i="21"/>
  <c r="O93" i="21"/>
  <c r="AN62" i="24"/>
  <c r="AN78" i="24"/>
  <c r="AO75" i="24" s="1"/>
  <c r="AO76" i="24" s="1"/>
  <c r="P64" i="21"/>
  <c r="P61" i="21"/>
  <c r="Q56" i="21" s="1"/>
  <c r="R64" i="25"/>
  <c r="R61" i="25"/>
  <c r="R63" i="25" s="1"/>
  <c r="Q67" i="25"/>
  <c r="R37" i="25"/>
  <c r="R36" i="25"/>
  <c r="R38" i="25" s="1"/>
  <c r="R87" i="25"/>
  <c r="R89" i="25" s="1"/>
  <c r="X85" i="24"/>
  <c r="Y81" i="24" s="1"/>
  <c r="Y82" i="24" s="1"/>
  <c r="T142" i="25"/>
  <c r="Y45" i="24"/>
  <c r="X54" i="24"/>
  <c r="X55" i="24" s="1"/>
  <c r="CM107" i="24"/>
  <c r="CM108" i="24" s="1"/>
  <c r="CM103" i="24" s="1"/>
  <c r="CM104" i="24" s="1"/>
  <c r="CM50" i="24" s="1"/>
  <c r="Q81" i="21" l="1"/>
  <c r="Q82" i="21" s="1"/>
  <c r="Q35" i="21"/>
  <c r="Q36" i="21" s="1"/>
  <c r="V43" i="19"/>
  <c r="V64" i="19" s="1"/>
  <c r="V66" i="19" s="1"/>
  <c r="V89" i="19"/>
  <c r="O94" i="21"/>
  <c r="O103" i="21"/>
  <c r="AO83" i="24"/>
  <c r="P63" i="21"/>
  <c r="P68" i="21"/>
  <c r="R59" i="25"/>
  <c r="Q70" i="25"/>
  <c r="Q69" i="25" s="1"/>
  <c r="Q93" i="25" s="1"/>
  <c r="R39" i="25"/>
  <c r="X114" i="24"/>
  <c r="X56" i="24"/>
  <c r="Y41" i="24"/>
  <c r="Y89" i="24" s="1"/>
  <c r="CM51" i="24"/>
  <c r="CM117" i="24" s="1"/>
  <c r="CM105" i="24"/>
  <c r="CN101" i="24" s="1"/>
  <c r="V46" i="19" l="1"/>
  <c r="V83" i="19" s="1"/>
  <c r="V90" i="19"/>
  <c r="W87" i="19" s="1"/>
  <c r="O105" i="21"/>
  <c r="O108" i="21" s="1"/>
  <c r="O112" i="21" s="1"/>
  <c r="O122" i="21" s="1"/>
  <c r="O124" i="21" s="1"/>
  <c r="O104" i="21"/>
  <c r="O107" i="21" s="1"/>
  <c r="Q39" i="21"/>
  <c r="Q37" i="21"/>
  <c r="R33" i="21" s="1"/>
  <c r="P65" i="21"/>
  <c r="P84" i="21"/>
  <c r="P67" i="21"/>
  <c r="AO42" i="24"/>
  <c r="AO63" i="24" s="1"/>
  <c r="AO77" i="24"/>
  <c r="X116" i="24"/>
  <c r="T132" i="25" s="1"/>
  <c r="R40" i="25"/>
  <c r="S33" i="25" s="1"/>
  <c r="S35" i="25"/>
  <c r="Q74" i="25"/>
  <c r="Q71" i="25"/>
  <c r="Q84" i="25" s="1"/>
  <c r="Q73" i="25"/>
  <c r="R42" i="25"/>
  <c r="R92" i="25" s="1"/>
  <c r="Y90" i="24"/>
  <c r="Y91" i="24" s="1"/>
  <c r="Z88" i="24" s="1"/>
  <c r="Y44" i="24"/>
  <c r="Y61" i="24"/>
  <c r="CN107" i="24"/>
  <c r="CN108" i="24" s="1"/>
  <c r="CN103" i="24" s="1"/>
  <c r="W45" i="19" l="1"/>
  <c r="W96" i="19"/>
  <c r="W97" i="19" s="1"/>
  <c r="V54" i="19"/>
  <c r="V55" i="19" s="1"/>
  <c r="V84" i="19"/>
  <c r="W80" i="19" s="1"/>
  <c r="W81" i="19" s="1"/>
  <c r="O111" i="21"/>
  <c r="O109" i="21"/>
  <c r="O113" i="21" s="1"/>
  <c r="Q83" i="21"/>
  <c r="Q43" i="21"/>
  <c r="Q45" i="21" s="1"/>
  <c r="Q40" i="21"/>
  <c r="P78" i="21"/>
  <c r="P69" i="21"/>
  <c r="AO62" i="24"/>
  <c r="AO78" i="24"/>
  <c r="AP75" i="24" s="1"/>
  <c r="AP76" i="24" s="1"/>
  <c r="Q75" i="25"/>
  <c r="R43" i="25"/>
  <c r="R65" i="25" s="1"/>
  <c r="R46" i="25"/>
  <c r="W118" i="24"/>
  <c r="S23" i="25" s="1"/>
  <c r="Z97" i="24"/>
  <c r="Z98" i="24" s="1"/>
  <c r="Y43" i="24"/>
  <c r="Y46" i="24"/>
  <c r="CN104" i="24"/>
  <c r="CN50" i="24" s="1"/>
  <c r="V113" i="19" l="1"/>
  <c r="V56" i="19"/>
  <c r="V115" i="19" s="1"/>
  <c r="R123" i="21" s="1"/>
  <c r="W41" i="19"/>
  <c r="W44" i="19"/>
  <c r="Q59" i="21"/>
  <c r="Q41" i="21"/>
  <c r="Q54" i="21" s="1"/>
  <c r="P85" i="21"/>
  <c r="AP83" i="24"/>
  <c r="AP77" i="24" s="1"/>
  <c r="S60" i="25"/>
  <c r="S62" i="25" s="1"/>
  <c r="R48" i="25"/>
  <c r="R44" i="25"/>
  <c r="R57" i="25" s="1"/>
  <c r="R66" i="25" s="1"/>
  <c r="S47" i="25"/>
  <c r="S34" i="25"/>
  <c r="S31" i="25"/>
  <c r="Y84" i="24"/>
  <c r="Y64" i="24"/>
  <c r="Y66" i="24" s="1"/>
  <c r="CN51" i="24"/>
  <c r="CN117" i="24" s="1"/>
  <c r="CN105" i="24"/>
  <c r="CO101" i="24" s="1"/>
  <c r="W61" i="19" l="1"/>
  <c r="W88" i="19"/>
  <c r="V117" i="19"/>
  <c r="R23" i="21" s="1"/>
  <c r="Q60" i="21"/>
  <c r="P86" i="21"/>
  <c r="Q80" i="21" s="1"/>
  <c r="P88" i="21"/>
  <c r="AP42" i="24"/>
  <c r="AP62" i="24"/>
  <c r="AP78" i="24"/>
  <c r="AQ75" i="24" s="1"/>
  <c r="AQ76" i="24" s="1"/>
  <c r="S64" i="25"/>
  <c r="S61" i="25"/>
  <c r="S63" i="25" s="1"/>
  <c r="R67" i="25"/>
  <c r="S37" i="25"/>
  <c r="S36" i="25"/>
  <c r="S38" i="25" s="1"/>
  <c r="S87" i="25"/>
  <c r="S89" i="25" s="1"/>
  <c r="R70" i="25"/>
  <c r="Y85" i="24"/>
  <c r="Z81" i="24" s="1"/>
  <c r="Z82" i="24" s="1"/>
  <c r="U142" i="25"/>
  <c r="Y54" i="24"/>
  <c r="Y55" i="24" s="1"/>
  <c r="Z45" i="24"/>
  <c r="CO107" i="24"/>
  <c r="W89" i="19" l="1"/>
  <c r="W43" i="19"/>
  <c r="W64" i="19" s="1"/>
  <c r="W66" i="19" s="1"/>
  <c r="R34" i="21"/>
  <c r="R57" i="21"/>
  <c r="R58" i="21" s="1"/>
  <c r="R44" i="21"/>
  <c r="R31" i="21"/>
  <c r="Q61" i="21"/>
  <c r="R56" i="21" s="1"/>
  <c r="Q64" i="21"/>
  <c r="P92" i="21"/>
  <c r="P89" i="21"/>
  <c r="AP63" i="24"/>
  <c r="AQ83" i="24"/>
  <c r="AQ77" i="24"/>
  <c r="S59" i="25"/>
  <c r="R69" i="25"/>
  <c r="R93" i="25" s="1"/>
  <c r="R74" i="25"/>
  <c r="S39" i="25"/>
  <c r="Y114" i="24"/>
  <c r="Y56" i="24"/>
  <c r="Z41" i="24"/>
  <c r="Z89" i="24" s="1"/>
  <c r="CO108" i="24"/>
  <c r="B107" i="24"/>
  <c r="R81" i="21" l="1"/>
  <c r="R82" i="21" s="1"/>
  <c r="R35" i="21"/>
  <c r="W46" i="19"/>
  <c r="W83" i="19" s="1"/>
  <c r="W90" i="19"/>
  <c r="X87" i="19" s="1"/>
  <c r="Q63" i="21"/>
  <c r="Q68" i="21"/>
  <c r="P93" i="21"/>
  <c r="P90" i="21"/>
  <c r="AQ42" i="24"/>
  <c r="AQ78" i="24"/>
  <c r="AR75" i="24" s="1"/>
  <c r="AR76" i="24" s="1"/>
  <c r="AQ62" i="24"/>
  <c r="Y116" i="24"/>
  <c r="U132" i="25" s="1"/>
  <c r="S40" i="25"/>
  <c r="T33" i="25" s="1"/>
  <c r="T35" i="25"/>
  <c r="R71" i="25"/>
  <c r="R84" i="25" s="1"/>
  <c r="R73" i="25"/>
  <c r="S42" i="25"/>
  <c r="S92" i="25" s="1"/>
  <c r="X118" i="24"/>
  <c r="T23" i="25" s="1"/>
  <c r="Z90" i="24"/>
  <c r="Z91" i="24" s="1"/>
  <c r="AA88" i="24" s="1"/>
  <c r="Z44" i="24"/>
  <c r="Z61" i="24"/>
  <c r="CO103" i="24"/>
  <c r="B108" i="24"/>
  <c r="B62" i="19"/>
  <c r="B76" i="19"/>
  <c r="B77" i="19" s="1"/>
  <c r="W84" i="19" l="1"/>
  <c r="X80" i="19" s="1"/>
  <c r="X81" i="19" s="1"/>
  <c r="W54" i="19"/>
  <c r="W55" i="19" s="1"/>
  <c r="X96" i="19"/>
  <c r="X45" i="19"/>
  <c r="R36" i="21"/>
  <c r="Q65" i="21"/>
  <c r="Q84" i="21"/>
  <c r="Q67" i="21"/>
  <c r="P103" i="21"/>
  <c r="P94" i="21"/>
  <c r="AQ63" i="24"/>
  <c r="AR83" i="24"/>
  <c r="AR77" i="24"/>
  <c r="T60" i="25"/>
  <c r="T62" i="25" s="1"/>
  <c r="R75" i="25"/>
  <c r="S43" i="25"/>
  <c r="S65" i="25" s="1"/>
  <c r="S46" i="25"/>
  <c r="T47" i="25"/>
  <c r="T34" i="25"/>
  <c r="T31" i="25"/>
  <c r="AA97" i="24"/>
  <c r="AA98" i="24" s="1"/>
  <c r="Z43" i="24"/>
  <c r="Z46" i="24"/>
  <c r="B103" i="24"/>
  <c r="CO104" i="24"/>
  <c r="B82" i="19"/>
  <c r="R39" i="21" l="1"/>
  <c r="R37" i="21"/>
  <c r="S33" i="21" s="1"/>
  <c r="W113" i="19"/>
  <c r="W56" i="19"/>
  <c r="W115" i="19" s="1"/>
  <c r="S123" i="21" s="1"/>
  <c r="X97" i="19"/>
  <c r="Q69" i="21"/>
  <c r="Q78" i="21"/>
  <c r="Q85" i="21" s="1"/>
  <c r="P104" i="21"/>
  <c r="P107" i="21" s="1"/>
  <c r="P105" i="21"/>
  <c r="P108" i="21" s="1"/>
  <c r="P112" i="21" s="1"/>
  <c r="P122" i="21" s="1"/>
  <c r="P124" i="21" s="1"/>
  <c r="AR42" i="24"/>
  <c r="AR78" i="24"/>
  <c r="AS75" i="24" s="1"/>
  <c r="AS76" i="24" s="1"/>
  <c r="AR62" i="24"/>
  <c r="T37" i="25"/>
  <c r="T36" i="25"/>
  <c r="T38" i="25" s="1"/>
  <c r="T87" i="25"/>
  <c r="T89" i="25" s="1"/>
  <c r="S48" i="25"/>
  <c r="S44" i="25"/>
  <c r="S57" i="25" s="1"/>
  <c r="S66" i="25" s="1"/>
  <c r="T64" i="25" s="1"/>
  <c r="Z84" i="24"/>
  <c r="Z64" i="24"/>
  <c r="Z66" i="24" s="1"/>
  <c r="CO50" i="24"/>
  <c r="B104" i="24"/>
  <c r="CO105" i="24"/>
  <c r="B63" i="19"/>
  <c r="B42" i="19"/>
  <c r="R40" i="21" l="1"/>
  <c r="R83" i="21"/>
  <c r="R43" i="21"/>
  <c r="R45" i="21" s="1"/>
  <c r="X41" i="19"/>
  <c r="X44" i="19"/>
  <c r="W117" i="19"/>
  <c r="S23" i="21" s="1"/>
  <c r="P109" i="21"/>
  <c r="P113" i="21" s="1"/>
  <c r="P111" i="21"/>
  <c r="Q86" i="21"/>
  <c r="R80" i="21" s="1"/>
  <c r="Q88" i="21"/>
  <c r="AR63" i="24"/>
  <c r="AS83" i="24"/>
  <c r="AS77" i="24" s="1"/>
  <c r="T61" i="25"/>
  <c r="T63" i="25" s="1"/>
  <c r="S67" i="25"/>
  <c r="S70" i="25"/>
  <c r="Z85" i="24"/>
  <c r="AA81" i="24" s="1"/>
  <c r="AA82" i="24" s="1"/>
  <c r="V142" i="25"/>
  <c r="T39" i="25"/>
  <c r="Z54" i="24"/>
  <c r="Z55" i="24" s="1"/>
  <c r="AA45" i="24"/>
  <c r="CO51" i="24"/>
  <c r="B51" i="24" s="1"/>
  <c r="B50" i="24"/>
  <c r="R59" i="21" l="1"/>
  <c r="R41" i="21"/>
  <c r="R54" i="21" s="1"/>
  <c r="R60" i="21" s="1"/>
  <c r="R64" i="21" s="1"/>
  <c r="X61" i="19"/>
  <c r="X88" i="19"/>
  <c r="S31" i="21"/>
  <c r="S57" i="21"/>
  <c r="S58" i="21" s="1"/>
  <c r="S34" i="21"/>
  <c r="S44" i="21"/>
  <c r="Q89" i="21"/>
  <c r="Q92" i="21"/>
  <c r="AS42" i="24"/>
  <c r="AS62" i="24"/>
  <c r="AS78" i="24"/>
  <c r="AT75" i="24" s="1"/>
  <c r="AT76" i="24" s="1"/>
  <c r="T40" i="25"/>
  <c r="U33" i="25" s="1"/>
  <c r="U35" i="25"/>
  <c r="T59" i="25"/>
  <c r="S69" i="25"/>
  <c r="S93" i="25" s="1"/>
  <c r="S74" i="25"/>
  <c r="T42" i="25"/>
  <c r="T92" i="25" s="1"/>
  <c r="Y118" i="24"/>
  <c r="U23" i="25" s="1"/>
  <c r="CO117" i="24"/>
  <c r="AA41" i="24"/>
  <c r="AA89" i="24" s="1"/>
  <c r="Z114" i="24"/>
  <c r="Z56" i="24"/>
  <c r="R61" i="21" l="1"/>
  <c r="S56" i="21" s="1"/>
  <c r="R63" i="21"/>
  <c r="R68" i="21"/>
  <c r="X89" i="19"/>
  <c r="X43" i="19"/>
  <c r="X64" i="19" s="1"/>
  <c r="X66" i="19" s="1"/>
  <c r="S81" i="21"/>
  <c r="S82" i="21" s="1"/>
  <c r="S35" i="21"/>
  <c r="S36" i="21" s="1"/>
  <c r="Q90" i="21"/>
  <c r="Q93" i="21"/>
  <c r="AS63" i="24"/>
  <c r="AT83" i="24"/>
  <c r="AT77" i="24"/>
  <c r="Z116" i="24"/>
  <c r="V132" i="25" s="1"/>
  <c r="T43" i="25"/>
  <c r="T65" i="25" s="1"/>
  <c r="U60" i="25"/>
  <c r="U62" i="25" s="1"/>
  <c r="S71" i="25"/>
  <c r="S84" i="25" s="1"/>
  <c r="S73" i="25"/>
  <c r="T46" i="25"/>
  <c r="U47" i="25"/>
  <c r="U34" i="25"/>
  <c r="U31" i="25"/>
  <c r="B117" i="24"/>
  <c r="AA90" i="24"/>
  <c r="AA91" i="24" s="1"/>
  <c r="AB88" i="24" s="1"/>
  <c r="AA44" i="24"/>
  <c r="AA61" i="24"/>
  <c r="R65" i="21" l="1"/>
  <c r="R84" i="21"/>
  <c r="R67" i="21"/>
  <c r="X46" i="19"/>
  <c r="X83" i="19" s="1"/>
  <c r="X90" i="19"/>
  <c r="Y87" i="19" s="1"/>
  <c r="S37" i="21"/>
  <c r="T33" i="21" s="1"/>
  <c r="S39" i="21"/>
  <c r="Q94" i="21"/>
  <c r="Q103" i="21"/>
  <c r="AT42" i="24"/>
  <c r="AT78" i="24"/>
  <c r="AU75" i="24" s="1"/>
  <c r="AU76" i="24" s="1"/>
  <c r="AT62" i="24"/>
  <c r="U37" i="25"/>
  <c r="U36" i="25"/>
  <c r="U38" i="25" s="1"/>
  <c r="U87" i="25"/>
  <c r="U89" i="25" s="1"/>
  <c r="T44" i="25"/>
  <c r="T57" i="25" s="1"/>
  <c r="T66" i="25" s="1"/>
  <c r="U64" i="25" s="1"/>
  <c r="S75" i="25"/>
  <c r="T48" i="25"/>
  <c r="AB97" i="24"/>
  <c r="AB98" i="24" s="1"/>
  <c r="AA43" i="24"/>
  <c r="AA46" i="24"/>
  <c r="R78" i="21" l="1"/>
  <c r="R85" i="21" s="1"/>
  <c r="R69" i="21"/>
  <c r="X84" i="19"/>
  <c r="Y80" i="19" s="1"/>
  <c r="Y81" i="19" s="1"/>
  <c r="X54" i="19"/>
  <c r="X55" i="19" s="1"/>
  <c r="Y45" i="19"/>
  <c r="Y96" i="19"/>
  <c r="S83" i="21"/>
  <c r="S43" i="21"/>
  <c r="S45" i="21" s="1"/>
  <c r="S40" i="21"/>
  <c r="Q105" i="21"/>
  <c r="Q108" i="21" s="1"/>
  <c r="Q112" i="21" s="1"/>
  <c r="Q122" i="21" s="1"/>
  <c r="Q124" i="21" s="1"/>
  <c r="Q104" i="21"/>
  <c r="Q107" i="21" s="1"/>
  <c r="AT63" i="24"/>
  <c r="AU83" i="24"/>
  <c r="AU77" i="24"/>
  <c r="U61" i="25"/>
  <c r="U63" i="25" s="1"/>
  <c r="T67" i="25"/>
  <c r="U39" i="25"/>
  <c r="AA84" i="24"/>
  <c r="AA64" i="24"/>
  <c r="AA66" i="24" s="1"/>
  <c r="R86" i="21" l="1"/>
  <c r="S80" i="21" s="1"/>
  <c r="R88" i="21"/>
  <c r="Y97" i="19"/>
  <c r="X113" i="19"/>
  <c r="X56" i="19"/>
  <c r="X115" i="19" s="1"/>
  <c r="S41" i="21"/>
  <c r="S54" i="21" s="1"/>
  <c r="S59" i="21"/>
  <c r="Q111" i="21"/>
  <c r="Q109" i="21"/>
  <c r="Q113" i="21" s="1"/>
  <c r="AU42" i="24"/>
  <c r="AU78" i="24"/>
  <c r="AV75" i="24" s="1"/>
  <c r="AV76" i="24" s="1"/>
  <c r="AU62" i="24"/>
  <c r="U40" i="25"/>
  <c r="V33" i="25" s="1"/>
  <c r="V35" i="25"/>
  <c r="U59" i="25"/>
  <c r="T70" i="25"/>
  <c r="T74" i="25" s="1"/>
  <c r="AA85" i="24"/>
  <c r="AB81" i="24" s="1"/>
  <c r="AB82" i="24" s="1"/>
  <c r="W142" i="25"/>
  <c r="U42" i="25"/>
  <c r="U92" i="25" s="1"/>
  <c r="AA54" i="24"/>
  <c r="AA55" i="24" s="1"/>
  <c r="AB45" i="24"/>
  <c r="R89" i="21" l="1"/>
  <c r="R92" i="21"/>
  <c r="Y41" i="19"/>
  <c r="Y44" i="19"/>
  <c r="T123" i="21"/>
  <c r="X117" i="19"/>
  <c r="T23" i="21" s="1"/>
  <c r="S60" i="21"/>
  <c r="AU63" i="24"/>
  <c r="AV83" i="24"/>
  <c r="AV77" i="24" s="1"/>
  <c r="T69" i="25"/>
  <c r="T93" i="25" s="1"/>
  <c r="U43" i="25"/>
  <c r="U65" i="25" s="1"/>
  <c r="U46" i="25"/>
  <c r="Z118" i="24"/>
  <c r="V23" i="25" s="1"/>
  <c r="AB41" i="24"/>
  <c r="AB89" i="24" s="1"/>
  <c r="AA114" i="24"/>
  <c r="AA56" i="24"/>
  <c r="R90" i="21" l="1"/>
  <c r="R93" i="21"/>
  <c r="Y88" i="19"/>
  <c r="Y61" i="19"/>
  <c r="T57" i="21"/>
  <c r="T58" i="21" s="1"/>
  <c r="T31" i="21"/>
  <c r="T44" i="21"/>
  <c r="T34" i="21"/>
  <c r="S64" i="21"/>
  <c r="S61" i="21"/>
  <c r="T56" i="21" s="1"/>
  <c r="AV42" i="24"/>
  <c r="AV62" i="24"/>
  <c r="AV78" i="24"/>
  <c r="AW75" i="24" s="1"/>
  <c r="AW76" i="24" s="1"/>
  <c r="AA116" i="24"/>
  <c r="W132" i="25" s="1"/>
  <c r="T71" i="25"/>
  <c r="T75" i="25" s="1"/>
  <c r="T73" i="25"/>
  <c r="V60" i="25"/>
  <c r="V62" i="25" s="1"/>
  <c r="U48" i="25"/>
  <c r="U44" i="25"/>
  <c r="U57" i="25" s="1"/>
  <c r="U66" i="25" s="1"/>
  <c r="V47" i="25"/>
  <c r="V34" i="25"/>
  <c r="V31" i="25"/>
  <c r="AB90" i="24"/>
  <c r="AB91" i="24" s="1"/>
  <c r="AC88" i="24" s="1"/>
  <c r="AB44" i="24"/>
  <c r="AB61" i="24"/>
  <c r="S68" i="21" l="1"/>
  <c r="S63" i="21"/>
  <c r="S84" i="21" s="1"/>
  <c r="R94" i="21"/>
  <c r="R103" i="21"/>
  <c r="Y89" i="19"/>
  <c r="Y43" i="19"/>
  <c r="Y64" i="19" s="1"/>
  <c r="Y66" i="19" s="1"/>
  <c r="T81" i="21"/>
  <c r="T82" i="21" s="1"/>
  <c r="T35" i="21"/>
  <c r="AV63" i="24"/>
  <c r="AW62" i="24"/>
  <c r="AW83" i="24"/>
  <c r="AW77" i="24"/>
  <c r="AW78" i="24" s="1"/>
  <c r="AX75" i="24" s="1"/>
  <c r="AX76" i="24" s="1"/>
  <c r="V64" i="25"/>
  <c r="V61" i="25"/>
  <c r="V63" i="25" s="1"/>
  <c r="U67" i="25"/>
  <c r="V59" i="25" s="1"/>
  <c r="V37" i="25"/>
  <c r="V36" i="25"/>
  <c r="V38" i="25" s="1"/>
  <c r="V87" i="25"/>
  <c r="V89" i="25" s="1"/>
  <c r="T84" i="25"/>
  <c r="AC97" i="24"/>
  <c r="AC98" i="24" s="1"/>
  <c r="AB43" i="24"/>
  <c r="AB46" i="24"/>
  <c r="S65" i="21" l="1"/>
  <c r="S67" i="21"/>
  <c r="T36" i="21"/>
  <c r="R105" i="21"/>
  <c r="R108" i="21" s="1"/>
  <c r="R112" i="21" s="1"/>
  <c r="R122" i="21" s="1"/>
  <c r="R124" i="21" s="1"/>
  <c r="R104" i="21"/>
  <c r="R107" i="21" s="1"/>
  <c r="Y90" i="19"/>
  <c r="Z87" i="19" s="1"/>
  <c r="Y46" i="19"/>
  <c r="Y83" i="19" s="1"/>
  <c r="AW42" i="24"/>
  <c r="AX83" i="24"/>
  <c r="U70" i="25"/>
  <c r="U69" i="25" s="1"/>
  <c r="U93" i="25" s="1"/>
  <c r="V39" i="25"/>
  <c r="AB84" i="24"/>
  <c r="AB64" i="24"/>
  <c r="AB66" i="24" s="1"/>
  <c r="T39" i="21" l="1"/>
  <c r="T37" i="21"/>
  <c r="U33" i="21" s="1"/>
  <c r="S78" i="21"/>
  <c r="S85" i="21" s="1"/>
  <c r="S69" i="21"/>
  <c r="R109" i="21"/>
  <c r="R113" i="21" s="1"/>
  <c r="R111" i="21"/>
  <c r="Z45" i="19"/>
  <c r="Z96" i="19"/>
  <c r="Z97" i="19" s="1"/>
  <c r="Y54" i="19"/>
  <c r="Y55" i="19" s="1"/>
  <c r="Y84" i="19"/>
  <c r="Z80" i="19" s="1"/>
  <c r="Z81" i="19" s="1"/>
  <c r="AW63" i="24"/>
  <c r="AX42" i="24"/>
  <c r="AX63" i="24" s="1"/>
  <c r="AX77" i="24"/>
  <c r="V40" i="25"/>
  <c r="W33" i="25" s="1"/>
  <c r="W35" i="25"/>
  <c r="U74" i="25"/>
  <c r="AB85" i="24"/>
  <c r="AC81" i="24" s="1"/>
  <c r="AC82" i="24" s="1"/>
  <c r="X142" i="25"/>
  <c r="U71" i="25"/>
  <c r="U84" i="25" s="1"/>
  <c r="U73" i="25"/>
  <c r="V42" i="25"/>
  <c r="V92" i="25" s="1"/>
  <c r="AC45" i="24"/>
  <c r="AC41" i="24"/>
  <c r="AC89" i="24" s="1"/>
  <c r="AB54" i="24"/>
  <c r="AB55" i="24" s="1"/>
  <c r="T43" i="21" l="1"/>
  <c r="T45" i="21" s="1"/>
  <c r="T83" i="21"/>
  <c r="T40" i="21"/>
  <c r="S86" i="21"/>
  <c r="T80" i="21" s="1"/>
  <c r="S88" i="21"/>
  <c r="Y113" i="19"/>
  <c r="Y56" i="19"/>
  <c r="Y115" i="19" s="1"/>
  <c r="U123" i="21" s="1"/>
  <c r="Z41" i="19"/>
  <c r="Z44" i="19"/>
  <c r="AX62" i="24"/>
  <c r="AX78" i="24"/>
  <c r="AY75" i="24" s="1"/>
  <c r="AY76" i="24" s="1"/>
  <c r="U75" i="25"/>
  <c r="V43" i="25"/>
  <c r="V65" i="25" s="1"/>
  <c r="V46" i="25"/>
  <c r="AA118" i="24"/>
  <c r="W23" i="25" s="1"/>
  <c r="AC90" i="24"/>
  <c r="AC91" i="24" s="1"/>
  <c r="AD88" i="24" s="1"/>
  <c r="AC44" i="24"/>
  <c r="AB114" i="24"/>
  <c r="AB56" i="24"/>
  <c r="AC61" i="24"/>
  <c r="T59" i="21" l="1"/>
  <c r="T41" i="21"/>
  <c r="T54" i="21" s="1"/>
  <c r="S89" i="21"/>
  <c r="S92" i="21"/>
  <c r="Z88" i="19"/>
  <c r="Z61" i="19"/>
  <c r="Y117" i="19"/>
  <c r="U23" i="21" s="1"/>
  <c r="AY83" i="24"/>
  <c r="AY77" i="24" s="1"/>
  <c r="AB116" i="24"/>
  <c r="X132" i="25" s="1"/>
  <c r="W60" i="25"/>
  <c r="W62" i="25" s="1"/>
  <c r="V48" i="25"/>
  <c r="V44" i="25"/>
  <c r="V57" i="25" s="1"/>
  <c r="V66" i="25" s="1"/>
  <c r="W47" i="25"/>
  <c r="W34" i="25"/>
  <c r="W31" i="25"/>
  <c r="AD97" i="24"/>
  <c r="AD98" i="24" s="1"/>
  <c r="AC43" i="24"/>
  <c r="AC46" i="24"/>
  <c r="T60" i="21" l="1"/>
  <c r="S90" i="21"/>
  <c r="S93" i="21"/>
  <c r="Z89" i="19"/>
  <c r="Z43" i="19"/>
  <c r="Z64" i="19" s="1"/>
  <c r="Z66" i="19" s="1"/>
  <c r="U44" i="21"/>
  <c r="U31" i="21"/>
  <c r="U34" i="21"/>
  <c r="U57" i="21"/>
  <c r="U58" i="21" s="1"/>
  <c r="AY42" i="24"/>
  <c r="AY62" i="24"/>
  <c r="AY78" i="24"/>
  <c r="AZ75" i="24" s="1"/>
  <c r="AZ76" i="24" s="1"/>
  <c r="W64" i="25"/>
  <c r="W61" i="25"/>
  <c r="W63" i="25" s="1"/>
  <c r="V67" i="25"/>
  <c r="W37" i="25"/>
  <c r="W36" i="25"/>
  <c r="W38" i="25" s="1"/>
  <c r="W87" i="25"/>
  <c r="W89" i="25" s="1"/>
  <c r="AC84" i="24"/>
  <c r="AC64" i="24"/>
  <c r="AC66" i="24" s="1"/>
  <c r="T64" i="21" l="1"/>
  <c r="T61" i="21"/>
  <c r="U56" i="21" s="1"/>
  <c r="S94" i="21"/>
  <c r="S103" i="21"/>
  <c r="Z46" i="19"/>
  <c r="Z83" i="19" s="1"/>
  <c r="Z90" i="19"/>
  <c r="AA87" i="19" s="1"/>
  <c r="U35" i="21"/>
  <c r="U81" i="21"/>
  <c r="U82" i="21" s="1"/>
  <c r="AY63" i="24"/>
  <c r="AZ83" i="24"/>
  <c r="AZ77" i="24" s="1"/>
  <c r="V70" i="25"/>
  <c r="V69" i="25" s="1"/>
  <c r="V93" i="25" s="1"/>
  <c r="W59" i="25"/>
  <c r="AC85" i="24"/>
  <c r="AD81" i="24" s="1"/>
  <c r="AD82" i="24" s="1"/>
  <c r="Y142" i="25"/>
  <c r="W39" i="25"/>
  <c r="AC54" i="24"/>
  <c r="AC55" i="24" s="1"/>
  <c r="AD45" i="24"/>
  <c r="T63" i="21" l="1"/>
  <c r="T68" i="21"/>
  <c r="S104" i="21"/>
  <c r="S107" i="21" s="1"/>
  <c r="S105" i="21"/>
  <c r="S108" i="21" s="1"/>
  <c r="S112" i="21" s="1"/>
  <c r="S122" i="21" s="1"/>
  <c r="S124" i="21" s="1"/>
  <c r="Z54" i="19"/>
  <c r="Z55" i="19" s="1"/>
  <c r="Z84" i="19"/>
  <c r="AA80" i="19" s="1"/>
  <c r="AA81" i="19" s="1"/>
  <c r="AA45" i="19"/>
  <c r="AA96" i="19"/>
  <c r="U36" i="21"/>
  <c r="AZ42" i="24"/>
  <c r="AZ62" i="24"/>
  <c r="AZ78" i="24"/>
  <c r="BA75" i="24" s="1"/>
  <c r="BA76" i="24" s="1"/>
  <c r="W40" i="25"/>
  <c r="X33" i="25" s="1"/>
  <c r="X35" i="25"/>
  <c r="V74" i="25"/>
  <c r="V71" i="25"/>
  <c r="V84" i="25" s="1"/>
  <c r="V73" i="25"/>
  <c r="W42" i="25"/>
  <c r="W92" i="25" s="1"/>
  <c r="AB118" i="24"/>
  <c r="X23" i="25" s="1"/>
  <c r="AC114" i="24"/>
  <c r="AC56" i="24"/>
  <c r="AD41" i="24"/>
  <c r="AD89" i="24" s="1"/>
  <c r="T84" i="21" l="1"/>
  <c r="T65" i="21"/>
  <c r="T67" i="21"/>
  <c r="S111" i="21"/>
  <c r="S109" i="21"/>
  <c r="S113" i="21" s="1"/>
  <c r="U39" i="21"/>
  <c r="U37" i="21"/>
  <c r="V33" i="21" s="1"/>
  <c r="Z113" i="19"/>
  <c r="Z56" i="19"/>
  <c r="Z115" i="19" s="1"/>
  <c r="V123" i="21" s="1"/>
  <c r="AA97" i="19"/>
  <c r="AZ63" i="24"/>
  <c r="BA83" i="24"/>
  <c r="BA77" i="24" s="1"/>
  <c r="AC116" i="24"/>
  <c r="Y132" i="25" s="1"/>
  <c r="V75" i="25"/>
  <c r="X60" i="25"/>
  <c r="X62" i="25" s="1"/>
  <c r="X47" i="25"/>
  <c r="X34" i="25"/>
  <c r="W43" i="25"/>
  <c r="W65" i="25" s="1"/>
  <c r="W46" i="25"/>
  <c r="X31" i="25"/>
  <c r="AD90" i="24"/>
  <c r="AD91" i="24" s="1"/>
  <c r="AE88" i="24" s="1"/>
  <c r="AD44" i="24"/>
  <c r="AD61" i="24"/>
  <c r="T78" i="21" l="1"/>
  <c r="T85" i="21" s="1"/>
  <c r="T69" i="21"/>
  <c r="U83" i="21"/>
  <c r="U40" i="21"/>
  <c r="U43" i="21"/>
  <c r="U45" i="21" s="1"/>
  <c r="AA41" i="19"/>
  <c r="AA44" i="19"/>
  <c r="Z117" i="19"/>
  <c r="V23" i="21" s="1"/>
  <c r="BA42" i="24"/>
  <c r="BA62" i="24"/>
  <c r="BA78" i="24"/>
  <c r="BB75" i="24" s="1"/>
  <c r="BB76" i="24" s="1"/>
  <c r="X37" i="25"/>
  <c r="X36" i="25"/>
  <c r="X38" i="25" s="1"/>
  <c r="X87" i="25"/>
  <c r="X89" i="25" s="1"/>
  <c r="W48" i="25"/>
  <c r="W44" i="25"/>
  <c r="W57" i="25" s="1"/>
  <c r="W66" i="25" s="1"/>
  <c r="X64" i="25" s="1"/>
  <c r="AE97" i="24"/>
  <c r="AE98" i="24" s="1"/>
  <c r="AD43" i="24"/>
  <c r="AD46" i="24"/>
  <c r="T88" i="21" l="1"/>
  <c r="T86" i="21"/>
  <c r="U80" i="21" s="1"/>
  <c r="AA61" i="19"/>
  <c r="AA88" i="19"/>
  <c r="U59" i="21"/>
  <c r="U41" i="21"/>
  <c r="U54" i="21" s="1"/>
  <c r="U60" i="21" s="1"/>
  <c r="U64" i="21" s="1"/>
  <c r="V34" i="21"/>
  <c r="V57" i="21"/>
  <c r="V58" i="21" s="1"/>
  <c r="V31" i="21"/>
  <c r="V44" i="21"/>
  <c r="BA63" i="24"/>
  <c r="BB83" i="24"/>
  <c r="BB77" i="24"/>
  <c r="BB78" i="24" s="1"/>
  <c r="BC75" i="24" s="1"/>
  <c r="BC76" i="24" s="1"/>
  <c r="BB62" i="24"/>
  <c r="X61" i="25"/>
  <c r="X63" i="25" s="1"/>
  <c r="W67" i="25"/>
  <c r="W70" i="25"/>
  <c r="X39" i="25"/>
  <c r="AD84" i="24"/>
  <c r="AD64" i="24"/>
  <c r="AD66" i="24" s="1"/>
  <c r="T89" i="21" l="1"/>
  <c r="T92" i="21"/>
  <c r="AA43" i="19"/>
  <c r="AA64" i="19" s="1"/>
  <c r="AA66" i="19" s="1"/>
  <c r="AA89" i="19"/>
  <c r="U61" i="21"/>
  <c r="V56" i="21" s="1"/>
  <c r="U63" i="21"/>
  <c r="U68" i="21"/>
  <c r="V35" i="21"/>
  <c r="V81" i="21"/>
  <c r="V82" i="21" s="1"/>
  <c r="BB42" i="24"/>
  <c r="BC77" i="24"/>
  <c r="BC83" i="24"/>
  <c r="BC42" i="24" s="1"/>
  <c r="BC63" i="24" s="1"/>
  <c r="X40" i="25"/>
  <c r="Y33" i="25" s="1"/>
  <c r="Y35" i="25"/>
  <c r="X59" i="25"/>
  <c r="AD85" i="24"/>
  <c r="AE81" i="24" s="1"/>
  <c r="AE82" i="24" s="1"/>
  <c r="Z142" i="25"/>
  <c r="W69" i="25"/>
  <c r="W93" i="25" s="1"/>
  <c r="W74" i="25"/>
  <c r="X42" i="25"/>
  <c r="X92" i="25" s="1"/>
  <c r="AC118" i="24"/>
  <c r="Y23" i="25" s="1"/>
  <c r="AD54" i="24"/>
  <c r="AD55" i="24" s="1"/>
  <c r="AE45" i="24"/>
  <c r="T90" i="21" l="1"/>
  <c r="T93" i="21"/>
  <c r="AA90" i="19"/>
  <c r="AB87" i="19" s="1"/>
  <c r="AA46" i="19"/>
  <c r="AA83" i="19" s="1"/>
  <c r="U65" i="21"/>
  <c r="U84" i="21"/>
  <c r="U67" i="21"/>
  <c r="V36" i="21"/>
  <c r="BB63" i="24"/>
  <c r="BC78" i="24"/>
  <c r="BD75" i="24" s="1"/>
  <c r="BD76" i="24" s="1"/>
  <c r="BC62" i="24"/>
  <c r="X46" i="25"/>
  <c r="X48" i="25" s="1"/>
  <c r="Y60" i="25"/>
  <c r="Y62" i="25" s="1"/>
  <c r="W71" i="25"/>
  <c r="W84" i="25" s="1"/>
  <c r="W73" i="25"/>
  <c r="X43" i="25"/>
  <c r="Y47" i="25"/>
  <c r="Y34" i="25"/>
  <c r="Y31" i="25"/>
  <c r="AE41" i="24"/>
  <c r="AE89" i="24" s="1"/>
  <c r="AD114" i="24"/>
  <c r="AD56" i="24"/>
  <c r="T103" i="21" l="1"/>
  <c r="T94" i="21"/>
  <c r="AB96" i="19"/>
  <c r="AB97" i="19" s="1"/>
  <c r="AB45" i="19"/>
  <c r="AA54" i="19"/>
  <c r="AA55" i="19" s="1"/>
  <c r="AA84" i="19"/>
  <c r="AB80" i="19" s="1"/>
  <c r="AB81" i="19" s="1"/>
  <c r="U78" i="21"/>
  <c r="U85" i="21" s="1"/>
  <c r="U69" i="21"/>
  <c r="V39" i="21"/>
  <c r="V43" i="21" s="1"/>
  <c r="V45" i="21" s="1"/>
  <c r="V37" i="21"/>
  <c r="W33" i="21" s="1"/>
  <c r="BD83" i="24"/>
  <c r="BD77" i="24"/>
  <c r="AD116" i="24"/>
  <c r="Z132" i="25" s="1"/>
  <c r="Y37" i="25"/>
  <c r="Y36" i="25"/>
  <c r="Y38" i="25" s="1"/>
  <c r="Y87" i="25"/>
  <c r="Y89" i="25" s="1"/>
  <c r="W75" i="25"/>
  <c r="X44" i="25"/>
  <c r="X57" i="25" s="1"/>
  <c r="X65" i="25"/>
  <c r="AE90" i="24"/>
  <c r="AE91" i="24" s="1"/>
  <c r="AF88" i="24" s="1"/>
  <c r="AE44" i="24"/>
  <c r="AE61" i="24"/>
  <c r="T104" i="21" l="1"/>
  <c r="T107" i="21" s="1"/>
  <c r="T105" i="21"/>
  <c r="T108" i="21" s="1"/>
  <c r="T112" i="21" s="1"/>
  <c r="T122" i="21" s="1"/>
  <c r="T124" i="21" s="1"/>
  <c r="AA56" i="19"/>
  <c r="AA115" i="19" s="1"/>
  <c r="W123" i="21" s="1"/>
  <c r="AA113" i="19"/>
  <c r="U86" i="21"/>
  <c r="V80" i="21" s="1"/>
  <c r="U88" i="21"/>
  <c r="V40" i="21"/>
  <c r="V83" i="21"/>
  <c r="AB41" i="19"/>
  <c r="AB44" i="19"/>
  <c r="BD42" i="24"/>
  <c r="BD78" i="24"/>
  <c r="BE75" i="24" s="1"/>
  <c r="BE76" i="24" s="1"/>
  <c r="BD62" i="24"/>
  <c r="X66" i="25"/>
  <c r="Y64" i="25" s="1"/>
  <c r="Y39" i="25"/>
  <c r="AF97" i="24"/>
  <c r="AF98" i="24" s="1"/>
  <c r="AE43" i="24"/>
  <c r="AE46" i="24"/>
  <c r="T111" i="21" l="1"/>
  <c r="T109" i="21"/>
  <c r="T113" i="21" s="1"/>
  <c r="AA117" i="19"/>
  <c r="W23" i="21" s="1"/>
  <c r="W57" i="21" s="1"/>
  <c r="W58" i="21" s="1"/>
  <c r="U89" i="21"/>
  <c r="U92" i="21"/>
  <c r="V59" i="21"/>
  <c r="V41" i="21"/>
  <c r="V54" i="21" s="1"/>
  <c r="AB61" i="19"/>
  <c r="AB88" i="19"/>
  <c r="BD63" i="24"/>
  <c r="BE83" i="24"/>
  <c r="BE77" i="24" s="1"/>
  <c r="Y61" i="25"/>
  <c r="Y63" i="25" s="1"/>
  <c r="Y40" i="25"/>
  <c r="Z33" i="25" s="1"/>
  <c r="Z35" i="25"/>
  <c r="X67" i="25"/>
  <c r="Y59" i="25" s="1"/>
  <c r="X70" i="25"/>
  <c r="X74" i="25" s="1"/>
  <c r="Y42" i="25"/>
  <c r="Y92" i="25" s="1"/>
  <c r="AD118" i="24"/>
  <c r="Z23" i="25" s="1"/>
  <c r="AE84" i="24"/>
  <c r="AE64" i="24"/>
  <c r="AE66" i="24" s="1"/>
  <c r="W34" i="21" l="1"/>
  <c r="W31" i="21"/>
  <c r="W44" i="21"/>
  <c r="V60" i="21"/>
  <c r="U93" i="21"/>
  <c r="U90" i="21"/>
  <c r="AB43" i="19"/>
  <c r="AB64" i="19" s="1"/>
  <c r="AB66" i="19" s="1"/>
  <c r="AB89" i="19"/>
  <c r="BE42" i="24"/>
  <c r="BE62" i="24"/>
  <c r="BE78" i="24"/>
  <c r="BF75" i="24" s="1"/>
  <c r="BF76" i="24" s="1"/>
  <c r="X69" i="25"/>
  <c r="X93" i="25" s="1"/>
  <c r="Z60" i="25"/>
  <c r="Z62" i="25" s="1"/>
  <c r="AE85" i="24"/>
  <c r="AF81" i="24" s="1"/>
  <c r="AF82" i="24" s="1"/>
  <c r="AA142" i="25"/>
  <c r="Y43" i="25"/>
  <c r="Y65" i="25" s="1"/>
  <c r="Y46" i="25"/>
  <c r="Z47" i="25"/>
  <c r="Z34" i="25"/>
  <c r="Z31" i="25"/>
  <c r="AE54" i="24"/>
  <c r="AE55" i="24" s="1"/>
  <c r="AF45" i="24"/>
  <c r="W81" i="21" l="1"/>
  <c r="W82" i="21" s="1"/>
  <c r="W35" i="21"/>
  <c r="W36" i="21" s="1"/>
  <c r="AB46" i="19"/>
  <c r="AB83" i="19" s="1"/>
  <c r="AB90" i="19"/>
  <c r="AC87" i="19" s="1"/>
  <c r="V64" i="21"/>
  <c r="V61" i="21"/>
  <c r="W56" i="21" s="1"/>
  <c r="U94" i="21"/>
  <c r="U103" i="21"/>
  <c r="BE63" i="24"/>
  <c r="BF83" i="24"/>
  <c r="BF77" i="24" s="1"/>
  <c r="Z37" i="25"/>
  <c r="Z36" i="25"/>
  <c r="Z38" i="25" s="1"/>
  <c r="Z87" i="25"/>
  <c r="Z89" i="25" s="1"/>
  <c r="X73" i="25"/>
  <c r="X71" i="25"/>
  <c r="Y48" i="25"/>
  <c r="Y44" i="25"/>
  <c r="Y57" i="25" s="1"/>
  <c r="Y66" i="25" s="1"/>
  <c r="Z64" i="25" s="1"/>
  <c r="AE114" i="24"/>
  <c r="AE56" i="24"/>
  <c r="AF41" i="24"/>
  <c r="AF89" i="24" s="1"/>
  <c r="AB84" i="19" l="1"/>
  <c r="AC80" i="19" s="1"/>
  <c r="AC81" i="19" s="1"/>
  <c r="AB54" i="19"/>
  <c r="AB55" i="19" s="1"/>
  <c r="AC45" i="19"/>
  <c r="AC96" i="19"/>
  <c r="AC97" i="19" s="1"/>
  <c r="V63" i="21"/>
  <c r="V68" i="21"/>
  <c r="U104" i="21"/>
  <c r="U107" i="21" s="1"/>
  <c r="U105" i="21"/>
  <c r="U108" i="21" s="1"/>
  <c r="U112" i="21" s="1"/>
  <c r="U122" i="21" s="1"/>
  <c r="U124" i="21" s="1"/>
  <c r="W39" i="21"/>
  <c r="W37" i="21"/>
  <c r="X33" i="21" s="1"/>
  <c r="BF42" i="24"/>
  <c r="BF62" i="24"/>
  <c r="BF78" i="24"/>
  <c r="BG75" i="24" s="1"/>
  <c r="BG76" i="24" s="1"/>
  <c r="AE116" i="24"/>
  <c r="AA132" i="25" s="1"/>
  <c r="Z61" i="25"/>
  <c r="Z63" i="25" s="1"/>
  <c r="Y67" i="25"/>
  <c r="X75" i="25"/>
  <c r="X84" i="25"/>
  <c r="Y70" i="25"/>
  <c r="Z39" i="25"/>
  <c r="AF90" i="24"/>
  <c r="AF91" i="24" s="1"/>
  <c r="AG88" i="24" s="1"/>
  <c r="AF44" i="24"/>
  <c r="AF61" i="24"/>
  <c r="AB113" i="19" l="1"/>
  <c r="AB56" i="19"/>
  <c r="AB115" i="19" s="1"/>
  <c r="V84" i="21"/>
  <c r="V67" i="21"/>
  <c r="V65" i="21"/>
  <c r="U111" i="21"/>
  <c r="U109" i="21"/>
  <c r="U113" i="21" s="1"/>
  <c r="AC41" i="19"/>
  <c r="AC44" i="19"/>
  <c r="W83" i="21"/>
  <c r="W40" i="21"/>
  <c r="W43" i="21"/>
  <c r="W45" i="21" s="1"/>
  <c r="BF63" i="24"/>
  <c r="BG83" i="24"/>
  <c r="BG77" i="24" s="1"/>
  <c r="Z40" i="25"/>
  <c r="AA33" i="25" s="1"/>
  <c r="AA35" i="25"/>
  <c r="Z59" i="25"/>
  <c r="Y69" i="25"/>
  <c r="Y93" i="25" s="1"/>
  <c r="Y74" i="25"/>
  <c r="Z42" i="25"/>
  <c r="Z92" i="25" s="1"/>
  <c r="AE118" i="24"/>
  <c r="AA23" i="25" s="1"/>
  <c r="AG97" i="24"/>
  <c r="AG98" i="24" s="1"/>
  <c r="AF43" i="24"/>
  <c r="AF46" i="24"/>
  <c r="X123" i="21" l="1"/>
  <c r="AB117" i="19"/>
  <c r="X23" i="21" s="1"/>
  <c r="V69" i="21"/>
  <c r="V78" i="21"/>
  <c r="V85" i="21" s="1"/>
  <c r="AC61" i="19"/>
  <c r="AC88" i="19"/>
  <c r="W41" i="21"/>
  <c r="W54" i="21" s="1"/>
  <c r="W59" i="21"/>
  <c r="BG42" i="24"/>
  <c r="BG62" i="24"/>
  <c r="BG78" i="24"/>
  <c r="BH75" i="24" s="1"/>
  <c r="BH76" i="24" s="1"/>
  <c r="Z46" i="25"/>
  <c r="Z48" i="25" s="1"/>
  <c r="AA60" i="25"/>
  <c r="AA62" i="25" s="1"/>
  <c r="Y71" i="25"/>
  <c r="Y84" i="25" s="1"/>
  <c r="Y73" i="25"/>
  <c r="Z43" i="25"/>
  <c r="Z65" i="25" s="1"/>
  <c r="AA47" i="25"/>
  <c r="AA34" i="25"/>
  <c r="AA31" i="25"/>
  <c r="AF84" i="24"/>
  <c r="AF64" i="24"/>
  <c r="AF66" i="24" s="1"/>
  <c r="X34" i="21" l="1"/>
  <c r="X57" i="21"/>
  <c r="X58" i="21" s="1"/>
  <c r="X44" i="21"/>
  <c r="X31" i="21"/>
  <c r="V86" i="21"/>
  <c r="W80" i="21" s="1"/>
  <c r="V88" i="21"/>
  <c r="W60" i="21"/>
  <c r="AC43" i="19"/>
  <c r="AC89" i="19"/>
  <c r="BG63" i="24"/>
  <c r="BH83" i="24"/>
  <c r="BH77" i="24"/>
  <c r="AA37" i="25"/>
  <c r="AA36" i="25"/>
  <c r="AA38" i="25" s="1"/>
  <c r="AA87" i="25"/>
  <c r="AA89" i="25" s="1"/>
  <c r="Y75" i="25"/>
  <c r="Z44" i="25"/>
  <c r="Z57" i="25" s="1"/>
  <c r="Z66" i="25" s="1"/>
  <c r="AA64" i="25" s="1"/>
  <c r="AF85" i="24"/>
  <c r="AG81" i="24" s="1"/>
  <c r="AG82" i="24" s="1"/>
  <c r="AB142" i="25"/>
  <c r="AF54" i="24"/>
  <c r="AF55" i="24" s="1"/>
  <c r="AG45" i="24"/>
  <c r="X35" i="21" l="1"/>
  <c r="X36" i="21" s="1"/>
  <c r="X81" i="21"/>
  <c r="X82" i="21" s="1"/>
  <c r="W64" i="21"/>
  <c r="W61" i="21"/>
  <c r="X56" i="21" s="1"/>
  <c r="V92" i="21"/>
  <c r="V89" i="21"/>
  <c r="AC46" i="19"/>
  <c r="AC83" i="19" s="1"/>
  <c r="AC90" i="19"/>
  <c r="AD87" i="19" s="1"/>
  <c r="AC64" i="19"/>
  <c r="AC66" i="19" s="1"/>
  <c r="BH42" i="24"/>
  <c r="BH78" i="24"/>
  <c r="BI75" i="24" s="1"/>
  <c r="BI76" i="24" s="1"/>
  <c r="BH62" i="24"/>
  <c r="AA61" i="25"/>
  <c r="AA63" i="25" s="1"/>
  <c r="Z67" i="25"/>
  <c r="AA39" i="25"/>
  <c r="AF114" i="24"/>
  <c r="AF56" i="24"/>
  <c r="AG41" i="24"/>
  <c r="AG89" i="24" s="1"/>
  <c r="W68" i="21" l="1"/>
  <c r="W63" i="21"/>
  <c r="V93" i="21"/>
  <c r="V90" i="21"/>
  <c r="AD96" i="19"/>
  <c r="AD45" i="19"/>
  <c r="AC84" i="19"/>
  <c r="AD80" i="19" s="1"/>
  <c r="AD81" i="19" s="1"/>
  <c r="AC54" i="19"/>
  <c r="AC55" i="19" s="1"/>
  <c r="X39" i="21"/>
  <c r="X83" i="21" s="1"/>
  <c r="X37" i="21"/>
  <c r="Y33" i="21" s="1"/>
  <c r="BH63" i="24"/>
  <c r="BI83" i="24"/>
  <c r="BI77" i="24" s="1"/>
  <c r="AF116" i="24"/>
  <c r="AB132" i="25" s="1"/>
  <c r="AA40" i="25"/>
  <c r="AB33" i="25" s="1"/>
  <c r="AB35" i="25"/>
  <c r="Z70" i="25"/>
  <c r="AA59" i="25"/>
  <c r="AA42" i="25"/>
  <c r="AA92" i="25" s="1"/>
  <c r="AG90" i="24"/>
  <c r="AG91" i="24" s="1"/>
  <c r="AH88" i="24" s="1"/>
  <c r="AG61" i="24"/>
  <c r="AG44" i="24"/>
  <c r="W84" i="21" l="1"/>
  <c r="W67" i="21"/>
  <c r="W65" i="21"/>
  <c r="V103" i="21"/>
  <c r="V94" i="21"/>
  <c r="AD97" i="19"/>
  <c r="AC56" i="19"/>
  <c r="AC115" i="19" s="1"/>
  <c r="AC113" i="19"/>
  <c r="X40" i="21"/>
  <c r="X43" i="21"/>
  <c r="X45" i="21" s="1"/>
  <c r="BI42" i="24"/>
  <c r="BI62" i="24"/>
  <c r="BI78" i="24"/>
  <c r="BJ75" i="24" s="1"/>
  <c r="BJ76" i="24" s="1"/>
  <c r="AF118" i="24"/>
  <c r="AB23" i="25" s="1"/>
  <c r="AB31" i="25" s="1"/>
  <c r="Z74" i="25"/>
  <c r="Z69" i="25"/>
  <c r="Z93" i="25" s="1"/>
  <c r="AA43" i="25"/>
  <c r="AA65" i="25" s="1"/>
  <c r="AA46" i="25"/>
  <c r="AH97" i="24"/>
  <c r="AH98" i="24" s="1"/>
  <c r="AG43" i="24"/>
  <c r="AG46" i="24"/>
  <c r="W69" i="21" l="1"/>
  <c r="W78" i="21"/>
  <c r="W85" i="21" s="1"/>
  <c r="Y123" i="21"/>
  <c r="AC117" i="19"/>
  <c r="Y23" i="21" s="1"/>
  <c r="V105" i="21"/>
  <c r="V108" i="21" s="1"/>
  <c r="V112" i="21" s="1"/>
  <c r="V122" i="21" s="1"/>
  <c r="V124" i="21" s="1"/>
  <c r="V104" i="21"/>
  <c r="V107" i="21" s="1"/>
  <c r="AD41" i="19"/>
  <c r="AD44" i="19"/>
  <c r="X41" i="21"/>
  <c r="X54" i="21" s="1"/>
  <c r="X59" i="21"/>
  <c r="BI63" i="24"/>
  <c r="BJ83" i="24"/>
  <c r="BJ77" i="24"/>
  <c r="AB34" i="25"/>
  <c r="AB37" i="25" s="1"/>
  <c r="AB60" i="25"/>
  <c r="AB62" i="25" s="1"/>
  <c r="AB47" i="25"/>
  <c r="Z73" i="25"/>
  <c r="Z71" i="25"/>
  <c r="Z84" i="25" s="1"/>
  <c r="AA48" i="25"/>
  <c r="AA44" i="25"/>
  <c r="AA57" i="25" s="1"/>
  <c r="AA66" i="25" s="1"/>
  <c r="AG84" i="24"/>
  <c r="AG64" i="24"/>
  <c r="AG66" i="24" s="1"/>
  <c r="W86" i="21" l="1"/>
  <c r="X80" i="21" s="1"/>
  <c r="W88" i="21"/>
  <c r="X60" i="21"/>
  <c r="Y57" i="21"/>
  <c r="Y58" i="21" s="1"/>
  <c r="Y44" i="21"/>
  <c r="Y34" i="21"/>
  <c r="Y31" i="21"/>
  <c r="V109" i="21"/>
  <c r="V113" i="21" s="1"/>
  <c r="V111" i="21"/>
  <c r="AD88" i="19"/>
  <c r="AD61" i="19"/>
  <c r="BJ42" i="24"/>
  <c r="BJ78" i="24"/>
  <c r="BK75" i="24" s="1"/>
  <c r="BK76" i="24" s="1"/>
  <c r="BJ62" i="24"/>
  <c r="AB87" i="25"/>
  <c r="AB89" i="25" s="1"/>
  <c r="AB64" i="25"/>
  <c r="AB36" i="25"/>
  <c r="AB38" i="25" s="1"/>
  <c r="AB39" i="25" s="1"/>
  <c r="AB61" i="25"/>
  <c r="AB63" i="25" s="1"/>
  <c r="AA67" i="25"/>
  <c r="AB59" i="25" s="1"/>
  <c r="Z75" i="25"/>
  <c r="AG85" i="24"/>
  <c r="AH81" i="24" s="1"/>
  <c r="AH82" i="24" s="1"/>
  <c r="AC142" i="25"/>
  <c r="AH45" i="24"/>
  <c r="AG54" i="24"/>
  <c r="AG55" i="24" s="1"/>
  <c r="AH41" i="24"/>
  <c r="AH89" i="24" s="1"/>
  <c r="W89" i="21" l="1"/>
  <c r="W92" i="21"/>
  <c r="X64" i="21"/>
  <c r="X61" i="21"/>
  <c r="Y56" i="21" s="1"/>
  <c r="Y35" i="21"/>
  <c r="Y81" i="21"/>
  <c r="Y82" i="21" s="1"/>
  <c r="AD89" i="19"/>
  <c r="AD43" i="19"/>
  <c r="AD64" i="19" s="1"/>
  <c r="AD66" i="19" s="1"/>
  <c r="BJ63" i="24"/>
  <c r="BK83" i="24"/>
  <c r="BK77" i="24" s="1"/>
  <c r="AB40" i="25"/>
  <c r="AC33" i="25" s="1"/>
  <c r="AC35" i="25"/>
  <c r="AA70" i="25"/>
  <c r="AA74" i="25" s="1"/>
  <c r="AB42" i="25"/>
  <c r="AB92" i="25" s="1"/>
  <c r="AH90" i="24"/>
  <c r="AH91" i="24" s="1"/>
  <c r="AI88" i="24" s="1"/>
  <c r="AH44" i="24"/>
  <c r="AH61" i="24"/>
  <c r="AG114" i="24"/>
  <c r="AG56" i="24"/>
  <c r="W90" i="21" l="1"/>
  <c r="W93" i="21"/>
  <c r="X68" i="21"/>
  <c r="X63" i="21"/>
  <c r="X84" i="21" s="1"/>
  <c r="Y36" i="21"/>
  <c r="AD90" i="19"/>
  <c r="AE87" i="19" s="1"/>
  <c r="AD46" i="19"/>
  <c r="AD83" i="19" s="1"/>
  <c r="BK42" i="24"/>
  <c r="BK62" i="24"/>
  <c r="BK78" i="24"/>
  <c r="BL75" i="24" s="1"/>
  <c r="BL76" i="24" s="1"/>
  <c r="AG116" i="24"/>
  <c r="AC132" i="25" s="1"/>
  <c r="AA69" i="25"/>
  <c r="AA93" i="25" s="1"/>
  <c r="AB43" i="25"/>
  <c r="AB65" i="25" s="1"/>
  <c r="AB46" i="25"/>
  <c r="AI97" i="24"/>
  <c r="AI98" i="24" s="1"/>
  <c r="AH43" i="24"/>
  <c r="AH46" i="24"/>
  <c r="W103" i="21" l="1"/>
  <c r="W94" i="21"/>
  <c r="X67" i="21"/>
  <c r="X65" i="21"/>
  <c r="Y39" i="21"/>
  <c r="Y37" i="21"/>
  <c r="Z33" i="21" s="1"/>
  <c r="AE45" i="19"/>
  <c r="AE96" i="19"/>
  <c r="AD84" i="19"/>
  <c r="AE80" i="19" s="1"/>
  <c r="AE81" i="19" s="1"/>
  <c r="AD54" i="19"/>
  <c r="AD55" i="19" s="1"/>
  <c r="BK63" i="24"/>
  <c r="BL83" i="24"/>
  <c r="BL77" i="24" s="1"/>
  <c r="AG118" i="24"/>
  <c r="AC23" i="25" s="1"/>
  <c r="AC34" i="25" s="1"/>
  <c r="AA73" i="25"/>
  <c r="AA71" i="25"/>
  <c r="AB48" i="25"/>
  <c r="AB44" i="25"/>
  <c r="AB57" i="25" s="1"/>
  <c r="AB66" i="25" s="1"/>
  <c r="AH84" i="24"/>
  <c r="AH64" i="24"/>
  <c r="AH66" i="24" s="1"/>
  <c r="W105" i="21" l="1"/>
  <c r="W108" i="21" s="1"/>
  <c r="W112" i="21" s="1"/>
  <c r="W122" i="21" s="1"/>
  <c r="W124" i="21" s="1"/>
  <c r="W104" i="21"/>
  <c r="W107" i="21" s="1"/>
  <c r="X78" i="21"/>
  <c r="X85" i="21" s="1"/>
  <c r="X69" i="21"/>
  <c r="Y40" i="21"/>
  <c r="Y83" i="21"/>
  <c r="Y43" i="21"/>
  <c r="Y45" i="21" s="1"/>
  <c r="AE97" i="19"/>
  <c r="AD56" i="19"/>
  <c r="AD115" i="19" s="1"/>
  <c r="Z123" i="21" s="1"/>
  <c r="AD113" i="19"/>
  <c r="BL42" i="24"/>
  <c r="BL62" i="24"/>
  <c r="BL78" i="24"/>
  <c r="BM75" i="24" s="1"/>
  <c r="BM76" i="24" s="1"/>
  <c r="AC60" i="25"/>
  <c r="AC62" i="25" s="1"/>
  <c r="AC31" i="25"/>
  <c r="AC47" i="25"/>
  <c r="AC61" i="25"/>
  <c r="AB67" i="25"/>
  <c r="AC37" i="25"/>
  <c r="AC36" i="25"/>
  <c r="AC38" i="25" s="1"/>
  <c r="AC87" i="25"/>
  <c r="AC89" i="25" s="1"/>
  <c r="AA75" i="25"/>
  <c r="AA84" i="25"/>
  <c r="AH85" i="24"/>
  <c r="AI81" i="24" s="1"/>
  <c r="AI82" i="24" s="1"/>
  <c r="AD142" i="25"/>
  <c r="AH54" i="24"/>
  <c r="AH55" i="24" s="1"/>
  <c r="AI45" i="24"/>
  <c r="W111" i="21" l="1"/>
  <c r="W109" i="21"/>
  <c r="W113" i="21" s="1"/>
  <c r="X88" i="21"/>
  <c r="X86" i="21"/>
  <c r="Y80" i="21" s="1"/>
  <c r="Y59" i="21"/>
  <c r="Y41" i="21"/>
  <c r="Y54" i="21" s="1"/>
  <c r="AE41" i="19"/>
  <c r="AE44" i="19"/>
  <c r="AD117" i="19"/>
  <c r="Z23" i="21" s="1"/>
  <c r="BL63" i="24"/>
  <c r="BM83" i="24"/>
  <c r="BM77" i="24"/>
  <c r="AC63" i="25"/>
  <c r="AC64" i="25"/>
  <c r="AB70" i="25"/>
  <c r="AB74" i="25" s="1"/>
  <c r="AC59" i="25"/>
  <c r="AC39" i="25"/>
  <c r="AI41" i="24"/>
  <c r="AI89" i="24" s="1"/>
  <c r="AH114" i="24"/>
  <c r="AH56" i="24"/>
  <c r="X89" i="21" l="1"/>
  <c r="X92" i="21"/>
  <c r="Y60" i="21"/>
  <c r="AE61" i="19"/>
  <c r="AE88" i="19"/>
  <c r="Z57" i="21"/>
  <c r="Z58" i="21" s="1"/>
  <c r="Z44" i="21"/>
  <c r="Z34" i="21"/>
  <c r="Z31" i="21"/>
  <c r="BM42" i="24"/>
  <c r="BM78" i="24"/>
  <c r="BN75" i="24" s="1"/>
  <c r="BN76" i="24" s="1"/>
  <c r="BM62" i="24"/>
  <c r="AH116" i="24"/>
  <c r="AD132" i="25" s="1"/>
  <c r="AC40" i="25"/>
  <c r="AD33" i="25" s="1"/>
  <c r="AD35" i="25"/>
  <c r="AB69" i="25"/>
  <c r="AB93" i="25" s="1"/>
  <c r="AC42" i="25"/>
  <c r="AC92" i="25" s="1"/>
  <c r="AI90" i="24"/>
  <c r="AI91" i="24" s="1"/>
  <c r="AJ88" i="24" s="1"/>
  <c r="AI44" i="24"/>
  <c r="AI61" i="24"/>
  <c r="X90" i="21" l="1"/>
  <c r="X93" i="21"/>
  <c r="Y61" i="21"/>
  <c r="Z56" i="21" s="1"/>
  <c r="Y64" i="21"/>
  <c r="AE43" i="19"/>
  <c r="AE64" i="19" s="1"/>
  <c r="AE66" i="19" s="1"/>
  <c r="AE89" i="19"/>
  <c r="Z35" i="21"/>
  <c r="Z81" i="21"/>
  <c r="Z82" i="21" s="1"/>
  <c r="BM63" i="24"/>
  <c r="BN83" i="24"/>
  <c r="BN77" i="24"/>
  <c r="AH118" i="24"/>
  <c r="AD23" i="25" s="1"/>
  <c r="AD34" i="25" s="1"/>
  <c r="AB73" i="25"/>
  <c r="AB71" i="25"/>
  <c r="AB84" i="25" s="1"/>
  <c r="AC43" i="25"/>
  <c r="AC65" i="25" s="1"/>
  <c r="AC46" i="25"/>
  <c r="AJ97" i="24"/>
  <c r="AJ98" i="24" s="1"/>
  <c r="AI43" i="24"/>
  <c r="AI46" i="24"/>
  <c r="X94" i="21" l="1"/>
  <c r="X103" i="21"/>
  <c r="Y68" i="21"/>
  <c r="Y63" i="21"/>
  <c r="Y84" i="21" s="1"/>
  <c r="AE46" i="19"/>
  <c r="AE83" i="19" s="1"/>
  <c r="AE90" i="19"/>
  <c r="AF87" i="19" s="1"/>
  <c r="Z36" i="21"/>
  <c r="BN42" i="24"/>
  <c r="BN78" i="24"/>
  <c r="BO75" i="24" s="1"/>
  <c r="BO76" i="24" s="1"/>
  <c r="BN62" i="24"/>
  <c r="AD60" i="25"/>
  <c r="AD62" i="25" s="1"/>
  <c r="AD31" i="25"/>
  <c r="AD47" i="25"/>
  <c r="AD37" i="25"/>
  <c r="AD36" i="25"/>
  <c r="AD38" i="25" s="1"/>
  <c r="AD87" i="25"/>
  <c r="AD89" i="25" s="1"/>
  <c r="AB75" i="25"/>
  <c r="AC48" i="25"/>
  <c r="AC44" i="25"/>
  <c r="AC57" i="25" s="1"/>
  <c r="AC66" i="25" s="1"/>
  <c r="AI84" i="24"/>
  <c r="AJ45" i="24"/>
  <c r="AI64" i="24"/>
  <c r="AI66" i="24" s="1"/>
  <c r="X104" i="21" l="1"/>
  <c r="X107" i="21" s="1"/>
  <c r="X105" i="21"/>
  <c r="X108" i="21" s="1"/>
  <c r="X112" i="21" s="1"/>
  <c r="X122" i="21" s="1"/>
  <c r="X124" i="21" s="1"/>
  <c r="Y65" i="21"/>
  <c r="Y67" i="21"/>
  <c r="AE54" i="19"/>
  <c r="AE55" i="19" s="1"/>
  <c r="AE84" i="19"/>
  <c r="AF80" i="19" s="1"/>
  <c r="AF81" i="19" s="1"/>
  <c r="AF45" i="19"/>
  <c r="AF96" i="19"/>
  <c r="Z39" i="21"/>
  <c r="Z37" i="21"/>
  <c r="AA33" i="21" s="1"/>
  <c r="BN63" i="24"/>
  <c r="BO83" i="24"/>
  <c r="BO77" i="24" s="1"/>
  <c r="AD64" i="25"/>
  <c r="AD61" i="25"/>
  <c r="AD63" i="25" s="1"/>
  <c r="AC67" i="25"/>
  <c r="AC70" i="25"/>
  <c r="AI85" i="24"/>
  <c r="AJ81" i="24" s="1"/>
  <c r="AJ82" i="24" s="1"/>
  <c r="AE142" i="25"/>
  <c r="AD39" i="25"/>
  <c r="AJ41" i="24"/>
  <c r="AJ89" i="24" s="1"/>
  <c r="AI54" i="24"/>
  <c r="AI55" i="24" s="1"/>
  <c r="X111" i="21" l="1"/>
  <c r="X109" i="21"/>
  <c r="X113" i="21" s="1"/>
  <c r="Y78" i="21"/>
  <c r="Y85" i="21" s="1"/>
  <c r="Y69" i="21"/>
  <c r="AE56" i="19"/>
  <c r="AE115" i="19" s="1"/>
  <c r="AA123" i="21" s="1"/>
  <c r="AE113" i="19"/>
  <c r="AF97" i="19"/>
  <c r="Z43" i="21"/>
  <c r="Z45" i="21" s="1"/>
  <c r="Z40" i="21"/>
  <c r="Z83" i="21"/>
  <c r="BO42" i="24"/>
  <c r="BO62" i="24"/>
  <c r="BO78" i="24"/>
  <c r="BP75" i="24" s="1"/>
  <c r="BP76" i="24" s="1"/>
  <c r="AD40" i="25"/>
  <c r="AE33" i="25" s="1"/>
  <c r="AE35" i="25"/>
  <c r="AD59" i="25"/>
  <c r="AC69" i="25"/>
  <c r="AC93" i="25" s="1"/>
  <c r="AC74" i="25"/>
  <c r="AD42" i="25"/>
  <c r="AD92" i="25" s="1"/>
  <c r="AJ90" i="24"/>
  <c r="AJ91" i="24" s="1"/>
  <c r="AK88" i="24" s="1"/>
  <c r="AI114" i="24"/>
  <c r="AI56" i="24"/>
  <c r="AJ44" i="24"/>
  <c r="AJ61" i="24"/>
  <c r="Y86" i="21" l="1"/>
  <c r="Z80" i="21" s="1"/>
  <c r="Y88" i="21"/>
  <c r="Y89" i="21" s="1"/>
  <c r="Y92" i="21"/>
  <c r="AE117" i="19"/>
  <c r="AA23" i="21" s="1"/>
  <c r="AF41" i="19"/>
  <c r="AF44" i="19"/>
  <c r="Z59" i="21"/>
  <c r="Z41" i="21"/>
  <c r="Z54" i="21" s="1"/>
  <c r="BO63" i="24"/>
  <c r="BP62" i="24"/>
  <c r="BP83" i="24"/>
  <c r="BP77" i="24"/>
  <c r="BP78" i="24" s="1"/>
  <c r="BQ75" i="24" s="1"/>
  <c r="BQ76" i="24" s="1"/>
  <c r="AI116" i="24"/>
  <c r="AE132" i="25" s="1"/>
  <c r="AC71" i="25"/>
  <c r="AC84" i="25" s="1"/>
  <c r="AC73" i="25"/>
  <c r="AD43" i="25"/>
  <c r="AD65" i="25" s="1"/>
  <c r="AD46" i="25"/>
  <c r="AK97" i="24"/>
  <c r="AK98" i="24" s="1"/>
  <c r="AJ43" i="24"/>
  <c r="AJ46" i="24"/>
  <c r="Y90" i="21" l="1"/>
  <c r="Y93" i="21"/>
  <c r="Z60" i="21"/>
  <c r="AA31" i="21"/>
  <c r="AA34" i="21"/>
  <c r="AA44" i="21"/>
  <c r="AA57" i="21"/>
  <c r="AA58" i="21" s="1"/>
  <c r="AF61" i="19"/>
  <c r="AF88" i="19"/>
  <c r="BP42" i="24"/>
  <c r="BQ83" i="24"/>
  <c r="AI118" i="24"/>
  <c r="AE23" i="25" s="1"/>
  <c r="AE31" i="25" s="1"/>
  <c r="AC75" i="25"/>
  <c r="AD48" i="25"/>
  <c r="AD44" i="25"/>
  <c r="AD57" i="25" s="1"/>
  <c r="AD66" i="25" s="1"/>
  <c r="AE61" i="25" s="1"/>
  <c r="AJ84" i="24"/>
  <c r="AJ64" i="24"/>
  <c r="AJ66" i="24" s="1"/>
  <c r="Y103" i="21" l="1"/>
  <c r="Y94" i="21"/>
  <c r="Z64" i="21"/>
  <c r="Z61" i="21"/>
  <c r="AA56" i="21" s="1"/>
  <c r="AA35" i="21"/>
  <c r="AA81" i="21"/>
  <c r="AA82" i="21" s="1"/>
  <c r="AF43" i="19"/>
  <c r="AF64" i="19" s="1"/>
  <c r="AF66" i="19" s="1"/>
  <c r="AF89" i="19"/>
  <c r="BP63" i="24"/>
  <c r="BQ42" i="24"/>
  <c r="BQ63" i="24" s="1"/>
  <c r="BQ77" i="24"/>
  <c r="AE34" i="25"/>
  <c r="AE36" i="25" s="1"/>
  <c r="AE38" i="25" s="1"/>
  <c r="AE47" i="25"/>
  <c r="AE60" i="25"/>
  <c r="AE62" i="25" s="1"/>
  <c r="AE64" i="25" s="1"/>
  <c r="AD67" i="25"/>
  <c r="AJ85" i="24"/>
  <c r="AK81" i="24" s="1"/>
  <c r="AK82" i="24" s="1"/>
  <c r="AF142" i="25"/>
  <c r="AJ54" i="24"/>
  <c r="AJ55" i="24" s="1"/>
  <c r="AK45" i="24"/>
  <c r="Y105" i="21" l="1"/>
  <c r="Y108" i="21" s="1"/>
  <c r="Y104" i="21"/>
  <c r="Y107" i="21" s="1"/>
  <c r="Y111" i="21" s="1"/>
  <c r="Z68" i="21"/>
  <c r="Z63" i="21"/>
  <c r="Z84" i="21" s="1"/>
  <c r="AA36" i="21"/>
  <c r="AF46" i="19"/>
  <c r="AF83" i="19" s="1"/>
  <c r="AF90" i="19"/>
  <c r="AG87" i="19" s="1"/>
  <c r="BQ62" i="24"/>
  <c r="BQ78" i="24"/>
  <c r="BR75" i="24" s="1"/>
  <c r="BR76" i="24" s="1"/>
  <c r="AE37" i="25"/>
  <c r="AE39" i="25" s="1"/>
  <c r="AE63" i="25"/>
  <c r="AE87" i="25"/>
  <c r="AE89" i="25" s="1"/>
  <c r="AD70" i="25"/>
  <c r="AD69" i="25" s="1"/>
  <c r="AD93" i="25" s="1"/>
  <c r="AE59" i="25"/>
  <c r="AK41" i="24"/>
  <c r="AK89" i="24" s="1"/>
  <c r="AJ114" i="24"/>
  <c r="AJ56" i="24"/>
  <c r="Y112" i="21" l="1"/>
  <c r="Y122" i="21" s="1"/>
  <c r="Y124" i="21" s="1"/>
  <c r="Y109" i="21"/>
  <c r="Y113" i="21" s="1"/>
  <c r="Z65" i="21"/>
  <c r="Z67" i="21"/>
  <c r="AA39" i="21"/>
  <c r="AA37" i="21"/>
  <c r="AB33" i="21" s="1"/>
  <c r="AF54" i="19"/>
  <c r="AF55" i="19" s="1"/>
  <c r="AF84" i="19"/>
  <c r="AG80" i="19" s="1"/>
  <c r="AG81" i="19" s="1"/>
  <c r="AG96" i="19"/>
  <c r="AG45" i="19"/>
  <c r="BR83" i="24"/>
  <c r="BR77" i="24" s="1"/>
  <c r="AJ116" i="24"/>
  <c r="AF132" i="25" s="1"/>
  <c r="AE40" i="25"/>
  <c r="AF33" i="25" s="1"/>
  <c r="AF35" i="25"/>
  <c r="AD74" i="25"/>
  <c r="AD71" i="25"/>
  <c r="AD84" i="25" s="1"/>
  <c r="AD73" i="25"/>
  <c r="AE42" i="25"/>
  <c r="AE92" i="25" s="1"/>
  <c r="AK90" i="24"/>
  <c r="AK91" i="24" s="1"/>
  <c r="AL88" i="24" s="1"/>
  <c r="AK44" i="24"/>
  <c r="AK61" i="24"/>
  <c r="Z78" i="21" l="1"/>
  <c r="Z85" i="21" s="1"/>
  <c r="Z69" i="21"/>
  <c r="AA43" i="21"/>
  <c r="AA45" i="21" s="1"/>
  <c r="AA83" i="21"/>
  <c r="AA40" i="21"/>
  <c r="AF113" i="19"/>
  <c r="AF56" i="19"/>
  <c r="AF115" i="19" s="1"/>
  <c r="AB123" i="21" s="1"/>
  <c r="AG97" i="19"/>
  <c r="BR42" i="24"/>
  <c r="BR62" i="24"/>
  <c r="BR78" i="24"/>
  <c r="BS75" i="24" s="1"/>
  <c r="BS76" i="24" s="1"/>
  <c r="AJ118" i="24"/>
  <c r="AF23" i="25" s="1"/>
  <c r="AF31" i="25" s="1"/>
  <c r="AD75" i="25"/>
  <c r="AE43" i="25"/>
  <c r="AE65" i="25" s="1"/>
  <c r="AE46" i="25"/>
  <c r="AL97" i="24"/>
  <c r="AL98" i="24" s="1"/>
  <c r="AK43" i="24"/>
  <c r="AK46" i="24"/>
  <c r="Z86" i="21" l="1"/>
  <c r="AA80" i="21" s="1"/>
  <c r="Z88" i="21"/>
  <c r="AA59" i="21"/>
  <c r="AA41" i="21"/>
  <c r="AA54" i="21" s="1"/>
  <c r="AF117" i="19"/>
  <c r="AB23" i="21" s="1"/>
  <c r="AG41" i="19"/>
  <c r="AG44" i="19"/>
  <c r="BR63" i="24"/>
  <c r="BS83" i="24"/>
  <c r="BS77" i="24" s="1"/>
  <c r="AF34" i="25"/>
  <c r="AF37" i="25" s="1"/>
  <c r="AF47" i="25"/>
  <c r="AF60" i="25"/>
  <c r="AF62" i="25" s="1"/>
  <c r="AE48" i="25"/>
  <c r="AE44" i="25"/>
  <c r="AE57" i="25" s="1"/>
  <c r="AE66" i="25" s="1"/>
  <c r="AK84" i="24"/>
  <c r="AL45" i="24"/>
  <c r="AK64" i="24"/>
  <c r="AK66" i="24" s="1"/>
  <c r="AA60" i="21" l="1"/>
  <c r="Z92" i="21"/>
  <c r="Z89" i="21"/>
  <c r="AB31" i="21"/>
  <c r="AB34" i="21"/>
  <c r="AB44" i="21"/>
  <c r="AB57" i="21"/>
  <c r="AB58" i="21" s="1"/>
  <c r="AG61" i="19"/>
  <c r="AG88" i="19"/>
  <c r="BS42" i="24"/>
  <c r="BS62" i="24"/>
  <c r="BS78" i="24"/>
  <c r="BT75" i="24" s="1"/>
  <c r="BT76" i="24" s="1"/>
  <c r="AF87" i="25"/>
  <c r="AF89" i="25" s="1"/>
  <c r="AF36" i="25"/>
  <c r="AF38" i="25" s="1"/>
  <c r="AF39" i="25" s="1"/>
  <c r="AF64" i="25"/>
  <c r="AF61" i="25"/>
  <c r="AF63" i="25" s="1"/>
  <c r="AE67" i="25"/>
  <c r="AE70" i="25"/>
  <c r="AK85" i="24"/>
  <c r="AL81" i="24" s="1"/>
  <c r="AL82" i="24" s="1"/>
  <c r="AG142" i="25"/>
  <c r="AL41" i="24"/>
  <c r="AL89" i="24" s="1"/>
  <c r="AK54" i="24"/>
  <c r="AK55" i="24" s="1"/>
  <c r="AA61" i="21" l="1"/>
  <c r="AB56" i="21" s="1"/>
  <c r="AA64" i="21"/>
  <c r="Z90" i="21"/>
  <c r="Z93" i="21"/>
  <c r="AB35" i="21"/>
  <c r="AB81" i="21"/>
  <c r="AB82" i="21" s="1"/>
  <c r="AG43" i="19"/>
  <c r="AG64" i="19" s="1"/>
  <c r="AG66" i="19" s="1"/>
  <c r="AG89" i="19"/>
  <c r="BS63" i="24"/>
  <c r="BT83" i="24"/>
  <c r="BT77" i="24"/>
  <c r="AF40" i="25"/>
  <c r="AG33" i="25" s="1"/>
  <c r="AG35" i="25"/>
  <c r="AF59" i="25"/>
  <c r="AE69" i="25"/>
  <c r="AE93" i="25" s="1"/>
  <c r="AE74" i="25"/>
  <c r="AF42" i="25"/>
  <c r="AF92" i="25" s="1"/>
  <c r="AL90" i="24"/>
  <c r="AL91" i="24" s="1"/>
  <c r="AM88" i="24" s="1"/>
  <c r="AL61" i="24"/>
  <c r="AL44" i="24"/>
  <c r="AK114" i="24"/>
  <c r="AK56" i="24"/>
  <c r="AA68" i="21" l="1"/>
  <c r="AA63" i="21"/>
  <c r="Z94" i="21"/>
  <c r="Z103" i="21"/>
  <c r="AB36" i="21"/>
  <c r="AG46" i="19"/>
  <c r="AG83" i="19" s="1"/>
  <c r="AG90" i="19"/>
  <c r="AH87" i="19" s="1"/>
  <c r="BT42" i="24"/>
  <c r="BT78" i="24"/>
  <c r="BU75" i="24" s="1"/>
  <c r="BU76" i="24" s="1"/>
  <c r="BT62" i="24"/>
  <c r="AK116" i="24"/>
  <c r="AG132" i="25" s="1"/>
  <c r="AE71" i="25"/>
  <c r="AE84" i="25" s="1"/>
  <c r="AE73" i="25"/>
  <c r="AF43" i="25"/>
  <c r="AF65" i="25" s="1"/>
  <c r="AF46" i="25"/>
  <c r="AM97" i="24"/>
  <c r="AM98" i="24" s="1"/>
  <c r="AL43" i="24"/>
  <c r="AL46" i="24"/>
  <c r="AA84" i="21" l="1"/>
  <c r="AA65" i="21"/>
  <c r="AA67" i="21"/>
  <c r="Z104" i="21"/>
  <c r="Z107" i="21" s="1"/>
  <c r="Z105" i="21"/>
  <c r="Z108" i="21" s="1"/>
  <c r="Z112" i="21" s="1"/>
  <c r="Z122" i="21" s="1"/>
  <c r="Z124" i="21" s="1"/>
  <c r="AB39" i="21"/>
  <c r="AB83" i="21" s="1"/>
  <c r="AB37" i="21"/>
  <c r="AC33" i="21" s="1"/>
  <c r="AG54" i="19"/>
  <c r="AG55" i="19" s="1"/>
  <c r="AG84" i="19"/>
  <c r="AH80" i="19" s="1"/>
  <c r="AH81" i="19" s="1"/>
  <c r="AH45" i="19"/>
  <c r="AH96" i="19"/>
  <c r="BT63" i="24"/>
  <c r="BU83" i="24"/>
  <c r="BU77" i="24" s="1"/>
  <c r="AK118" i="24"/>
  <c r="AG23" i="25" s="1"/>
  <c r="AG60" i="25" s="1"/>
  <c r="AG62" i="25" s="1"/>
  <c r="AE75" i="25"/>
  <c r="AF48" i="25"/>
  <c r="AF44" i="25"/>
  <c r="AF57" i="25" s="1"/>
  <c r="AF66" i="25" s="1"/>
  <c r="AL84" i="24"/>
  <c r="AL64" i="24"/>
  <c r="AL66" i="24" s="1"/>
  <c r="AA78" i="21" l="1"/>
  <c r="AA85" i="21" s="1"/>
  <c r="AA69" i="21"/>
  <c r="Z109" i="21"/>
  <c r="Z113" i="21" s="1"/>
  <c r="Z111" i="21"/>
  <c r="AB43" i="21"/>
  <c r="AB45" i="21" s="1"/>
  <c r="AB40" i="21"/>
  <c r="AG113" i="19"/>
  <c r="AG56" i="19"/>
  <c r="AG115" i="19" s="1"/>
  <c r="AC123" i="21" s="1"/>
  <c r="AH97" i="19"/>
  <c r="BU42" i="24"/>
  <c r="BU62" i="24"/>
  <c r="BU78" i="24"/>
  <c r="BV75" i="24" s="1"/>
  <c r="BV76" i="24" s="1"/>
  <c r="AG31" i="25"/>
  <c r="AG47" i="25"/>
  <c r="AG34" i="25"/>
  <c r="AG37" i="25" s="1"/>
  <c r="AG64" i="25"/>
  <c r="AG61" i="25"/>
  <c r="AG63" i="25" s="1"/>
  <c r="AF67" i="25"/>
  <c r="AL85" i="24"/>
  <c r="AM81" i="24" s="1"/>
  <c r="AM82" i="24" s="1"/>
  <c r="AH142" i="25"/>
  <c r="AL54" i="24"/>
  <c r="AL55" i="24" s="1"/>
  <c r="AM45" i="24"/>
  <c r="AA86" i="21" l="1"/>
  <c r="AB80" i="21" s="1"/>
  <c r="AA88" i="21"/>
  <c r="AB59" i="21"/>
  <c r="AB41" i="21"/>
  <c r="AB54" i="21" s="1"/>
  <c r="AG117" i="19"/>
  <c r="AC23" i="21" s="1"/>
  <c r="AH41" i="19"/>
  <c r="AH44" i="19"/>
  <c r="BU63" i="24"/>
  <c r="BV83" i="24"/>
  <c r="BV77" i="24" s="1"/>
  <c r="AG87" i="25"/>
  <c r="AG89" i="25" s="1"/>
  <c r="AG36" i="25"/>
  <c r="AG38" i="25" s="1"/>
  <c r="AG39" i="25" s="1"/>
  <c r="AF70" i="25"/>
  <c r="AF74" i="25" s="1"/>
  <c r="AG59" i="25"/>
  <c r="AM41" i="24"/>
  <c r="AM89" i="24" s="1"/>
  <c r="AL114" i="24"/>
  <c r="AL56" i="24"/>
  <c r="AA92" i="21" l="1"/>
  <c r="AA89" i="21"/>
  <c r="AB60" i="21"/>
  <c r="AC44" i="21"/>
  <c r="AC31" i="21"/>
  <c r="AC34" i="21"/>
  <c r="AC57" i="21"/>
  <c r="AC58" i="21" s="1"/>
  <c r="AH61" i="19"/>
  <c r="AH88" i="19"/>
  <c r="BV42" i="24"/>
  <c r="BV62" i="24"/>
  <c r="BV78" i="24"/>
  <c r="BW75" i="24" s="1"/>
  <c r="BW76" i="24" s="1"/>
  <c r="AL116" i="24"/>
  <c r="AH132" i="25" s="1"/>
  <c r="AG40" i="25"/>
  <c r="AH33" i="25" s="1"/>
  <c r="AH35" i="25"/>
  <c r="AF69" i="25"/>
  <c r="AF93" i="25" s="1"/>
  <c r="AG42" i="25"/>
  <c r="AG92" i="25" s="1"/>
  <c r="AM90" i="24"/>
  <c r="AM91" i="24" s="1"/>
  <c r="AN88" i="24" s="1"/>
  <c r="AM44" i="24"/>
  <c r="AM61" i="24"/>
  <c r="AA93" i="21" l="1"/>
  <c r="AA90" i="21"/>
  <c r="AB64" i="21"/>
  <c r="AB61" i="21"/>
  <c r="AC56" i="21" s="1"/>
  <c r="AC35" i="21"/>
  <c r="AC81" i="21"/>
  <c r="AC82" i="21" s="1"/>
  <c r="AH89" i="19"/>
  <c r="AH43" i="19"/>
  <c r="AH64" i="19" s="1"/>
  <c r="AH66" i="19" s="1"/>
  <c r="BV63" i="24"/>
  <c r="BW83" i="24"/>
  <c r="BW77" i="24" s="1"/>
  <c r="AL118" i="24"/>
  <c r="AH23" i="25" s="1"/>
  <c r="AH47" i="25" s="1"/>
  <c r="AF71" i="25"/>
  <c r="AF84" i="25" s="1"/>
  <c r="AF73" i="25"/>
  <c r="AG43" i="25"/>
  <c r="AG65" i="25" s="1"/>
  <c r="AG46" i="25"/>
  <c r="AN97" i="24"/>
  <c r="AN98" i="24" s="1"/>
  <c r="AM43" i="24"/>
  <c r="AM46" i="24"/>
  <c r="AA103" i="21" l="1"/>
  <c r="AA94" i="21"/>
  <c r="AB63" i="21"/>
  <c r="AB68" i="21"/>
  <c r="AC36" i="21"/>
  <c r="AH46" i="19"/>
  <c r="AH83" i="19" s="1"/>
  <c r="AH90" i="19"/>
  <c r="AI87" i="19" s="1"/>
  <c r="BW42" i="24"/>
  <c r="BW62" i="24"/>
  <c r="BW78" i="24"/>
  <c r="BX75" i="24" s="1"/>
  <c r="BX76" i="24" s="1"/>
  <c r="AH34" i="25"/>
  <c r="AH37" i="25" s="1"/>
  <c r="AH60" i="25"/>
  <c r="AH62" i="25" s="1"/>
  <c r="AH31" i="25"/>
  <c r="AF75" i="25"/>
  <c r="AG48" i="25"/>
  <c r="AG44" i="25"/>
  <c r="AG57" i="25" s="1"/>
  <c r="AG66" i="25" s="1"/>
  <c r="AM84" i="24"/>
  <c r="AM64" i="24"/>
  <c r="AM66" i="24" s="1"/>
  <c r="AA104" i="21" l="1"/>
  <c r="AA107" i="21" s="1"/>
  <c r="AA111" i="21" s="1"/>
  <c r="AA105" i="21"/>
  <c r="AA108" i="21" s="1"/>
  <c r="AB65" i="21"/>
  <c r="AB84" i="21"/>
  <c r="AB67" i="21"/>
  <c r="AC39" i="21"/>
  <c r="AC37" i="21"/>
  <c r="AD33" i="21" s="1"/>
  <c r="AH54" i="19"/>
  <c r="AH55" i="19" s="1"/>
  <c r="AH84" i="19"/>
  <c r="AI80" i="19" s="1"/>
  <c r="AI81" i="19" s="1"/>
  <c r="AI96" i="19"/>
  <c r="AI45" i="19"/>
  <c r="BW63" i="24"/>
  <c r="BX83" i="24"/>
  <c r="BX77" i="24"/>
  <c r="AH64" i="25"/>
  <c r="AH87" i="25"/>
  <c r="AH89" i="25" s="1"/>
  <c r="AH36" i="25"/>
  <c r="AH38" i="25" s="1"/>
  <c r="AH39" i="25" s="1"/>
  <c r="AH61" i="25"/>
  <c r="AH63" i="25" s="1"/>
  <c r="AG67" i="25"/>
  <c r="AH59" i="25" s="1"/>
  <c r="AM85" i="24"/>
  <c r="AN81" i="24" s="1"/>
  <c r="AN82" i="24" s="1"/>
  <c r="AI142" i="25"/>
  <c r="AM54" i="24"/>
  <c r="AM55" i="24" s="1"/>
  <c r="AN45" i="24"/>
  <c r="AA112" i="21" l="1"/>
  <c r="AA122" i="21" s="1"/>
  <c r="AA124" i="21" s="1"/>
  <c r="AA109" i="21"/>
  <c r="AA113" i="21" s="1"/>
  <c r="AB69" i="21"/>
  <c r="AB78" i="21"/>
  <c r="AB85" i="21" s="1"/>
  <c r="AC43" i="21"/>
  <c r="AC45" i="21" s="1"/>
  <c r="AC83" i="21"/>
  <c r="AC40" i="21"/>
  <c r="AH56" i="19"/>
  <c r="AH115" i="19" s="1"/>
  <c r="AD123" i="21" s="1"/>
  <c r="AH113" i="19"/>
  <c r="AI97" i="19"/>
  <c r="BX42" i="24"/>
  <c r="BX78" i="24"/>
  <c r="BY75" i="24" s="1"/>
  <c r="BY76" i="24" s="1"/>
  <c r="BX62" i="24"/>
  <c r="AH40" i="25"/>
  <c r="AI33" i="25" s="1"/>
  <c r="AI35" i="25"/>
  <c r="AG70" i="25"/>
  <c r="AG69" i="25" s="1"/>
  <c r="AG93" i="25" s="1"/>
  <c r="AH42" i="25"/>
  <c r="AH92" i="25" s="1"/>
  <c r="AN41" i="24"/>
  <c r="AN89" i="24" s="1"/>
  <c r="AM114" i="24"/>
  <c r="AM56" i="24"/>
  <c r="AB86" i="21" l="1"/>
  <c r="AC80" i="21" s="1"/>
  <c r="AB88" i="21"/>
  <c r="AC59" i="21"/>
  <c r="AC41" i="21"/>
  <c r="AC54" i="21" s="1"/>
  <c r="AH117" i="19"/>
  <c r="AD23" i="21" s="1"/>
  <c r="AI41" i="19"/>
  <c r="AI44" i="19"/>
  <c r="BX63" i="24"/>
  <c r="BY83" i="24"/>
  <c r="BY77" i="24"/>
  <c r="AM116" i="24"/>
  <c r="AI132" i="25" s="1"/>
  <c r="AG74" i="25"/>
  <c r="AG71" i="25"/>
  <c r="AG84" i="25" s="1"/>
  <c r="AG73" i="25"/>
  <c r="AH43" i="25"/>
  <c r="AH65" i="25" s="1"/>
  <c r="AH46" i="25"/>
  <c r="AN90" i="24"/>
  <c r="AN91" i="24" s="1"/>
  <c r="AO88" i="24" s="1"/>
  <c r="AN44" i="24"/>
  <c r="AN61" i="24"/>
  <c r="AC60" i="21" l="1"/>
  <c r="AB89" i="21"/>
  <c r="AB92" i="21"/>
  <c r="AD57" i="21"/>
  <c r="AD58" i="21" s="1"/>
  <c r="AD31" i="21"/>
  <c r="AD34" i="21"/>
  <c r="AD44" i="21"/>
  <c r="AI61" i="19"/>
  <c r="AI88" i="19"/>
  <c r="BY42" i="24"/>
  <c r="BY78" i="24"/>
  <c r="BZ75" i="24" s="1"/>
  <c r="BZ76" i="24" s="1"/>
  <c r="BY62" i="24"/>
  <c r="AM118" i="24"/>
  <c r="AI23" i="25" s="1"/>
  <c r="AI34" i="25" s="1"/>
  <c r="AG75" i="25"/>
  <c r="AH48" i="25"/>
  <c r="AH44" i="25"/>
  <c r="AH57" i="25" s="1"/>
  <c r="AH66" i="25" s="1"/>
  <c r="AI61" i="25" s="1"/>
  <c r="AO97" i="24"/>
  <c r="AO98" i="24" s="1"/>
  <c r="AN43" i="24"/>
  <c r="AN46" i="24"/>
  <c r="AB90" i="21" l="1"/>
  <c r="AB93" i="21"/>
  <c r="AC61" i="21"/>
  <c r="AD56" i="21" s="1"/>
  <c r="AC64" i="21"/>
  <c r="AD81" i="21"/>
  <c r="AD82" i="21" s="1"/>
  <c r="AD35" i="21"/>
  <c r="AD36" i="21" s="1"/>
  <c r="AI43" i="19"/>
  <c r="AI64" i="19" s="1"/>
  <c r="AI66" i="19" s="1"/>
  <c r="AI89" i="19"/>
  <c r="BY63" i="24"/>
  <c r="BZ83" i="24"/>
  <c r="BZ77" i="24" s="1"/>
  <c r="AI31" i="25"/>
  <c r="AI47" i="25"/>
  <c r="AI60" i="25"/>
  <c r="AI62" i="25" s="1"/>
  <c r="AI64" i="25" s="1"/>
  <c r="AH67" i="25"/>
  <c r="AI37" i="25"/>
  <c r="AI36" i="25"/>
  <c r="AI38" i="25" s="1"/>
  <c r="AI87" i="25"/>
  <c r="AI89" i="25" s="1"/>
  <c r="AH70" i="25"/>
  <c r="AN84" i="24"/>
  <c r="AN64" i="24"/>
  <c r="AN66" i="24" s="1"/>
  <c r="AB94" i="21" l="1"/>
  <c r="AB103" i="21"/>
  <c r="AC68" i="21"/>
  <c r="AC63" i="21"/>
  <c r="AD39" i="21"/>
  <c r="AD37" i="21"/>
  <c r="AE33" i="21" s="1"/>
  <c r="AI46" i="19"/>
  <c r="AI83" i="19" s="1"/>
  <c r="AI90" i="19"/>
  <c r="AJ87" i="19" s="1"/>
  <c r="BZ42" i="24"/>
  <c r="BZ62" i="24"/>
  <c r="BZ78" i="24"/>
  <c r="CA75" i="24" s="1"/>
  <c r="CA76" i="24" s="1"/>
  <c r="AI63" i="25"/>
  <c r="AI59" i="25"/>
  <c r="AN85" i="24"/>
  <c r="AO81" i="24" s="1"/>
  <c r="AO82" i="24" s="1"/>
  <c r="AJ142" i="25"/>
  <c r="AH69" i="25"/>
  <c r="AH93" i="25" s="1"/>
  <c r="AH74" i="25"/>
  <c r="AI39" i="25"/>
  <c r="AN54" i="24"/>
  <c r="AN55" i="24" s="1"/>
  <c r="AO45" i="24"/>
  <c r="AB104" i="21" l="1"/>
  <c r="AB107" i="21" s="1"/>
  <c r="AB111" i="21" s="1"/>
  <c r="AB105" i="21"/>
  <c r="AB108" i="21" s="1"/>
  <c r="AC67" i="21"/>
  <c r="AC65" i="21"/>
  <c r="AC84" i="21"/>
  <c r="AD40" i="21"/>
  <c r="AD43" i="21"/>
  <c r="AD45" i="21" s="1"/>
  <c r="AD83" i="21"/>
  <c r="AI54" i="19"/>
  <c r="AI55" i="19" s="1"/>
  <c r="AI84" i="19"/>
  <c r="AJ80" i="19" s="1"/>
  <c r="AJ81" i="19" s="1"/>
  <c r="AJ45" i="19"/>
  <c r="AJ96" i="19"/>
  <c r="BZ63" i="24"/>
  <c r="CA83" i="24"/>
  <c r="CA77" i="24" s="1"/>
  <c r="AI40" i="25"/>
  <c r="AJ33" i="25" s="1"/>
  <c r="AJ35" i="25"/>
  <c r="AH71" i="25"/>
  <c r="AH84" i="25" s="1"/>
  <c r="AH73" i="25"/>
  <c r="AI42" i="25"/>
  <c r="AI92" i="25" s="1"/>
  <c r="AO41" i="24"/>
  <c r="AO89" i="24" s="1"/>
  <c r="AN114" i="24"/>
  <c r="AN56" i="24"/>
  <c r="AB112" i="21" l="1"/>
  <c r="AB122" i="21" s="1"/>
  <c r="AB124" i="21" s="1"/>
  <c r="AB109" i="21"/>
  <c r="AB113" i="21" s="1"/>
  <c r="AC69" i="21"/>
  <c r="AC78" i="21"/>
  <c r="AC85" i="21" s="1"/>
  <c r="AD41" i="21"/>
  <c r="AD54" i="21" s="1"/>
  <c r="AD59" i="21"/>
  <c r="AI113" i="19"/>
  <c r="AI56" i="19"/>
  <c r="AI115" i="19" s="1"/>
  <c r="AE123" i="21" s="1"/>
  <c r="AJ97" i="19"/>
  <c r="CA42" i="24"/>
  <c r="CA62" i="24"/>
  <c r="CA78" i="24"/>
  <c r="CB75" i="24" s="1"/>
  <c r="CB76" i="24" s="1"/>
  <c r="AN116" i="24"/>
  <c r="AJ132" i="25" s="1"/>
  <c r="AH75" i="25"/>
  <c r="AI43" i="25"/>
  <c r="AI65" i="25" s="1"/>
  <c r="AI46" i="25"/>
  <c r="AO90" i="24"/>
  <c r="AO91" i="24" s="1"/>
  <c r="AP88" i="24" s="1"/>
  <c r="AO44" i="24"/>
  <c r="AO61" i="24"/>
  <c r="AC86" i="21" l="1"/>
  <c r="AD80" i="21" s="1"/>
  <c r="AC88" i="21"/>
  <c r="AD60" i="21"/>
  <c r="AI117" i="19"/>
  <c r="AE23" i="21" s="1"/>
  <c r="AJ41" i="19"/>
  <c r="AJ44" i="19"/>
  <c r="CA63" i="24"/>
  <c r="CB83" i="24"/>
  <c r="CB77" i="24"/>
  <c r="AN118" i="24"/>
  <c r="AJ23" i="25" s="1"/>
  <c r="AJ47" i="25" s="1"/>
  <c r="AI48" i="25"/>
  <c r="AI44" i="25"/>
  <c r="AI57" i="25" s="1"/>
  <c r="AI66" i="25" s="1"/>
  <c r="AP97" i="24"/>
  <c r="AP98" i="24" s="1"/>
  <c r="AO43" i="24"/>
  <c r="AO46" i="24"/>
  <c r="AC92" i="21" l="1"/>
  <c r="AC89" i="21"/>
  <c r="AD64" i="21"/>
  <c r="AD61" i="21"/>
  <c r="AE56" i="21" s="1"/>
  <c r="AE31" i="21"/>
  <c r="AE34" i="21"/>
  <c r="AE44" i="21"/>
  <c r="AE57" i="21"/>
  <c r="AJ88" i="19"/>
  <c r="AJ61" i="19"/>
  <c r="CB42" i="24"/>
  <c r="CB78" i="24"/>
  <c r="CC75" i="24" s="1"/>
  <c r="CC76" i="24" s="1"/>
  <c r="CB62" i="24"/>
  <c r="AJ31" i="25"/>
  <c r="AJ60" i="25"/>
  <c r="AJ62" i="25" s="1"/>
  <c r="AJ34" i="25"/>
  <c r="AJ36" i="25" s="1"/>
  <c r="AJ38" i="25" s="1"/>
  <c r="AJ61" i="25"/>
  <c r="AI67" i="25"/>
  <c r="AI70" i="25"/>
  <c r="AO84" i="24"/>
  <c r="AO64" i="24"/>
  <c r="AO66" i="24" s="1"/>
  <c r="AC93" i="21" l="1"/>
  <c r="AC90" i="21"/>
  <c r="AD63" i="21"/>
  <c r="AD68" i="21"/>
  <c r="AE35" i="21"/>
  <c r="AE81" i="21"/>
  <c r="AE82" i="21" s="1"/>
  <c r="AE58" i="21"/>
  <c r="AJ43" i="19"/>
  <c r="AJ64" i="19" s="1"/>
  <c r="AJ66" i="19" s="1"/>
  <c r="AJ89" i="19"/>
  <c r="CB63" i="24"/>
  <c r="CC83" i="24"/>
  <c r="CC77" i="24" s="1"/>
  <c r="AJ37" i="25"/>
  <c r="AJ39" i="25" s="1"/>
  <c r="AJ87" i="25"/>
  <c r="AJ89" i="25" s="1"/>
  <c r="AJ63" i="25"/>
  <c r="AJ64" i="25"/>
  <c r="AJ59" i="25"/>
  <c r="AO85" i="24"/>
  <c r="AP81" i="24" s="1"/>
  <c r="AP82" i="24" s="1"/>
  <c r="AK142" i="25"/>
  <c r="AI69" i="25"/>
  <c r="AI93" i="25" s="1"/>
  <c r="AI74" i="25"/>
  <c r="AO54" i="24"/>
  <c r="AO55" i="24" s="1"/>
  <c r="AP45" i="24"/>
  <c r="AC103" i="21" l="1"/>
  <c r="AC94" i="21"/>
  <c r="AD84" i="21"/>
  <c r="AD65" i="21"/>
  <c r="AD67" i="21"/>
  <c r="AE36" i="21"/>
  <c r="AJ46" i="19"/>
  <c r="AJ83" i="19" s="1"/>
  <c r="AJ90" i="19"/>
  <c r="AK87" i="19" s="1"/>
  <c r="CC42" i="24"/>
  <c r="CC62" i="24"/>
  <c r="CC78" i="24"/>
  <c r="CD75" i="24" s="1"/>
  <c r="CD76" i="24" s="1"/>
  <c r="AJ40" i="25"/>
  <c r="AK33" i="25" s="1"/>
  <c r="AK35" i="25"/>
  <c r="AI71" i="25"/>
  <c r="AI84" i="25" s="1"/>
  <c r="AI73" i="25"/>
  <c r="AJ42" i="25"/>
  <c r="AJ92" i="25" s="1"/>
  <c r="AP41" i="24"/>
  <c r="AP89" i="24" s="1"/>
  <c r="AO114" i="24"/>
  <c r="AO56" i="24"/>
  <c r="AC105" i="21" l="1"/>
  <c r="AC108" i="21" s="1"/>
  <c r="AC112" i="21" s="1"/>
  <c r="AC122" i="21" s="1"/>
  <c r="AC124" i="21" s="1"/>
  <c r="AC104" i="21"/>
  <c r="AC107" i="21" s="1"/>
  <c r="AD69" i="21"/>
  <c r="AD78" i="21"/>
  <c r="AD85" i="21" s="1"/>
  <c r="AE39" i="21"/>
  <c r="AE43" i="21" s="1"/>
  <c r="AE45" i="21" s="1"/>
  <c r="AE37" i="21"/>
  <c r="AF33" i="21" s="1"/>
  <c r="AJ84" i="19"/>
  <c r="AK80" i="19" s="1"/>
  <c r="AK81" i="19" s="1"/>
  <c r="AJ54" i="19"/>
  <c r="AJ55" i="19" s="1"/>
  <c r="AK96" i="19"/>
  <c r="AK45" i="19"/>
  <c r="CC63" i="24"/>
  <c r="CD83" i="24"/>
  <c r="CD77" i="24" s="1"/>
  <c r="AO116" i="24"/>
  <c r="AK132" i="25" s="1"/>
  <c r="AI75" i="25"/>
  <c r="AJ43" i="25"/>
  <c r="AJ65" i="25" s="1"/>
  <c r="AJ46" i="25"/>
  <c r="AP90" i="24"/>
  <c r="AP91" i="24" s="1"/>
  <c r="AQ88" i="24" s="1"/>
  <c r="AP44" i="24"/>
  <c r="AP61" i="24"/>
  <c r="AC111" i="21" l="1"/>
  <c r="AC109" i="21"/>
  <c r="AC113" i="21" s="1"/>
  <c r="AD88" i="21"/>
  <c r="AD86" i="21"/>
  <c r="AE80" i="21" s="1"/>
  <c r="AE40" i="21"/>
  <c r="AE83" i="21"/>
  <c r="AJ56" i="19"/>
  <c r="AJ115" i="19" s="1"/>
  <c r="AF123" i="21" s="1"/>
  <c r="AJ113" i="19"/>
  <c r="AK97" i="19"/>
  <c r="CD42" i="24"/>
  <c r="CD62" i="24"/>
  <c r="CD78" i="24"/>
  <c r="CE75" i="24" s="1"/>
  <c r="CE76" i="24" s="1"/>
  <c r="AO118" i="24"/>
  <c r="AK23" i="25" s="1"/>
  <c r="AK60" i="25" s="1"/>
  <c r="AK62" i="25" s="1"/>
  <c r="AJ48" i="25"/>
  <c r="AJ44" i="25"/>
  <c r="AJ57" i="25" s="1"/>
  <c r="AJ66" i="25" s="1"/>
  <c r="AK61" i="25" s="1"/>
  <c r="AQ97" i="24"/>
  <c r="AQ98" i="24" s="1"/>
  <c r="AP43" i="24"/>
  <c r="AP46" i="24"/>
  <c r="AD92" i="21" l="1"/>
  <c r="AD89" i="21"/>
  <c r="AE59" i="21"/>
  <c r="AE41" i="21"/>
  <c r="AE54" i="21" s="1"/>
  <c r="AJ117" i="19"/>
  <c r="AF23" i="21" s="1"/>
  <c r="AK41" i="19"/>
  <c r="AK44" i="19"/>
  <c r="CD63" i="24"/>
  <c r="CE62" i="24"/>
  <c r="CE83" i="24"/>
  <c r="CE77" i="24"/>
  <c r="CE78" i="24" s="1"/>
  <c r="CF75" i="24" s="1"/>
  <c r="CF76" i="24" s="1"/>
  <c r="AK34" i="25"/>
  <c r="AK37" i="25" s="1"/>
  <c r="AK31" i="25"/>
  <c r="AK47" i="25"/>
  <c r="AK64" i="25"/>
  <c r="AJ67" i="25"/>
  <c r="AK63" i="25"/>
  <c r="AJ70" i="25"/>
  <c r="AP84" i="24"/>
  <c r="AP64" i="24"/>
  <c r="AP66" i="24" s="1"/>
  <c r="AD90" i="21" l="1"/>
  <c r="AD93" i="21"/>
  <c r="AE60" i="21"/>
  <c r="AF34" i="21"/>
  <c r="AF44" i="21"/>
  <c r="AF57" i="21"/>
  <c r="AF58" i="21" s="1"/>
  <c r="AF31" i="21"/>
  <c r="AK61" i="19"/>
  <c r="AK88" i="19"/>
  <c r="CE42" i="24"/>
  <c r="CF83" i="24"/>
  <c r="AK36" i="25"/>
  <c r="AK38" i="25" s="1"/>
  <c r="AK39" i="25" s="1"/>
  <c r="AK87" i="25"/>
  <c r="AK89" i="25" s="1"/>
  <c r="AK59" i="25"/>
  <c r="AP85" i="24"/>
  <c r="AQ81" i="24" s="1"/>
  <c r="AQ82" i="24" s="1"/>
  <c r="AL142" i="25"/>
  <c r="AJ69" i="25"/>
  <c r="AJ93" i="25" s="1"/>
  <c r="AJ74" i="25"/>
  <c r="AP54" i="24"/>
  <c r="AP55" i="24" s="1"/>
  <c r="AQ45" i="24"/>
  <c r="AD94" i="21" l="1"/>
  <c r="AD103" i="21"/>
  <c r="AE61" i="21"/>
  <c r="AF56" i="21" s="1"/>
  <c r="AE64" i="21"/>
  <c r="AF35" i="21"/>
  <c r="AF36" i="21" s="1"/>
  <c r="AF81" i="21"/>
  <c r="AF82" i="21" s="1"/>
  <c r="AK89" i="19"/>
  <c r="AK43" i="19"/>
  <c r="AK64" i="19" s="1"/>
  <c r="AK66" i="19" s="1"/>
  <c r="CE63" i="24"/>
  <c r="CF42" i="24"/>
  <c r="CF63" i="24" s="1"/>
  <c r="CF77" i="24"/>
  <c r="AK40" i="25"/>
  <c r="AL33" i="25" s="1"/>
  <c r="AL35" i="25"/>
  <c r="AJ71" i="25"/>
  <c r="AJ84" i="25" s="1"/>
  <c r="AJ73" i="25"/>
  <c r="AK42" i="25"/>
  <c r="AK92" i="25" s="1"/>
  <c r="AP114" i="24"/>
  <c r="AP56" i="24"/>
  <c r="AQ41" i="24"/>
  <c r="AQ89" i="24" s="1"/>
  <c r="AD104" i="21" l="1"/>
  <c r="AD107" i="21" s="1"/>
  <c r="AD105" i="21"/>
  <c r="AD108" i="21" s="1"/>
  <c r="AD112" i="21" s="1"/>
  <c r="AD122" i="21" s="1"/>
  <c r="AD124" i="21" s="1"/>
  <c r="AE63" i="21"/>
  <c r="AE68" i="21"/>
  <c r="AK46" i="19"/>
  <c r="AK83" i="19" s="1"/>
  <c r="AK90" i="19"/>
  <c r="AL87" i="19" s="1"/>
  <c r="AF39" i="21"/>
  <c r="AF37" i="21"/>
  <c r="AG33" i="21" s="1"/>
  <c r="CF62" i="24"/>
  <c r="CF78" i="24"/>
  <c r="CG75" i="24" s="1"/>
  <c r="CG76" i="24" s="1"/>
  <c r="AP116" i="24"/>
  <c r="AL132" i="25" s="1"/>
  <c r="AJ75" i="25"/>
  <c r="AK43" i="25"/>
  <c r="AK65" i="25" s="1"/>
  <c r="AK46" i="25"/>
  <c r="AQ90" i="24"/>
  <c r="AQ91" i="24" s="1"/>
  <c r="AR88" i="24" s="1"/>
  <c r="AQ44" i="24"/>
  <c r="AQ61" i="24"/>
  <c r="AD111" i="21" l="1"/>
  <c r="AD109" i="21"/>
  <c r="AD113" i="21" s="1"/>
  <c r="AE65" i="21"/>
  <c r="AE84" i="21"/>
  <c r="AE67" i="21"/>
  <c r="AK84" i="19"/>
  <c r="AL80" i="19" s="1"/>
  <c r="AL81" i="19" s="1"/>
  <c r="AK54" i="19"/>
  <c r="AK55" i="19" s="1"/>
  <c r="AL96" i="19"/>
  <c r="AL45" i="19"/>
  <c r="AF43" i="21"/>
  <c r="AF45" i="21" s="1"/>
  <c r="AF40" i="21"/>
  <c r="AF83" i="21"/>
  <c r="CG83" i="24"/>
  <c r="CG77" i="24" s="1"/>
  <c r="AP118" i="24"/>
  <c r="AL23" i="25" s="1"/>
  <c r="AL60" i="25" s="1"/>
  <c r="AL62" i="25" s="1"/>
  <c r="AK48" i="25"/>
  <c r="AK44" i="25"/>
  <c r="AK57" i="25" s="1"/>
  <c r="AK66" i="25" s="1"/>
  <c r="AR97" i="24"/>
  <c r="AR98" i="24" s="1"/>
  <c r="AQ43" i="24"/>
  <c r="AQ46" i="24"/>
  <c r="B106" i="19"/>
  <c r="AE69" i="21" l="1"/>
  <c r="AE78" i="21"/>
  <c r="AE85" i="21" s="1"/>
  <c r="AK113" i="19"/>
  <c r="AK56" i="19"/>
  <c r="AK115" i="19" s="1"/>
  <c r="AG123" i="21" s="1"/>
  <c r="AL97" i="19"/>
  <c r="AF59" i="21"/>
  <c r="AF41" i="21"/>
  <c r="AF54" i="21" s="1"/>
  <c r="CG42" i="24"/>
  <c r="CG62" i="24"/>
  <c r="CG78" i="24"/>
  <c r="CH75" i="24" s="1"/>
  <c r="CH76" i="24" s="1"/>
  <c r="AL31" i="25"/>
  <c r="AL34" i="25"/>
  <c r="AL36" i="25" s="1"/>
  <c r="AL38" i="25" s="1"/>
  <c r="AL47" i="25"/>
  <c r="AL64" i="25"/>
  <c r="AL61" i="25"/>
  <c r="AL63" i="25" s="1"/>
  <c r="AK67" i="25"/>
  <c r="AL59" i="25" s="1"/>
  <c r="AQ84" i="24"/>
  <c r="AR45" i="24"/>
  <c r="AQ64" i="24"/>
  <c r="AQ66" i="24" s="1"/>
  <c r="B107" i="19"/>
  <c r="AE86" i="21" l="1"/>
  <c r="AF80" i="21" s="1"/>
  <c r="AE88" i="21"/>
  <c r="AF60" i="21"/>
  <c r="AK117" i="19"/>
  <c r="AG23" i="21" s="1"/>
  <c r="AL41" i="19"/>
  <c r="AL44" i="19"/>
  <c r="CG63" i="24"/>
  <c r="CH83" i="24"/>
  <c r="CH77" i="24"/>
  <c r="AL37" i="25"/>
  <c r="AL39" i="25" s="1"/>
  <c r="AL87" i="25"/>
  <c r="AL89" i="25" s="1"/>
  <c r="AK70" i="25"/>
  <c r="AK69" i="25" s="1"/>
  <c r="AK93" i="25" s="1"/>
  <c r="AQ85" i="24"/>
  <c r="AR81" i="24" s="1"/>
  <c r="AR82" i="24" s="1"/>
  <c r="AM142" i="25"/>
  <c r="AR41" i="24"/>
  <c r="AR89" i="24" s="1"/>
  <c r="AQ54" i="24"/>
  <c r="AQ55" i="24" s="1"/>
  <c r="B102" i="19"/>
  <c r="AE89" i="21" l="1"/>
  <c r="AE92" i="21"/>
  <c r="AG31" i="21"/>
  <c r="AG57" i="21"/>
  <c r="AG58" i="21" s="1"/>
  <c r="AG34" i="21"/>
  <c r="AG44" i="21"/>
  <c r="AL61" i="19"/>
  <c r="AL88" i="19"/>
  <c r="AF64" i="21"/>
  <c r="AF61" i="21"/>
  <c r="AG56" i="21" s="1"/>
  <c r="CH42" i="24"/>
  <c r="CH78" i="24"/>
  <c r="CI75" i="24" s="1"/>
  <c r="CI76" i="24" s="1"/>
  <c r="CH62" i="24"/>
  <c r="AL40" i="25"/>
  <c r="AM33" i="25" s="1"/>
  <c r="AM35" i="25"/>
  <c r="AK74" i="25"/>
  <c r="AK71" i="25"/>
  <c r="AK84" i="25" s="1"/>
  <c r="AK73" i="25"/>
  <c r="AL42" i="25"/>
  <c r="AL92" i="25" s="1"/>
  <c r="AR90" i="24"/>
  <c r="AR91" i="24" s="1"/>
  <c r="AS88" i="24" s="1"/>
  <c r="AR44" i="24"/>
  <c r="AR61" i="24"/>
  <c r="AQ114" i="24"/>
  <c r="AQ56" i="24"/>
  <c r="B103" i="19"/>
  <c r="AE90" i="21" l="1"/>
  <c r="AE93" i="21"/>
  <c r="AG81" i="21"/>
  <c r="AG82" i="21" s="1"/>
  <c r="AG35" i="21"/>
  <c r="AG36" i="21" s="1"/>
  <c r="AL89" i="19"/>
  <c r="AL43" i="19"/>
  <c r="AL64" i="19" s="1"/>
  <c r="AL66" i="19" s="1"/>
  <c r="AF63" i="21"/>
  <c r="AF68" i="21"/>
  <c r="CH63" i="24"/>
  <c r="CI83" i="24"/>
  <c r="CI77" i="24" s="1"/>
  <c r="AQ116" i="24"/>
  <c r="AM132" i="25" s="1"/>
  <c r="AK75" i="25"/>
  <c r="AL43" i="25"/>
  <c r="AL65" i="25" s="1"/>
  <c r="AL46" i="25"/>
  <c r="AS97" i="24"/>
  <c r="AS98" i="24" s="1"/>
  <c r="AR43" i="24"/>
  <c r="AR46" i="24"/>
  <c r="B51" i="19"/>
  <c r="B50" i="19"/>
  <c r="AE94" i="21" l="1"/>
  <c r="AE103" i="21"/>
  <c r="AF65" i="21"/>
  <c r="AF84" i="21"/>
  <c r="AF67" i="21"/>
  <c r="AG39" i="21"/>
  <c r="AG37" i="21"/>
  <c r="AH33" i="21" s="1"/>
  <c r="AL46" i="19"/>
  <c r="AL83" i="19" s="1"/>
  <c r="AL90" i="19"/>
  <c r="AM87" i="19" s="1"/>
  <c r="CI42" i="24"/>
  <c r="CI62" i="24"/>
  <c r="CI78" i="24"/>
  <c r="CJ75" i="24" s="1"/>
  <c r="CJ76" i="24" s="1"/>
  <c r="AQ118" i="24"/>
  <c r="AM23" i="25" s="1"/>
  <c r="AM60" i="25" s="1"/>
  <c r="AM62" i="25" s="1"/>
  <c r="AL48" i="25"/>
  <c r="AL44" i="25"/>
  <c r="AL57" i="25" s="1"/>
  <c r="AL66" i="25" s="1"/>
  <c r="AM61" i="25" s="1"/>
  <c r="AR84" i="24"/>
  <c r="AR64" i="24"/>
  <c r="AR66" i="24" s="1"/>
  <c r="B116" i="19"/>
  <c r="AE105" i="21" l="1"/>
  <c r="AE108" i="21" s="1"/>
  <c r="AE112" i="21" s="1"/>
  <c r="AE122" i="21" s="1"/>
  <c r="AE124" i="21" s="1"/>
  <c r="AE104" i="21"/>
  <c r="AE107" i="21" s="1"/>
  <c r="AF69" i="21"/>
  <c r="AF78" i="21"/>
  <c r="AF85" i="21" s="1"/>
  <c r="AL54" i="19"/>
  <c r="AL55" i="19" s="1"/>
  <c r="AL84" i="19"/>
  <c r="AM80" i="19" s="1"/>
  <c r="AM81" i="19" s="1"/>
  <c r="AG40" i="21"/>
  <c r="AG83" i="21"/>
  <c r="AG43" i="21"/>
  <c r="AG45" i="21" s="1"/>
  <c r="AM96" i="19"/>
  <c r="AM45" i="19"/>
  <c r="CI63" i="24"/>
  <c r="CJ83" i="24"/>
  <c r="CJ77" i="24" s="1"/>
  <c r="AM31" i="25"/>
  <c r="AM34" i="25"/>
  <c r="AM37" i="25" s="1"/>
  <c r="AM47" i="25"/>
  <c r="AM64" i="25"/>
  <c r="AL67" i="25"/>
  <c r="AM63" i="25"/>
  <c r="AL70" i="25"/>
  <c r="AR85" i="24"/>
  <c r="AS81" i="24" s="1"/>
  <c r="AS82" i="24" s="1"/>
  <c r="AN142" i="25"/>
  <c r="AR54" i="24"/>
  <c r="AR55" i="24" s="1"/>
  <c r="AS45" i="24"/>
  <c r="AE111" i="21" l="1"/>
  <c r="AE109" i="21"/>
  <c r="AE113" i="21" s="1"/>
  <c r="AF86" i="21"/>
  <c r="AG80" i="21" s="1"/>
  <c r="AF88" i="21"/>
  <c r="AL113" i="19"/>
  <c r="AL56" i="19"/>
  <c r="AM97" i="19"/>
  <c r="AG59" i="21"/>
  <c r="AG41" i="21"/>
  <c r="AG54" i="21" s="1"/>
  <c r="CJ42" i="24"/>
  <c r="CJ62" i="24"/>
  <c r="CJ78" i="24"/>
  <c r="CK75" i="24" s="1"/>
  <c r="CK76" i="24" s="1"/>
  <c r="AM87" i="25"/>
  <c r="AM89" i="25" s="1"/>
  <c r="AM36" i="25"/>
  <c r="AM38" i="25" s="1"/>
  <c r="AM39" i="25" s="1"/>
  <c r="AM59" i="25"/>
  <c r="AL69" i="25"/>
  <c r="AL93" i="25" s="1"/>
  <c r="AL74" i="25"/>
  <c r="AS41" i="24"/>
  <c r="AS89" i="24" s="1"/>
  <c r="AR114" i="24"/>
  <c r="AR56" i="24"/>
  <c r="AF89" i="21" l="1"/>
  <c r="AF92" i="21"/>
  <c r="AG60" i="21"/>
  <c r="AL115" i="19"/>
  <c r="AM41" i="19"/>
  <c r="AM44" i="19"/>
  <c r="CJ63" i="24"/>
  <c r="CK83" i="24"/>
  <c r="CK77" i="24" s="1"/>
  <c r="AR116" i="24"/>
  <c r="AN132" i="25" s="1"/>
  <c r="AM40" i="25"/>
  <c r="AN33" i="25" s="1"/>
  <c r="AN35" i="25"/>
  <c r="AL71" i="25"/>
  <c r="AL84" i="25" s="1"/>
  <c r="AL73" i="25"/>
  <c r="AM42" i="25"/>
  <c r="AM92" i="25" s="1"/>
  <c r="AS90" i="24"/>
  <c r="AS91" i="24" s="1"/>
  <c r="AT88" i="24" s="1"/>
  <c r="AS44" i="24"/>
  <c r="AS61" i="24"/>
  <c r="AG64" i="21" l="1"/>
  <c r="AG61" i="21"/>
  <c r="AH56" i="21" s="1"/>
  <c r="AL117" i="19"/>
  <c r="AH23" i="21" s="1"/>
  <c r="AH123" i="21"/>
  <c r="AM61" i="19"/>
  <c r="AM88" i="19"/>
  <c r="AF93" i="21"/>
  <c r="AF90" i="21"/>
  <c r="CK42" i="24"/>
  <c r="CK62" i="24"/>
  <c r="CK78" i="24"/>
  <c r="CL75" i="24" s="1"/>
  <c r="CL76" i="24" s="1"/>
  <c r="AR118" i="24"/>
  <c r="AN23" i="25" s="1"/>
  <c r="AL75" i="25"/>
  <c r="AM43" i="25"/>
  <c r="AM65" i="25" s="1"/>
  <c r="AM46" i="25"/>
  <c r="AT97" i="24"/>
  <c r="AT98" i="24" s="1"/>
  <c r="AS43" i="24"/>
  <c r="AS46" i="24"/>
  <c r="AG68" i="21" l="1"/>
  <c r="AG63" i="21"/>
  <c r="AH57" i="21"/>
  <c r="AH34" i="21"/>
  <c r="AH44" i="21"/>
  <c r="AH31" i="21"/>
  <c r="AM89" i="19"/>
  <c r="AM43" i="19"/>
  <c r="AM64" i="19" s="1"/>
  <c r="AM66" i="19" s="1"/>
  <c r="AF94" i="21"/>
  <c r="AF103" i="21"/>
  <c r="CK63" i="24"/>
  <c r="CL83" i="24"/>
  <c r="CL77" i="24" s="1"/>
  <c r="AN60" i="25"/>
  <c r="AN62" i="25" s="1"/>
  <c r="AN34" i="25"/>
  <c r="AN37" i="25" s="1"/>
  <c r="AN31" i="25"/>
  <c r="AN47" i="25"/>
  <c r="AM48" i="25"/>
  <c r="AM44" i="25"/>
  <c r="AM57" i="25" s="1"/>
  <c r="AM66" i="25" s="1"/>
  <c r="AS84" i="24"/>
  <c r="AS64" i="24"/>
  <c r="AS66" i="24" s="1"/>
  <c r="AG67" i="21" l="1"/>
  <c r="AG65" i="21"/>
  <c r="AG84" i="21"/>
  <c r="AH58" i="21"/>
  <c r="AH35" i="21"/>
  <c r="AH81" i="21"/>
  <c r="AH82" i="21" s="1"/>
  <c r="AF104" i="21"/>
  <c r="AF107" i="21" s="1"/>
  <c r="AF105" i="21"/>
  <c r="AF108" i="21" s="1"/>
  <c r="AF112" i="21" s="1"/>
  <c r="AF122" i="21" s="1"/>
  <c r="AF124" i="21" s="1"/>
  <c r="AM46" i="19"/>
  <c r="AM83" i="19" s="1"/>
  <c r="AM90" i="19"/>
  <c r="AN87" i="19" s="1"/>
  <c r="CL42" i="24"/>
  <c r="CL62" i="24"/>
  <c r="CL78" i="24"/>
  <c r="CM75" i="24" s="1"/>
  <c r="CM76" i="24" s="1"/>
  <c r="AN64" i="25"/>
  <c r="AN87" i="25"/>
  <c r="AN89" i="25" s="1"/>
  <c r="AN36" i="25"/>
  <c r="AN38" i="25" s="1"/>
  <c r="AN39" i="25" s="1"/>
  <c r="AN61" i="25"/>
  <c r="AN63" i="25" s="1"/>
  <c r="AM67" i="25"/>
  <c r="AM70" i="25"/>
  <c r="AS85" i="24"/>
  <c r="AT81" i="24" s="1"/>
  <c r="AT82" i="24" s="1"/>
  <c r="AO142" i="25"/>
  <c r="AS54" i="24"/>
  <c r="AS55" i="24" s="1"/>
  <c r="AT45" i="24"/>
  <c r="AG69" i="21" l="1"/>
  <c r="AG78" i="21"/>
  <c r="AG85" i="21" s="1"/>
  <c r="AF109" i="21"/>
  <c r="AF113" i="21" s="1"/>
  <c r="AF111" i="21"/>
  <c r="AM54" i="19"/>
  <c r="AM55" i="19" s="1"/>
  <c r="AM84" i="19"/>
  <c r="AN80" i="19" s="1"/>
  <c r="AN81" i="19" s="1"/>
  <c r="AN45" i="19"/>
  <c r="AN96" i="19"/>
  <c r="AH36" i="21"/>
  <c r="CL63" i="24"/>
  <c r="CM83" i="24"/>
  <c r="CM77" i="24" s="1"/>
  <c r="AN40" i="25"/>
  <c r="AO33" i="25" s="1"/>
  <c r="AO35" i="25"/>
  <c r="AN59" i="25"/>
  <c r="AM69" i="25"/>
  <c r="AM93" i="25" s="1"/>
  <c r="AM74" i="25"/>
  <c r="AN42" i="25"/>
  <c r="AN92" i="25" s="1"/>
  <c r="AS114" i="24"/>
  <c r="AS56" i="24"/>
  <c r="AT41" i="24"/>
  <c r="AT89" i="24" s="1"/>
  <c r="AG86" i="21" l="1"/>
  <c r="AH80" i="21" s="1"/>
  <c r="AG88" i="21"/>
  <c r="AH39" i="21"/>
  <c r="AH37" i="21"/>
  <c r="AI33" i="21" s="1"/>
  <c r="AM56" i="19"/>
  <c r="AM115" i="19" s="1"/>
  <c r="AI123" i="21" s="1"/>
  <c r="AM113" i="19"/>
  <c r="AN97" i="19"/>
  <c r="CM42" i="24"/>
  <c r="CM62" i="24"/>
  <c r="CM78" i="24"/>
  <c r="CN75" i="24" s="1"/>
  <c r="CN76" i="24" s="1"/>
  <c r="AS116" i="24"/>
  <c r="AO132" i="25" s="1"/>
  <c r="AN46" i="25"/>
  <c r="AN48" i="25" s="1"/>
  <c r="AM71" i="25"/>
  <c r="AM84" i="25" s="1"/>
  <c r="AM73" i="25"/>
  <c r="AN43" i="25"/>
  <c r="AT90" i="24"/>
  <c r="AT91" i="24" s="1"/>
  <c r="AU88" i="24" s="1"/>
  <c r="AT61" i="24"/>
  <c r="AT44" i="24"/>
  <c r="AG89" i="21" l="1"/>
  <c r="AG92" i="21"/>
  <c r="AH40" i="21"/>
  <c r="AH83" i="21"/>
  <c r="AH43" i="21"/>
  <c r="AH45" i="21" s="1"/>
  <c r="AM117" i="19"/>
  <c r="AI23" i="21" s="1"/>
  <c r="AN41" i="19"/>
  <c r="AN44" i="19"/>
  <c r="CM63" i="24"/>
  <c r="CN83" i="24"/>
  <c r="CN77" i="24" s="1"/>
  <c r="AS118" i="24"/>
  <c r="AO23" i="25" s="1"/>
  <c r="AO60" i="25" s="1"/>
  <c r="AO62" i="25" s="1"/>
  <c r="AM75" i="25"/>
  <c r="AN44" i="25"/>
  <c r="AN57" i="25" s="1"/>
  <c r="AN65" i="25"/>
  <c r="AU97" i="24"/>
  <c r="AU98" i="24" s="1"/>
  <c r="AT43" i="24"/>
  <c r="AT46" i="24"/>
  <c r="AG93" i="21" l="1"/>
  <c r="AG90" i="21"/>
  <c r="AH59" i="21"/>
  <c r="AH41" i="21"/>
  <c r="AH54" i="21" s="1"/>
  <c r="AI31" i="21"/>
  <c r="AI44" i="21"/>
  <c r="AI34" i="21"/>
  <c r="AI57" i="21"/>
  <c r="AI58" i="21" s="1"/>
  <c r="AN61" i="19"/>
  <c r="AN88" i="19"/>
  <c r="CN42" i="24"/>
  <c r="CN62" i="24"/>
  <c r="CN78" i="24"/>
  <c r="CO75" i="24" s="1"/>
  <c r="CO76" i="24" s="1"/>
  <c r="AO31" i="25"/>
  <c r="AO47" i="25"/>
  <c r="AO34" i="25"/>
  <c r="AO37" i="25" s="1"/>
  <c r="AN66" i="25"/>
  <c r="AO64" i="25" s="1"/>
  <c r="AT84" i="24"/>
  <c r="AT64" i="24"/>
  <c r="AT66" i="24" s="1"/>
  <c r="AG94" i="21" l="1"/>
  <c r="AG103" i="21"/>
  <c r="AH60" i="21"/>
  <c r="AI35" i="21"/>
  <c r="AI36" i="21" s="1"/>
  <c r="AI81" i="21"/>
  <c r="AI82" i="21" s="1"/>
  <c r="AN89" i="19"/>
  <c r="AN43" i="19"/>
  <c r="AN64" i="19" s="1"/>
  <c r="AN66" i="19" s="1"/>
  <c r="CN63" i="24"/>
  <c r="CO83" i="24"/>
  <c r="CO77" i="24" s="1"/>
  <c r="B76" i="24"/>
  <c r="B78" i="24" s="1"/>
  <c r="AO87" i="25"/>
  <c r="AO89" i="25" s="1"/>
  <c r="AO36" i="25"/>
  <c r="AO38" i="25" s="1"/>
  <c r="AO39" i="25" s="1"/>
  <c r="AO61" i="25"/>
  <c r="AO63" i="25" s="1"/>
  <c r="AN67" i="25"/>
  <c r="AO59" i="25" s="1"/>
  <c r="AN70" i="25"/>
  <c r="AN69" i="25" s="1"/>
  <c r="AN93" i="25" s="1"/>
  <c r="AT85" i="24"/>
  <c r="AU81" i="24" s="1"/>
  <c r="AU82" i="24" s="1"/>
  <c r="AP142" i="25"/>
  <c r="AT54" i="24"/>
  <c r="AT55" i="24" s="1"/>
  <c r="AU45" i="24"/>
  <c r="AG104" i="21" l="1"/>
  <c r="AG107" i="21" s="1"/>
  <c r="AG105" i="21"/>
  <c r="AG108" i="21" s="1"/>
  <c r="AG112" i="21" s="1"/>
  <c r="AG122" i="21" s="1"/>
  <c r="AG124" i="21" s="1"/>
  <c r="AH64" i="21"/>
  <c r="AH61" i="21"/>
  <c r="AI56" i="21" s="1"/>
  <c r="AI39" i="21"/>
  <c r="AI37" i="21"/>
  <c r="AJ33" i="21" s="1"/>
  <c r="AN46" i="19"/>
  <c r="AN83" i="19" s="1"/>
  <c r="AN90" i="19"/>
  <c r="AO87" i="19" s="1"/>
  <c r="B83" i="24"/>
  <c r="CO42" i="24"/>
  <c r="CO62" i="24"/>
  <c r="B62" i="24" s="1"/>
  <c r="CO78" i="24"/>
  <c r="AO40" i="25"/>
  <c r="AP33" i="25" s="1"/>
  <c r="AP35" i="25"/>
  <c r="AN74" i="25"/>
  <c r="AN71" i="25"/>
  <c r="AN84" i="25" s="1"/>
  <c r="AN73" i="25"/>
  <c r="AO42" i="25"/>
  <c r="AO92" i="25" s="1"/>
  <c r="AU41" i="24"/>
  <c r="AU89" i="24" s="1"/>
  <c r="AT114" i="24"/>
  <c r="AT56" i="24"/>
  <c r="AG109" i="21" l="1"/>
  <c r="AG113" i="21" s="1"/>
  <c r="AG111" i="21"/>
  <c r="AH68" i="21"/>
  <c r="AH63" i="21"/>
  <c r="AI83" i="21"/>
  <c r="AI40" i="21"/>
  <c r="AI43" i="21"/>
  <c r="AI45" i="21" s="1"/>
  <c r="AN54" i="19"/>
  <c r="AN55" i="19" s="1"/>
  <c r="AN84" i="19"/>
  <c r="AO80" i="19" s="1"/>
  <c r="AO96" i="19"/>
  <c r="AO45" i="19"/>
  <c r="B42" i="24"/>
  <c r="CO63" i="24"/>
  <c r="B63" i="24" s="1"/>
  <c r="AT116" i="24"/>
  <c r="AP132" i="25" s="1"/>
  <c r="AN75" i="25"/>
  <c r="AO43" i="25"/>
  <c r="AO65" i="25" s="1"/>
  <c r="AO46" i="25"/>
  <c r="AU90" i="24"/>
  <c r="AU91" i="24" s="1"/>
  <c r="AV88" i="24" s="1"/>
  <c r="AU61" i="24"/>
  <c r="AU44" i="24"/>
  <c r="AI41" i="21" l="1"/>
  <c r="AI54" i="21" s="1"/>
  <c r="AI59" i="21"/>
  <c r="AH65" i="21"/>
  <c r="AH84" i="21"/>
  <c r="AH67" i="21"/>
  <c r="AN113" i="19"/>
  <c r="AN56" i="19"/>
  <c r="AO97" i="19"/>
  <c r="AO81" i="19"/>
  <c r="AT118" i="24"/>
  <c r="AP23" i="25" s="1"/>
  <c r="AP31" i="25" s="1"/>
  <c r="AO48" i="25"/>
  <c r="AO44" i="25"/>
  <c r="AO57" i="25" s="1"/>
  <c r="AO66" i="25" s="1"/>
  <c r="AV97" i="24"/>
  <c r="AV98" i="24" s="1"/>
  <c r="AU43" i="24"/>
  <c r="AU46" i="24"/>
  <c r="AI60" i="21" l="1"/>
  <c r="AH69" i="21"/>
  <c r="AH78" i="21"/>
  <c r="AH85" i="21" s="1"/>
  <c r="AN115" i="19"/>
  <c r="AO41" i="19"/>
  <c r="AO44" i="19"/>
  <c r="AP34" i="25"/>
  <c r="AP37" i="25" s="1"/>
  <c r="AP60" i="25"/>
  <c r="AP62" i="25" s="1"/>
  <c r="AP64" i="25" s="1"/>
  <c r="AP47" i="25"/>
  <c r="AP61" i="25"/>
  <c r="AO67" i="25"/>
  <c r="AU84" i="24"/>
  <c r="AU64" i="24"/>
  <c r="AU66" i="24" s="1"/>
  <c r="AI61" i="21" l="1"/>
  <c r="AJ56" i="21" s="1"/>
  <c r="AI64" i="21"/>
  <c r="AH86" i="21"/>
  <c r="AI80" i="21" s="1"/>
  <c r="AH88" i="21"/>
  <c r="AN117" i="19"/>
  <c r="AJ23" i="21" s="1"/>
  <c r="AJ123" i="21"/>
  <c r="AO61" i="19"/>
  <c r="AO88" i="19"/>
  <c r="AP87" i="25"/>
  <c r="AP89" i="25" s="1"/>
  <c r="AP36" i="25"/>
  <c r="AP38" i="25" s="1"/>
  <c r="AP39" i="25" s="1"/>
  <c r="AP63" i="25"/>
  <c r="AO70" i="25"/>
  <c r="AO69" i="25" s="1"/>
  <c r="AO93" i="25" s="1"/>
  <c r="AP59" i="25"/>
  <c r="AU85" i="24"/>
  <c r="AV81" i="24" s="1"/>
  <c r="AV82" i="24" s="1"/>
  <c r="AQ142" i="25"/>
  <c r="AU54" i="24"/>
  <c r="AU55" i="24" s="1"/>
  <c r="AV45" i="24"/>
  <c r="AH92" i="21" l="1"/>
  <c r="AH89" i="21"/>
  <c r="AI68" i="21"/>
  <c r="AI63" i="21"/>
  <c r="AJ31" i="21"/>
  <c r="AJ57" i="21"/>
  <c r="AJ44" i="21"/>
  <c r="AJ34" i="21"/>
  <c r="AO89" i="19"/>
  <c r="AO43" i="19"/>
  <c r="AO64" i="19" s="1"/>
  <c r="AO66" i="19" s="1"/>
  <c r="AP40" i="25"/>
  <c r="AQ33" i="25" s="1"/>
  <c r="AQ35" i="25"/>
  <c r="AO74" i="25"/>
  <c r="AO71" i="25"/>
  <c r="AO84" i="25" s="1"/>
  <c r="AO73" i="25"/>
  <c r="AP42" i="25"/>
  <c r="AP92" i="25" s="1"/>
  <c r="AV41" i="24"/>
  <c r="AV89" i="24" s="1"/>
  <c r="AU114" i="24"/>
  <c r="AU56" i="24"/>
  <c r="AH93" i="21" l="1"/>
  <c r="AH90" i="21"/>
  <c r="AI84" i="21"/>
  <c r="AI67" i="21"/>
  <c r="AI65" i="21"/>
  <c r="AJ58" i="21"/>
  <c r="AJ35" i="21"/>
  <c r="AJ81" i="21"/>
  <c r="AJ82" i="21" s="1"/>
  <c r="AO46" i="19"/>
  <c r="AO83" i="19" s="1"/>
  <c r="AO90" i="19"/>
  <c r="AP87" i="19" s="1"/>
  <c r="AU116" i="24"/>
  <c r="AQ132" i="25" s="1"/>
  <c r="AO75" i="25"/>
  <c r="AP43" i="25"/>
  <c r="AP65" i="25" s="1"/>
  <c r="AP46" i="25"/>
  <c r="AV90" i="24"/>
  <c r="AV91" i="24" s="1"/>
  <c r="AW88" i="24" s="1"/>
  <c r="AV44" i="24"/>
  <c r="AV61" i="24"/>
  <c r="AH94" i="21" l="1"/>
  <c r="AH103" i="21"/>
  <c r="AI69" i="21"/>
  <c r="AI78" i="21"/>
  <c r="AI85" i="21" s="1"/>
  <c r="AO54" i="19"/>
  <c r="AO55" i="19" s="1"/>
  <c r="AO84" i="19"/>
  <c r="AP80" i="19" s="1"/>
  <c r="AP96" i="19"/>
  <c r="AP45" i="19"/>
  <c r="AJ36" i="21"/>
  <c r="AU118" i="24"/>
  <c r="AQ23" i="25" s="1"/>
  <c r="AQ47" i="25" s="1"/>
  <c r="AP48" i="25"/>
  <c r="AP44" i="25"/>
  <c r="AP57" i="25" s="1"/>
  <c r="AP66" i="25" s="1"/>
  <c r="AW97" i="24"/>
  <c r="AW98" i="24" s="1"/>
  <c r="AV43" i="24"/>
  <c r="AV46" i="24"/>
  <c r="AH105" i="21" l="1"/>
  <c r="AH108" i="21" s="1"/>
  <c r="AH112" i="21" s="1"/>
  <c r="AH122" i="21" s="1"/>
  <c r="AH124" i="21" s="1"/>
  <c r="AH104" i="21"/>
  <c r="AH107" i="21" s="1"/>
  <c r="AI86" i="21"/>
  <c r="AJ80" i="21" s="1"/>
  <c r="AI88" i="21"/>
  <c r="AJ39" i="21"/>
  <c r="AJ40" i="21" s="1"/>
  <c r="AJ37" i="21"/>
  <c r="AK33" i="21" s="1"/>
  <c r="AO56" i="19"/>
  <c r="AO115" i="19" s="1"/>
  <c r="AK123" i="21" s="1"/>
  <c r="AO113" i="19"/>
  <c r="AP97" i="19"/>
  <c r="AP81" i="19"/>
  <c r="AQ34" i="25"/>
  <c r="AQ36" i="25" s="1"/>
  <c r="AQ38" i="25" s="1"/>
  <c r="AQ31" i="25"/>
  <c r="AQ60" i="25"/>
  <c r="AQ62" i="25" s="1"/>
  <c r="AQ61" i="25"/>
  <c r="AP67" i="25"/>
  <c r="AP70" i="25"/>
  <c r="AV84" i="24"/>
  <c r="AV64" i="24"/>
  <c r="AV66" i="24" s="1"/>
  <c r="AH111" i="21" l="1"/>
  <c r="AH109" i="21"/>
  <c r="AH113" i="21" s="1"/>
  <c r="AI92" i="21"/>
  <c r="AI89" i="21"/>
  <c r="AJ43" i="21"/>
  <c r="AJ45" i="21" s="1"/>
  <c r="AJ83" i="21"/>
  <c r="AO117" i="19"/>
  <c r="AK23" i="21" s="1"/>
  <c r="AP41" i="19"/>
  <c r="AP44" i="19"/>
  <c r="AJ59" i="21"/>
  <c r="AJ41" i="21"/>
  <c r="AJ54" i="21" s="1"/>
  <c r="AQ37" i="25"/>
  <c r="AQ39" i="25" s="1"/>
  <c r="AQ87" i="25"/>
  <c r="AQ89" i="25" s="1"/>
  <c r="AQ63" i="25"/>
  <c r="AQ64" i="25"/>
  <c r="AQ59" i="25"/>
  <c r="AV85" i="24"/>
  <c r="AW81" i="24" s="1"/>
  <c r="AW82" i="24" s="1"/>
  <c r="AR142" i="25"/>
  <c r="AP69" i="25"/>
  <c r="AP93" i="25" s="1"/>
  <c r="AP74" i="25"/>
  <c r="AW45" i="24"/>
  <c r="AV54" i="24"/>
  <c r="AV55" i="24" s="1"/>
  <c r="AW41" i="24"/>
  <c r="AW89" i="24" s="1"/>
  <c r="AI93" i="21" l="1"/>
  <c r="AI90" i="21"/>
  <c r="AK31" i="21"/>
  <c r="AK57" i="21"/>
  <c r="AK58" i="21" s="1"/>
  <c r="AK44" i="21"/>
  <c r="AK34" i="21"/>
  <c r="AP88" i="19"/>
  <c r="AP61" i="19"/>
  <c r="AJ60" i="21"/>
  <c r="AQ40" i="25"/>
  <c r="AR33" i="25" s="1"/>
  <c r="AR35" i="25"/>
  <c r="AP71" i="25"/>
  <c r="AP84" i="25" s="1"/>
  <c r="AP73" i="25"/>
  <c r="AQ42" i="25"/>
  <c r="AQ92" i="25" s="1"/>
  <c r="AW90" i="24"/>
  <c r="AW91" i="24" s="1"/>
  <c r="AX88" i="24" s="1"/>
  <c r="AW61" i="24"/>
  <c r="AV114" i="24"/>
  <c r="AV56" i="24"/>
  <c r="AW44" i="24"/>
  <c r="AI103" i="21" l="1"/>
  <c r="AI94" i="21"/>
  <c r="AK81" i="21"/>
  <c r="AK82" i="21" s="1"/>
  <c r="AK35" i="21"/>
  <c r="AK36" i="21" s="1"/>
  <c r="AP89" i="19"/>
  <c r="AP43" i="19"/>
  <c r="AP64" i="19" s="1"/>
  <c r="AP66" i="19" s="1"/>
  <c r="AJ64" i="21"/>
  <c r="AJ61" i="21"/>
  <c r="AK56" i="21" s="1"/>
  <c r="AV116" i="24"/>
  <c r="AR132" i="25" s="1"/>
  <c r="AP75" i="25"/>
  <c r="AQ43" i="25"/>
  <c r="AQ65" i="25" s="1"/>
  <c r="AQ46" i="25"/>
  <c r="AX97" i="24"/>
  <c r="AX98" i="24" s="1"/>
  <c r="AW43" i="24"/>
  <c r="AW46" i="24"/>
  <c r="AI104" i="21" l="1"/>
  <c r="AI107" i="21" s="1"/>
  <c r="AI105" i="21"/>
  <c r="AI108" i="21" s="1"/>
  <c r="AI112" i="21" s="1"/>
  <c r="AI122" i="21" s="1"/>
  <c r="AI124" i="21" s="1"/>
  <c r="AK39" i="21"/>
  <c r="AK37" i="21"/>
  <c r="AL33" i="21" s="1"/>
  <c r="AJ63" i="21"/>
  <c r="AJ68" i="21"/>
  <c r="AP46" i="19"/>
  <c r="AP83" i="19" s="1"/>
  <c r="AP90" i="19"/>
  <c r="AQ87" i="19" s="1"/>
  <c r="AV118" i="24"/>
  <c r="AR23" i="25" s="1"/>
  <c r="AR31" i="25" s="1"/>
  <c r="AQ48" i="25"/>
  <c r="AQ44" i="25"/>
  <c r="AQ57" i="25" s="1"/>
  <c r="AQ66" i="25" s="1"/>
  <c r="AR61" i="25" s="1"/>
  <c r="AW84" i="24"/>
  <c r="AX45" i="24"/>
  <c r="AW64" i="24"/>
  <c r="AW66" i="24" s="1"/>
  <c r="AI111" i="21" l="1"/>
  <c r="AI109" i="21"/>
  <c r="AI113" i="21" s="1"/>
  <c r="AK40" i="21"/>
  <c r="AK83" i="21"/>
  <c r="AK43" i="21"/>
  <c r="AK45" i="21" s="1"/>
  <c r="AJ65" i="21"/>
  <c r="AJ67" i="21"/>
  <c r="AJ84" i="21"/>
  <c r="AP54" i="19"/>
  <c r="AP55" i="19" s="1"/>
  <c r="AP84" i="19"/>
  <c r="AQ80" i="19" s="1"/>
  <c r="AQ96" i="19"/>
  <c r="AQ45" i="19"/>
  <c r="AR34" i="25"/>
  <c r="AR87" i="25" s="1"/>
  <c r="AR89" i="25" s="1"/>
  <c r="AR47" i="25"/>
  <c r="AR60" i="25"/>
  <c r="AR62" i="25" s="1"/>
  <c r="AQ67" i="25"/>
  <c r="AQ70" i="25"/>
  <c r="AW85" i="24"/>
  <c r="AX81" i="24" s="1"/>
  <c r="AX82" i="24" s="1"/>
  <c r="AS142" i="25"/>
  <c r="AX41" i="24"/>
  <c r="AX89" i="24" s="1"/>
  <c r="AW54" i="24"/>
  <c r="AW55" i="24" s="1"/>
  <c r="AK41" i="21" l="1"/>
  <c r="AK54" i="21" s="1"/>
  <c r="AK59" i="21"/>
  <c r="AJ78" i="21"/>
  <c r="AJ69" i="21"/>
  <c r="AP113" i="19"/>
  <c r="AP56" i="19"/>
  <c r="AQ97" i="19"/>
  <c r="AQ81" i="19"/>
  <c r="AR36" i="25"/>
  <c r="AR38" i="25" s="1"/>
  <c r="AR37" i="25"/>
  <c r="AR63" i="25"/>
  <c r="AR64" i="25"/>
  <c r="AR59" i="25"/>
  <c r="AQ69" i="25"/>
  <c r="AQ93" i="25" s="1"/>
  <c r="AQ74" i="25"/>
  <c r="AX90" i="24"/>
  <c r="AX91" i="24" s="1"/>
  <c r="AY88" i="24" s="1"/>
  <c r="AW114" i="24"/>
  <c r="AW56" i="24"/>
  <c r="AX44" i="24"/>
  <c r="AX61" i="24"/>
  <c r="AK60" i="21" l="1"/>
  <c r="AJ85" i="21"/>
  <c r="AP115" i="19"/>
  <c r="AQ41" i="19"/>
  <c r="AQ44" i="19"/>
  <c r="AR39" i="25"/>
  <c r="AS35" i="25" s="1"/>
  <c r="AW116" i="24"/>
  <c r="AS132" i="25" s="1"/>
  <c r="AQ71" i="25"/>
  <c r="AQ84" i="25" s="1"/>
  <c r="AQ73" i="25"/>
  <c r="AY97" i="24"/>
  <c r="AY98" i="24" s="1"/>
  <c r="AX43" i="24"/>
  <c r="AX46" i="24"/>
  <c r="AK61" i="21" l="1"/>
  <c r="AL56" i="21" s="1"/>
  <c r="AK64" i="21"/>
  <c r="AJ86" i="21"/>
  <c r="AK80" i="21" s="1"/>
  <c r="AJ88" i="21"/>
  <c r="AP117" i="19"/>
  <c r="AL23" i="21" s="1"/>
  <c r="AL123" i="21"/>
  <c r="AQ61" i="19"/>
  <c r="AQ88" i="19"/>
  <c r="AR40" i="25"/>
  <c r="AS33" i="25" s="1"/>
  <c r="AR42" i="25"/>
  <c r="AR92" i="25" s="1"/>
  <c r="AW118" i="24"/>
  <c r="AS23" i="25" s="1"/>
  <c r="AS60" i="25" s="1"/>
  <c r="AS62" i="25" s="1"/>
  <c r="AQ75" i="25"/>
  <c r="AX64" i="24"/>
  <c r="AX66" i="24" s="1"/>
  <c r="AX84" i="24"/>
  <c r="AK68" i="21" l="1"/>
  <c r="AK63" i="21"/>
  <c r="AJ92" i="21"/>
  <c r="AJ89" i="21"/>
  <c r="AL31" i="21"/>
  <c r="AL34" i="21"/>
  <c r="AL44" i="21"/>
  <c r="AL57" i="21"/>
  <c r="AQ89" i="19"/>
  <c r="AQ43" i="19"/>
  <c r="AQ64" i="19" s="1"/>
  <c r="AQ66" i="19" s="1"/>
  <c r="AR46" i="25"/>
  <c r="AR48" i="25" s="1"/>
  <c r="AR43" i="25"/>
  <c r="AR65" i="25" s="1"/>
  <c r="AS34" i="25"/>
  <c r="AS37" i="25" s="1"/>
  <c r="AS47" i="25"/>
  <c r="AS31" i="25"/>
  <c r="AX85" i="24"/>
  <c r="AY81" i="24" s="1"/>
  <c r="AY82" i="24" s="1"/>
  <c r="AT142" i="25"/>
  <c r="AX54" i="24"/>
  <c r="AX55" i="24" s="1"/>
  <c r="AY45" i="24"/>
  <c r="AK65" i="21" l="1"/>
  <c r="AK67" i="21"/>
  <c r="AK84" i="21"/>
  <c r="AJ93" i="21"/>
  <c r="AJ90" i="21"/>
  <c r="AQ46" i="19"/>
  <c r="AQ83" i="19" s="1"/>
  <c r="AQ90" i="19"/>
  <c r="AR87" i="19" s="1"/>
  <c r="AL35" i="21"/>
  <c r="AL81" i="21"/>
  <c r="AL82" i="21" s="1"/>
  <c r="AL58" i="21"/>
  <c r="AR44" i="25"/>
  <c r="AR57" i="25" s="1"/>
  <c r="AR66" i="25" s="1"/>
  <c r="AS64" i="25" s="1"/>
  <c r="AS87" i="25"/>
  <c r="AS89" i="25" s="1"/>
  <c r="AS36" i="25"/>
  <c r="AS38" i="25" s="1"/>
  <c r="AS39" i="25" s="1"/>
  <c r="AY41" i="24"/>
  <c r="AY89" i="24" s="1"/>
  <c r="AX114" i="24"/>
  <c r="AX56" i="24"/>
  <c r="AK69" i="21" l="1"/>
  <c r="AK78" i="21"/>
  <c r="AK85" i="21" s="1"/>
  <c r="AJ103" i="21"/>
  <c r="AJ94" i="21"/>
  <c r="AQ84" i="19"/>
  <c r="AR80" i="19" s="1"/>
  <c r="AR81" i="19" s="1"/>
  <c r="AQ54" i="19"/>
  <c r="AQ55" i="19" s="1"/>
  <c r="AR96" i="19"/>
  <c r="AR97" i="19" s="1"/>
  <c r="AR45" i="19"/>
  <c r="AL36" i="21"/>
  <c r="AR70" i="25"/>
  <c r="AR69" i="25" s="1"/>
  <c r="AR93" i="25" s="1"/>
  <c r="AR67" i="25"/>
  <c r="AS59" i="25" s="1"/>
  <c r="AS61" i="25"/>
  <c r="AS63" i="25" s="1"/>
  <c r="AX116" i="24"/>
  <c r="AT132" i="25" s="1"/>
  <c r="AS40" i="25"/>
  <c r="AT33" i="25" s="1"/>
  <c r="AT35" i="25"/>
  <c r="AS42" i="25"/>
  <c r="AS92" i="25" s="1"/>
  <c r="AY90" i="24"/>
  <c r="AY91" i="24" s="1"/>
  <c r="AZ88" i="24" s="1"/>
  <c r="AY44" i="24"/>
  <c r="AY61" i="24"/>
  <c r="AK86" i="21" l="1"/>
  <c r="AL80" i="21" s="1"/>
  <c r="AK88" i="21"/>
  <c r="AQ56" i="19"/>
  <c r="AQ115" i="19" s="1"/>
  <c r="AM123" i="21" s="1"/>
  <c r="AQ113" i="19"/>
  <c r="AJ105" i="21"/>
  <c r="AJ108" i="21" s="1"/>
  <c r="AJ112" i="21" s="1"/>
  <c r="AJ122" i="21" s="1"/>
  <c r="AJ124" i="21" s="1"/>
  <c r="AJ104" i="21"/>
  <c r="AJ107" i="21" s="1"/>
  <c r="AR41" i="19"/>
  <c r="AR44" i="19"/>
  <c r="AL39" i="21"/>
  <c r="AL37" i="21"/>
  <c r="AM33" i="21" s="1"/>
  <c r="AR74" i="25"/>
  <c r="AX118" i="24"/>
  <c r="AT23" i="25" s="1"/>
  <c r="AT34" i="25" s="1"/>
  <c r="AS43" i="25"/>
  <c r="AS65" i="25" s="1"/>
  <c r="AS46" i="25"/>
  <c r="AS48" i="25" s="1"/>
  <c r="AR71" i="25"/>
  <c r="AR84" i="25" s="1"/>
  <c r="AR73" i="25"/>
  <c r="AZ97" i="24"/>
  <c r="AZ98" i="24" s="1"/>
  <c r="AY43" i="24"/>
  <c r="AY46" i="24"/>
  <c r="AK89" i="21" l="1"/>
  <c r="AK92" i="21"/>
  <c r="AQ117" i="19"/>
  <c r="AM23" i="21" s="1"/>
  <c r="AJ111" i="21"/>
  <c r="AJ109" i="21"/>
  <c r="AJ113" i="21" s="1"/>
  <c r="AR61" i="19"/>
  <c r="AR88" i="19"/>
  <c r="AL43" i="21"/>
  <c r="AL45" i="21" s="1"/>
  <c r="AL83" i="21"/>
  <c r="AL40" i="21"/>
  <c r="AT31" i="25"/>
  <c r="AT47" i="25"/>
  <c r="AT60" i="25"/>
  <c r="AT62" i="25" s="1"/>
  <c r="AT37" i="25"/>
  <c r="AT36" i="25"/>
  <c r="AT38" i="25" s="1"/>
  <c r="AT87" i="25"/>
  <c r="AT89" i="25" s="1"/>
  <c r="AS44" i="25"/>
  <c r="AS57" i="25" s="1"/>
  <c r="AS66" i="25" s="1"/>
  <c r="AR75" i="25"/>
  <c r="AY84" i="24"/>
  <c r="AY64" i="24"/>
  <c r="AY66" i="24" s="1"/>
  <c r="AK90" i="21" l="1"/>
  <c r="AK93" i="21"/>
  <c r="AM44" i="21"/>
  <c r="AM57" i="21"/>
  <c r="AM58" i="21" s="1"/>
  <c r="AM34" i="21"/>
  <c r="AM31" i="21"/>
  <c r="AR43" i="19"/>
  <c r="AR64" i="19" s="1"/>
  <c r="AR66" i="19" s="1"/>
  <c r="AR89" i="19"/>
  <c r="AL59" i="21"/>
  <c r="AL41" i="21"/>
  <c r="AL54" i="21" s="1"/>
  <c r="AT64" i="25"/>
  <c r="AT61" i="25"/>
  <c r="AT63" i="25" s="1"/>
  <c r="AS67" i="25"/>
  <c r="AS70" i="25"/>
  <c r="AS69" i="25" s="1"/>
  <c r="AS93" i="25" s="1"/>
  <c r="AY85" i="24"/>
  <c r="AZ81" i="24" s="1"/>
  <c r="AZ82" i="24" s="1"/>
  <c r="AU142" i="25"/>
  <c r="AT39" i="25"/>
  <c r="AZ45" i="24"/>
  <c r="AZ41" i="24"/>
  <c r="AZ89" i="24" s="1"/>
  <c r="AY54" i="24"/>
  <c r="AY55" i="24" s="1"/>
  <c r="AK103" i="21" l="1"/>
  <c r="AK94" i="21"/>
  <c r="AM35" i="21"/>
  <c r="AM36" i="21" s="1"/>
  <c r="AM81" i="21"/>
  <c r="AM82" i="21" s="1"/>
  <c r="AL60" i="21"/>
  <c r="AR46" i="19"/>
  <c r="AR83" i="19" s="1"/>
  <c r="AR90" i="19"/>
  <c r="AS87" i="19" s="1"/>
  <c r="AT40" i="25"/>
  <c r="AU33" i="25" s="1"/>
  <c r="AU35" i="25"/>
  <c r="AT59" i="25"/>
  <c r="AS74" i="25"/>
  <c r="AS71" i="25"/>
  <c r="AS84" i="25" s="1"/>
  <c r="AS73" i="25"/>
  <c r="AT42" i="25"/>
  <c r="AT92" i="25" s="1"/>
  <c r="AZ90" i="24"/>
  <c r="AZ91" i="24" s="1"/>
  <c r="BA88" i="24" s="1"/>
  <c r="AZ44" i="24"/>
  <c r="AY114" i="24"/>
  <c r="AY56" i="24"/>
  <c r="AZ61" i="24"/>
  <c r="AK105" i="21" l="1"/>
  <c r="AK108" i="21" s="1"/>
  <c r="AK104" i="21"/>
  <c r="AK107" i="21" s="1"/>
  <c r="AK111" i="21" s="1"/>
  <c r="AM39" i="21"/>
  <c r="AM37" i="21"/>
  <c r="AN33" i="21" s="1"/>
  <c r="AR84" i="19"/>
  <c r="AS80" i="19" s="1"/>
  <c r="AS81" i="19" s="1"/>
  <c r="AR54" i="19"/>
  <c r="AR55" i="19" s="1"/>
  <c r="AS45" i="19"/>
  <c r="AS96" i="19"/>
  <c r="AL64" i="21"/>
  <c r="AL61" i="21"/>
  <c r="AM56" i="21" s="1"/>
  <c r="AY116" i="24"/>
  <c r="AU132" i="25" s="1"/>
  <c r="AT43" i="25"/>
  <c r="AT65" i="25" s="1"/>
  <c r="AS75" i="25"/>
  <c r="AT46" i="25"/>
  <c r="BA97" i="24"/>
  <c r="BA98" i="24" s="1"/>
  <c r="AZ43" i="24"/>
  <c r="AZ46" i="24"/>
  <c r="AK112" i="21" l="1"/>
  <c r="AK122" i="21" s="1"/>
  <c r="AK124" i="21" s="1"/>
  <c r="AK109" i="21"/>
  <c r="AK113" i="21" s="1"/>
  <c r="AM83" i="21"/>
  <c r="AM40" i="21"/>
  <c r="AM43" i="21"/>
  <c r="AM45" i="21" s="1"/>
  <c r="AR113" i="19"/>
  <c r="AR56" i="19"/>
  <c r="AR115" i="19" s="1"/>
  <c r="AN123" i="21" s="1"/>
  <c r="AS97" i="19"/>
  <c r="AL63" i="21"/>
  <c r="AL68" i="21"/>
  <c r="AY118" i="24"/>
  <c r="AU23" i="25" s="1"/>
  <c r="AU60" i="25" s="1"/>
  <c r="AU62" i="25" s="1"/>
  <c r="AT44" i="25"/>
  <c r="AT57" i="25" s="1"/>
  <c r="AT66" i="25" s="1"/>
  <c r="AU61" i="25" s="1"/>
  <c r="AT48" i="25"/>
  <c r="AZ84" i="24"/>
  <c r="AZ64" i="24"/>
  <c r="AZ66" i="24" s="1"/>
  <c r="AM41" i="21" l="1"/>
  <c r="AM54" i="21" s="1"/>
  <c r="AM59" i="21"/>
  <c r="AL65" i="21"/>
  <c r="AL67" i="21"/>
  <c r="AL84" i="21"/>
  <c r="AR117" i="19"/>
  <c r="AN23" i="21" s="1"/>
  <c r="AS41" i="19"/>
  <c r="AS44" i="19"/>
  <c r="AU31" i="25"/>
  <c r="AU34" i="25"/>
  <c r="AU37" i="25" s="1"/>
  <c r="AU47" i="25"/>
  <c r="AU64" i="25"/>
  <c r="AT67" i="25"/>
  <c r="AU59" i="25" s="1"/>
  <c r="AU63" i="25"/>
  <c r="AT70" i="25"/>
  <c r="AT69" i="25" s="1"/>
  <c r="AT93" i="25" s="1"/>
  <c r="AZ85" i="24"/>
  <c r="BA81" i="24" s="1"/>
  <c r="BA82" i="24" s="1"/>
  <c r="AV142" i="25"/>
  <c r="AZ54" i="24"/>
  <c r="AZ55" i="24" s="1"/>
  <c r="BA45" i="24"/>
  <c r="AM60" i="21" l="1"/>
  <c r="AL78" i="21"/>
  <c r="AL69" i="21"/>
  <c r="AN31" i="21"/>
  <c r="AN44" i="21"/>
  <c r="AN34" i="21"/>
  <c r="AN57" i="21"/>
  <c r="AN58" i="21" s="1"/>
  <c r="AS88" i="19"/>
  <c r="AS61" i="19"/>
  <c r="AU87" i="25"/>
  <c r="AU89" i="25" s="1"/>
  <c r="AU36" i="25"/>
  <c r="AU38" i="25" s="1"/>
  <c r="AU39" i="25" s="1"/>
  <c r="AT74" i="25"/>
  <c r="AT71" i="25"/>
  <c r="AT84" i="25" s="1"/>
  <c r="AT73" i="25"/>
  <c r="BA41" i="24"/>
  <c r="BA89" i="24" s="1"/>
  <c r="AZ114" i="24"/>
  <c r="AZ56" i="24"/>
  <c r="AM61" i="21" l="1"/>
  <c r="AN56" i="21" s="1"/>
  <c r="AM64" i="21"/>
  <c r="AL85" i="21"/>
  <c r="AN35" i="21"/>
  <c r="AN81" i="21"/>
  <c r="AN82" i="21" s="1"/>
  <c r="AS43" i="19"/>
  <c r="AS64" i="19" s="1"/>
  <c r="AS66" i="19" s="1"/>
  <c r="AS89" i="19"/>
  <c r="AZ116" i="24"/>
  <c r="AV132" i="25" s="1"/>
  <c r="AU40" i="25"/>
  <c r="AV33" i="25" s="1"/>
  <c r="AV35" i="25"/>
  <c r="AT75" i="25"/>
  <c r="AU42" i="25"/>
  <c r="AU92" i="25" s="1"/>
  <c r="BA90" i="24"/>
  <c r="BA91" i="24" s="1"/>
  <c r="BB88" i="24" s="1"/>
  <c r="BA61" i="24"/>
  <c r="BA44" i="24"/>
  <c r="AM63" i="21" l="1"/>
  <c r="AM68" i="21"/>
  <c r="AS46" i="19"/>
  <c r="AS83" i="19" s="1"/>
  <c r="AS90" i="19"/>
  <c r="AT87" i="19" s="1"/>
  <c r="AL86" i="21"/>
  <c r="AM80" i="21" s="1"/>
  <c r="AL88" i="21"/>
  <c r="AN36" i="21"/>
  <c r="AZ118" i="24"/>
  <c r="AV23" i="25" s="1"/>
  <c r="AV47" i="25" s="1"/>
  <c r="AU43" i="25"/>
  <c r="AU65" i="25" s="1"/>
  <c r="AU46" i="25"/>
  <c r="BB97" i="24"/>
  <c r="BB98" i="24" s="1"/>
  <c r="BA43" i="24"/>
  <c r="BA46" i="24"/>
  <c r="AM65" i="21" l="1"/>
  <c r="AM84" i="21"/>
  <c r="AM67" i="21"/>
  <c r="AS54" i="19"/>
  <c r="AS55" i="19" s="1"/>
  <c r="AS84" i="19"/>
  <c r="AT80" i="19" s="1"/>
  <c r="AT81" i="19" s="1"/>
  <c r="AT96" i="19"/>
  <c r="AT97" i="19" s="1"/>
  <c r="AT45" i="19"/>
  <c r="AN39" i="21"/>
  <c r="AN40" i="21" s="1"/>
  <c r="AN59" i="21" s="1"/>
  <c r="AN37" i="21"/>
  <c r="AO33" i="21" s="1"/>
  <c r="AL92" i="21"/>
  <c r="AL89" i="21"/>
  <c r="AV60" i="25"/>
  <c r="AV62" i="25" s="1"/>
  <c r="AV31" i="25"/>
  <c r="AV34" i="25"/>
  <c r="AV37" i="25" s="1"/>
  <c r="AU48" i="25"/>
  <c r="AU44" i="25"/>
  <c r="AU57" i="25" s="1"/>
  <c r="AU66" i="25" s="1"/>
  <c r="BA84" i="24"/>
  <c r="BA64" i="24"/>
  <c r="BA66" i="24" s="1"/>
  <c r="AS113" i="19" l="1"/>
  <c r="AS56" i="19"/>
  <c r="AS115" i="19" s="1"/>
  <c r="AO123" i="21" s="1"/>
  <c r="AM78" i="21"/>
  <c r="AM85" i="21" s="1"/>
  <c r="AM69" i="21"/>
  <c r="AN43" i="21"/>
  <c r="AN45" i="21" s="1"/>
  <c r="AN83" i="21"/>
  <c r="AN41" i="21"/>
  <c r="AN54" i="21" s="1"/>
  <c r="AN60" i="21" s="1"/>
  <c r="AL93" i="21"/>
  <c r="AL90" i="21"/>
  <c r="AT41" i="19"/>
  <c r="AT44" i="19"/>
  <c r="AV64" i="25"/>
  <c r="AV36" i="25"/>
  <c r="AV38" i="25" s="1"/>
  <c r="AV39" i="25" s="1"/>
  <c r="AV87" i="25"/>
  <c r="AV89" i="25" s="1"/>
  <c r="AV61" i="25"/>
  <c r="AV63" i="25" s="1"/>
  <c r="AU67" i="25"/>
  <c r="AU70" i="25"/>
  <c r="BA85" i="24"/>
  <c r="BB81" i="24" s="1"/>
  <c r="BB82" i="24" s="1"/>
  <c r="AW142" i="25"/>
  <c r="BB45" i="24"/>
  <c r="BA54" i="24"/>
  <c r="BA55" i="24" s="1"/>
  <c r="BB41" i="24"/>
  <c r="BB89" i="24" s="1"/>
  <c r="AS117" i="19" l="1"/>
  <c r="AO23" i="21" s="1"/>
  <c r="AO34" i="21" s="1"/>
  <c r="AM88" i="21"/>
  <c r="AM86" i="21"/>
  <c r="AN80" i="21" s="1"/>
  <c r="AL94" i="21"/>
  <c r="AL103" i="21"/>
  <c r="AT61" i="19"/>
  <c r="AT88" i="19"/>
  <c r="AN64" i="21"/>
  <c r="AN61" i="21"/>
  <c r="AO56" i="21" s="1"/>
  <c r="AV40" i="25"/>
  <c r="AW33" i="25" s="1"/>
  <c r="AW35" i="25"/>
  <c r="AV59" i="25"/>
  <c r="AU69" i="25"/>
  <c r="AU93" i="25" s="1"/>
  <c r="AU74" i="25"/>
  <c r="AV42" i="25"/>
  <c r="AV92" i="25" s="1"/>
  <c r="BB90" i="24"/>
  <c r="BB91" i="24" s="1"/>
  <c r="BC88" i="24" s="1"/>
  <c r="BB44" i="24"/>
  <c r="BA114" i="24"/>
  <c r="BA56" i="24"/>
  <c r="BB61" i="24"/>
  <c r="AO31" i="21" l="1"/>
  <c r="AO57" i="21"/>
  <c r="AO58" i="21" s="1"/>
  <c r="AO44" i="21"/>
  <c r="AM92" i="21"/>
  <c r="AM89" i="21"/>
  <c r="AO35" i="21"/>
  <c r="AO81" i="21"/>
  <c r="AO82" i="21" s="1"/>
  <c r="AL104" i="21"/>
  <c r="AL107" i="21" s="1"/>
  <c r="AL105" i="21"/>
  <c r="AL108" i="21" s="1"/>
  <c r="AL112" i="21" s="1"/>
  <c r="AL122" i="21" s="1"/>
  <c r="AL124" i="21" s="1"/>
  <c r="AT43" i="19"/>
  <c r="AT64" i="19" s="1"/>
  <c r="AT66" i="19" s="1"/>
  <c r="AT89" i="19"/>
  <c r="AN63" i="21"/>
  <c r="AN68" i="21"/>
  <c r="BA116" i="24"/>
  <c r="AW132" i="25" s="1"/>
  <c r="AV46" i="25"/>
  <c r="AV48" i="25" s="1"/>
  <c r="AU71" i="25"/>
  <c r="AU84" i="25" s="1"/>
  <c r="AU73" i="25"/>
  <c r="AV43" i="25"/>
  <c r="BC97" i="24"/>
  <c r="BC98" i="24" s="1"/>
  <c r="BB43" i="24"/>
  <c r="BB46" i="24"/>
  <c r="AM93" i="21" l="1"/>
  <c r="AM90" i="21"/>
  <c r="AL111" i="21"/>
  <c r="AL109" i="21"/>
  <c r="AL113" i="21" s="1"/>
  <c r="AN65" i="21"/>
  <c r="AN67" i="21"/>
  <c r="AN84" i="21"/>
  <c r="AO36" i="21"/>
  <c r="AT46" i="19"/>
  <c r="AT83" i="19" s="1"/>
  <c r="AT90" i="19"/>
  <c r="AU87" i="19" s="1"/>
  <c r="BA118" i="24"/>
  <c r="AW23" i="25" s="1"/>
  <c r="AW47" i="25" s="1"/>
  <c r="AU75" i="25"/>
  <c r="AV44" i="25"/>
  <c r="AV57" i="25" s="1"/>
  <c r="AV65" i="25"/>
  <c r="BB84" i="24"/>
  <c r="BB64" i="24"/>
  <c r="BB66" i="24" s="1"/>
  <c r="AM94" i="21" l="1"/>
  <c r="AM103" i="21"/>
  <c r="AO39" i="21"/>
  <c r="AO37" i="21"/>
  <c r="AP33" i="21" s="1"/>
  <c r="AN78" i="21"/>
  <c r="AN85" i="21" s="1"/>
  <c r="AN69" i="21"/>
  <c r="AT54" i="19"/>
  <c r="AT55" i="19" s="1"/>
  <c r="AT84" i="19"/>
  <c r="AU80" i="19" s="1"/>
  <c r="AU81" i="19" s="1"/>
  <c r="AU45" i="19"/>
  <c r="AU96" i="19"/>
  <c r="AW34" i="25"/>
  <c r="AW37" i="25" s="1"/>
  <c r="AW31" i="25"/>
  <c r="AW60" i="25"/>
  <c r="AW62" i="25" s="1"/>
  <c r="AV66" i="25"/>
  <c r="BB85" i="24"/>
  <c r="BC81" i="24" s="1"/>
  <c r="BC82" i="24" s="1"/>
  <c r="AX142" i="25"/>
  <c r="BB54" i="24"/>
  <c r="BB55" i="24" s="1"/>
  <c r="BC45" i="24"/>
  <c r="AM105" i="21" l="1"/>
  <c r="AM108" i="21" s="1"/>
  <c r="AM104" i="21"/>
  <c r="AM107" i="21" s="1"/>
  <c r="AM111" i="21" s="1"/>
  <c r="AO40" i="21"/>
  <c r="AO83" i="21"/>
  <c r="AO43" i="21"/>
  <c r="AO45" i="21" s="1"/>
  <c r="AN86" i="21"/>
  <c r="AO80" i="21" s="1"/>
  <c r="AN88" i="21"/>
  <c r="AT56" i="19"/>
  <c r="AT115" i="19" s="1"/>
  <c r="AP123" i="21" s="1"/>
  <c r="AT113" i="19"/>
  <c r="AU97" i="19"/>
  <c r="AW64" i="25"/>
  <c r="AW87" i="25"/>
  <c r="AW89" i="25" s="1"/>
  <c r="AW36" i="25"/>
  <c r="AW38" i="25" s="1"/>
  <c r="AW39" i="25" s="1"/>
  <c r="AW61" i="25"/>
  <c r="AW63" i="25" s="1"/>
  <c r="AV67" i="25"/>
  <c r="AW59" i="25" s="1"/>
  <c r="AV70" i="25"/>
  <c r="AV69" i="25" s="1"/>
  <c r="AV93" i="25" s="1"/>
  <c r="BC41" i="24"/>
  <c r="BC89" i="24" s="1"/>
  <c r="BB114" i="24"/>
  <c r="BB56" i="24"/>
  <c r="AM112" i="21" l="1"/>
  <c r="AM122" i="21" s="1"/>
  <c r="AM124" i="21" s="1"/>
  <c r="AM109" i="21"/>
  <c r="AM113" i="21" s="1"/>
  <c r="AO59" i="21"/>
  <c r="AO41" i="21"/>
  <c r="AO54" i="21" s="1"/>
  <c r="AO60" i="21" s="1"/>
  <c r="AN89" i="21"/>
  <c r="AN92" i="21"/>
  <c r="AT117" i="19"/>
  <c r="AP23" i="21" s="1"/>
  <c r="AU41" i="19"/>
  <c r="AU44" i="19"/>
  <c r="BB116" i="24"/>
  <c r="AX132" i="25" s="1"/>
  <c r="AW40" i="25"/>
  <c r="AX33" i="25" s="1"/>
  <c r="AX35" i="25"/>
  <c r="AV74" i="25"/>
  <c r="AV71" i="25"/>
  <c r="AV84" i="25" s="1"/>
  <c r="AV73" i="25"/>
  <c r="AW42" i="25"/>
  <c r="AW92" i="25" s="1"/>
  <c r="BC90" i="24"/>
  <c r="BC91" i="24" s="1"/>
  <c r="BD88" i="24" s="1"/>
  <c r="BC44" i="24"/>
  <c r="BC61" i="24"/>
  <c r="AO64" i="21" l="1"/>
  <c r="AO61" i="21"/>
  <c r="AP56" i="21" s="1"/>
  <c r="AP34" i="21"/>
  <c r="AP57" i="21"/>
  <c r="AP58" i="21" s="1"/>
  <c r="AP31" i="21"/>
  <c r="AP44" i="21"/>
  <c r="AU61" i="19"/>
  <c r="AU88" i="19"/>
  <c r="AN93" i="21"/>
  <c r="AN90" i="21"/>
  <c r="BB118" i="24"/>
  <c r="AX23" i="25" s="1"/>
  <c r="AX31" i="25" s="1"/>
  <c r="AW43" i="25"/>
  <c r="AW65" i="25" s="1"/>
  <c r="AV75" i="25"/>
  <c r="AW46" i="25"/>
  <c r="BD97" i="24"/>
  <c r="BD98" i="24" s="1"/>
  <c r="BC43" i="24"/>
  <c r="BC46" i="24"/>
  <c r="AO63" i="21" l="1"/>
  <c r="AO65" i="21" s="1"/>
  <c r="AO68" i="21"/>
  <c r="AP81" i="21"/>
  <c r="AP82" i="21" s="1"/>
  <c r="AP35" i="21"/>
  <c r="AP36" i="21" s="1"/>
  <c r="AU43" i="19"/>
  <c r="AU64" i="19" s="1"/>
  <c r="AU66" i="19" s="1"/>
  <c r="AU89" i="19"/>
  <c r="AN103" i="21"/>
  <c r="AN94" i="21"/>
  <c r="AX47" i="25"/>
  <c r="AX60" i="25"/>
  <c r="AX62" i="25" s="1"/>
  <c r="AX34" i="25"/>
  <c r="AX37" i="25" s="1"/>
  <c r="AW44" i="25"/>
  <c r="AW57" i="25" s="1"/>
  <c r="AW48" i="25"/>
  <c r="BC84" i="24"/>
  <c r="BC64" i="24"/>
  <c r="BC66" i="24" s="1"/>
  <c r="AO84" i="21" l="1"/>
  <c r="AO67" i="21"/>
  <c r="AO69" i="21"/>
  <c r="AO78" i="21"/>
  <c r="AN105" i="21"/>
  <c r="AN108" i="21" s="1"/>
  <c r="AN112" i="21" s="1"/>
  <c r="AN122" i="21" s="1"/>
  <c r="AN124" i="21" s="1"/>
  <c r="AN104" i="21"/>
  <c r="AN107" i="21" s="1"/>
  <c r="AP39" i="21"/>
  <c r="AP37" i="21"/>
  <c r="AQ33" i="21" s="1"/>
  <c r="AU46" i="19"/>
  <c r="AU83" i="19" s="1"/>
  <c r="AU90" i="19"/>
  <c r="AV87" i="19" s="1"/>
  <c r="AX87" i="25"/>
  <c r="AX89" i="25" s="1"/>
  <c r="AX36" i="25"/>
  <c r="AX38" i="25" s="1"/>
  <c r="AX39" i="25" s="1"/>
  <c r="AW66" i="25"/>
  <c r="BC85" i="24"/>
  <c r="BD81" i="24" s="1"/>
  <c r="BD82" i="24" s="1"/>
  <c r="AY142" i="25"/>
  <c r="BD45" i="24"/>
  <c r="BC54" i="24"/>
  <c r="BC55" i="24" s="1"/>
  <c r="AO85" i="21" l="1"/>
  <c r="AN111" i="21"/>
  <c r="AN109" i="21"/>
  <c r="AN113" i="21" s="1"/>
  <c r="AP40" i="21"/>
  <c r="AP43" i="21"/>
  <c r="AP45" i="21" s="1"/>
  <c r="AP83" i="21"/>
  <c r="AU54" i="19"/>
  <c r="AU55" i="19" s="1"/>
  <c r="AU84" i="19"/>
  <c r="AV80" i="19" s="1"/>
  <c r="AV81" i="19" s="1"/>
  <c r="AV45" i="19"/>
  <c r="AV96" i="19"/>
  <c r="AX64" i="25"/>
  <c r="AX61" i="25"/>
  <c r="AX63" i="25" s="1"/>
  <c r="AX40" i="25"/>
  <c r="AY33" i="25" s="1"/>
  <c r="AY35" i="25"/>
  <c r="AW70" i="25"/>
  <c r="AW74" i="25" s="1"/>
  <c r="AW67" i="25"/>
  <c r="AX59" i="25" s="1"/>
  <c r="AX42" i="25"/>
  <c r="AX92" i="25" s="1"/>
  <c r="BC114" i="24"/>
  <c r="BC56" i="24"/>
  <c r="BD41" i="24"/>
  <c r="BD89" i="24" s="1"/>
  <c r="AO88" i="21" l="1"/>
  <c r="AO86" i="21"/>
  <c r="AP80" i="21" s="1"/>
  <c r="AP41" i="21"/>
  <c r="AP54" i="21" s="1"/>
  <c r="AP59" i="21"/>
  <c r="AU113" i="19"/>
  <c r="AU56" i="19"/>
  <c r="AU115" i="19" s="1"/>
  <c r="AQ123" i="21" s="1"/>
  <c r="AV97" i="19"/>
  <c r="BC116" i="24"/>
  <c r="AY132" i="25" s="1"/>
  <c r="AW69" i="25"/>
  <c r="AW93" i="25" s="1"/>
  <c r="AX43" i="25"/>
  <c r="AX65" i="25" s="1"/>
  <c r="AX46" i="25"/>
  <c r="BD90" i="24"/>
  <c r="BD91" i="24" s="1"/>
  <c r="BE88" i="24" s="1"/>
  <c r="BD61" i="24"/>
  <c r="BD44" i="24"/>
  <c r="AO92" i="21" l="1"/>
  <c r="AO89" i="21"/>
  <c r="AP60" i="21"/>
  <c r="AU117" i="19"/>
  <c r="AQ23" i="21" s="1"/>
  <c r="AV41" i="19"/>
  <c r="AV44" i="19"/>
  <c r="BC118" i="24"/>
  <c r="AY23" i="25" s="1"/>
  <c r="AY60" i="25" s="1"/>
  <c r="AY62" i="25" s="1"/>
  <c r="AW71" i="25"/>
  <c r="AW84" i="25" s="1"/>
  <c r="AW73" i="25"/>
  <c r="AX48" i="25"/>
  <c r="AX44" i="25"/>
  <c r="AX57" i="25" s="1"/>
  <c r="AX66" i="25" s="1"/>
  <c r="BE97" i="24"/>
  <c r="BE98" i="24" s="1"/>
  <c r="BD43" i="24"/>
  <c r="BD46" i="24"/>
  <c r="AO90" i="21" l="1"/>
  <c r="AO93" i="21"/>
  <c r="AQ34" i="21"/>
  <c r="AQ31" i="21"/>
  <c r="AQ57" i="21"/>
  <c r="AQ58" i="21" s="1"/>
  <c r="AQ44" i="21"/>
  <c r="AV88" i="19"/>
  <c r="AV61" i="19"/>
  <c r="AP64" i="21"/>
  <c r="AP61" i="21"/>
  <c r="AQ56" i="21" s="1"/>
  <c r="AY31" i="25"/>
  <c r="AY34" i="25"/>
  <c r="AY87" i="25" s="1"/>
  <c r="AY89" i="25" s="1"/>
  <c r="AY47" i="25"/>
  <c r="AY64" i="25"/>
  <c r="AY61" i="25"/>
  <c r="AY63" i="25" s="1"/>
  <c r="AX67" i="25"/>
  <c r="AW75" i="25"/>
  <c r="AX70" i="25"/>
  <c r="BD84" i="24"/>
  <c r="BD64" i="24"/>
  <c r="BD66" i="24" s="1"/>
  <c r="AO94" i="21" l="1"/>
  <c r="AO103" i="21"/>
  <c r="AQ35" i="21"/>
  <c r="AQ81" i="21"/>
  <c r="AQ82" i="21" s="1"/>
  <c r="AV43" i="19"/>
  <c r="AV64" i="19" s="1"/>
  <c r="AV66" i="19" s="1"/>
  <c r="AV89" i="19"/>
  <c r="AP68" i="21"/>
  <c r="AP63" i="21"/>
  <c r="AY37" i="25"/>
  <c r="AY36" i="25"/>
  <c r="AY38" i="25" s="1"/>
  <c r="AY59" i="25"/>
  <c r="BD85" i="24"/>
  <c r="BE81" i="24" s="1"/>
  <c r="BE82" i="24" s="1"/>
  <c r="AZ142" i="25"/>
  <c r="AX69" i="25"/>
  <c r="AX93" i="25" s="1"/>
  <c r="AX74" i="25"/>
  <c r="BD54" i="24"/>
  <c r="BD55" i="24" s="1"/>
  <c r="BE45" i="24"/>
  <c r="AO104" i="21" l="1"/>
  <c r="AO107" i="21" s="1"/>
  <c r="AO111" i="21" s="1"/>
  <c r="AO105" i="21"/>
  <c r="AO108" i="21" s="1"/>
  <c r="AP84" i="21"/>
  <c r="AP65" i="21"/>
  <c r="AP67" i="21"/>
  <c r="AQ36" i="21"/>
  <c r="AV46" i="19"/>
  <c r="AV83" i="19" s="1"/>
  <c r="AV90" i="19"/>
  <c r="AW87" i="19" s="1"/>
  <c r="AY39" i="25"/>
  <c r="AZ35" i="25" s="1"/>
  <c r="AX71" i="25"/>
  <c r="AX84" i="25" s="1"/>
  <c r="AX73" i="25"/>
  <c r="BE41" i="24"/>
  <c r="BE89" i="24" s="1"/>
  <c r="BD114" i="24"/>
  <c r="BD56" i="24"/>
  <c r="AO112" i="21" l="1"/>
  <c r="AO122" i="21" s="1"/>
  <c r="AO124" i="21" s="1"/>
  <c r="AO109" i="21"/>
  <c r="AO113" i="21" s="1"/>
  <c r="AP69" i="21"/>
  <c r="AP78" i="21"/>
  <c r="AP85" i="21" s="1"/>
  <c r="AV84" i="19"/>
  <c r="AW80" i="19" s="1"/>
  <c r="AW81" i="19" s="1"/>
  <c r="AV54" i="19"/>
  <c r="AV55" i="19" s="1"/>
  <c r="AW45" i="19"/>
  <c r="AW96" i="19"/>
  <c r="AQ39" i="21"/>
  <c r="AQ37" i="21"/>
  <c r="AR33" i="21" s="1"/>
  <c r="AY42" i="25"/>
  <c r="AY92" i="25" s="1"/>
  <c r="AY40" i="25"/>
  <c r="AZ33" i="25" s="1"/>
  <c r="BD116" i="24"/>
  <c r="AZ132" i="25" s="1"/>
  <c r="AX75" i="25"/>
  <c r="BE90" i="24"/>
  <c r="BE91" i="24" s="1"/>
  <c r="BF88" i="24" s="1"/>
  <c r="BE44" i="24"/>
  <c r="BE61" i="24"/>
  <c r="AP86" i="21" l="1"/>
  <c r="AQ80" i="21" s="1"/>
  <c r="AP88" i="21"/>
  <c r="AV113" i="19"/>
  <c r="AV56" i="19"/>
  <c r="AV115" i="19" s="1"/>
  <c r="AR123" i="21" s="1"/>
  <c r="AW97" i="19"/>
  <c r="AQ43" i="21"/>
  <c r="AQ45" i="21" s="1"/>
  <c r="AQ83" i="21"/>
  <c r="AQ40" i="21"/>
  <c r="AY43" i="25"/>
  <c r="AY46" i="25"/>
  <c r="AY48" i="25" s="1"/>
  <c r="BD118" i="24"/>
  <c r="AZ23" i="25" s="1"/>
  <c r="AZ47" i="25" s="1"/>
  <c r="BF97" i="24"/>
  <c r="BF98" i="24" s="1"/>
  <c r="BE43" i="24"/>
  <c r="BE46" i="24"/>
  <c r="AP89" i="21" l="1"/>
  <c r="AP92" i="21"/>
  <c r="AV117" i="19"/>
  <c r="AR23" i="21" s="1"/>
  <c r="AW41" i="19"/>
  <c r="AW44" i="19"/>
  <c r="AQ59" i="21"/>
  <c r="AQ41" i="21"/>
  <c r="AQ54" i="21" s="1"/>
  <c r="AY65" i="25"/>
  <c r="AY44" i="25"/>
  <c r="AY57" i="25" s="1"/>
  <c r="AZ34" i="25"/>
  <c r="AZ37" i="25" s="1"/>
  <c r="AZ31" i="25"/>
  <c r="AZ60" i="25"/>
  <c r="AZ62" i="25" s="1"/>
  <c r="BE84" i="24"/>
  <c r="BE64" i="24"/>
  <c r="BE66" i="24" s="1"/>
  <c r="AR34" i="21" l="1"/>
  <c r="AR44" i="21"/>
  <c r="AR31" i="21"/>
  <c r="AR57" i="21"/>
  <c r="AR58" i="21" s="1"/>
  <c r="AW88" i="19"/>
  <c r="AW61" i="19"/>
  <c r="AQ60" i="21"/>
  <c r="AP93" i="21"/>
  <c r="AP90" i="21"/>
  <c r="AY66" i="25"/>
  <c r="AZ36" i="25"/>
  <c r="AZ38" i="25" s="1"/>
  <c r="AZ39" i="25" s="1"/>
  <c r="AZ87" i="25"/>
  <c r="AZ89" i="25" s="1"/>
  <c r="BE85" i="24"/>
  <c r="BF81" i="24" s="1"/>
  <c r="BF82" i="24" s="1"/>
  <c r="BA142" i="25"/>
  <c r="BF45" i="24"/>
  <c r="BE54" i="24"/>
  <c r="BE55" i="24" s="1"/>
  <c r="BF41" i="24"/>
  <c r="BF89" i="24" s="1"/>
  <c r="AQ64" i="21" l="1"/>
  <c r="AQ61" i="21"/>
  <c r="AR56" i="21" s="1"/>
  <c r="AR81" i="21"/>
  <c r="AR82" i="21" s="1"/>
  <c r="AR35" i="21"/>
  <c r="AW43" i="19"/>
  <c r="AW64" i="19" s="1"/>
  <c r="AW66" i="19" s="1"/>
  <c r="AW89" i="19"/>
  <c r="AP103" i="21"/>
  <c r="AP94" i="21"/>
  <c r="AZ64" i="25"/>
  <c r="AY70" i="25"/>
  <c r="AZ61" i="25"/>
  <c r="AZ63" i="25" s="1"/>
  <c r="AY67" i="25"/>
  <c r="AZ59" i="25" s="1"/>
  <c r="AZ40" i="25"/>
  <c r="BA33" i="25" s="1"/>
  <c r="BA35" i="25"/>
  <c r="AZ42" i="25"/>
  <c r="AZ92" i="25" s="1"/>
  <c r="BF90" i="24"/>
  <c r="BF91" i="24" s="1"/>
  <c r="BG88" i="24" s="1"/>
  <c r="BF61" i="24"/>
  <c r="BF44" i="24"/>
  <c r="BE114" i="24"/>
  <c r="BE56" i="24"/>
  <c r="AQ63" i="21" l="1"/>
  <c r="AQ68" i="21"/>
  <c r="AP104" i="21"/>
  <c r="AP107" i="21" s="1"/>
  <c r="AP105" i="21"/>
  <c r="AP108" i="21" s="1"/>
  <c r="AP112" i="21" s="1"/>
  <c r="AP122" i="21" s="1"/>
  <c r="AP124" i="21" s="1"/>
  <c r="AR36" i="21"/>
  <c r="AW46" i="19"/>
  <c r="AW83" i="19" s="1"/>
  <c r="AW90" i="19"/>
  <c r="AX87" i="19" s="1"/>
  <c r="AY74" i="25"/>
  <c r="AY69" i="25"/>
  <c r="BE116" i="24"/>
  <c r="BA132" i="25" s="1"/>
  <c r="AZ43" i="25"/>
  <c r="AZ65" i="25" s="1"/>
  <c r="AZ46" i="25"/>
  <c r="BG97" i="24"/>
  <c r="BG98" i="24" s="1"/>
  <c r="BF43" i="24"/>
  <c r="BF46" i="24"/>
  <c r="AQ67" i="21" l="1"/>
  <c r="AQ65" i="21"/>
  <c r="AQ84" i="21"/>
  <c r="AP111" i="21"/>
  <c r="AP109" i="21"/>
  <c r="AP113" i="21" s="1"/>
  <c r="AW54" i="19"/>
  <c r="AW55" i="19" s="1"/>
  <c r="AW84" i="19"/>
  <c r="AX80" i="19" s="1"/>
  <c r="AX81" i="19" s="1"/>
  <c r="AX45" i="19"/>
  <c r="AX96" i="19"/>
  <c r="AR39" i="21"/>
  <c r="AR37" i="21"/>
  <c r="AS33" i="21" s="1"/>
  <c r="AY73" i="25"/>
  <c r="AY71" i="25"/>
  <c r="AY93" i="25"/>
  <c r="BE118" i="24"/>
  <c r="BA23" i="25" s="1"/>
  <c r="BA60" i="25" s="1"/>
  <c r="BA62" i="25" s="1"/>
  <c r="AZ48" i="25"/>
  <c r="AZ44" i="25"/>
  <c r="AZ57" i="25" s="1"/>
  <c r="AZ66" i="25" s="1"/>
  <c r="BF84" i="24"/>
  <c r="BF64" i="24"/>
  <c r="BF66" i="24" s="1"/>
  <c r="AQ69" i="21" l="1"/>
  <c r="AQ78" i="21"/>
  <c r="AQ85" i="21" s="1"/>
  <c r="AW56" i="19"/>
  <c r="AW115" i="19" s="1"/>
  <c r="AS123" i="21" s="1"/>
  <c r="AW113" i="19"/>
  <c r="AX97" i="19"/>
  <c r="AR40" i="21"/>
  <c r="AR83" i="21"/>
  <c r="AR43" i="21"/>
  <c r="AR45" i="21" s="1"/>
  <c r="AY84" i="25"/>
  <c r="AY75" i="25"/>
  <c r="BA31" i="25"/>
  <c r="BA34" i="25"/>
  <c r="BA36" i="25" s="1"/>
  <c r="BA38" i="25" s="1"/>
  <c r="BA47" i="25"/>
  <c r="BA64" i="25"/>
  <c r="BA61" i="25"/>
  <c r="BA63" i="25" s="1"/>
  <c r="AZ67" i="25"/>
  <c r="AZ70" i="25"/>
  <c r="BF85" i="24"/>
  <c r="BG81" i="24" s="1"/>
  <c r="BG82" i="24" s="1"/>
  <c r="BB142" i="25"/>
  <c r="BG45" i="24"/>
  <c r="BF54" i="24"/>
  <c r="BF55" i="24" s="1"/>
  <c r="BG41" i="24"/>
  <c r="BG89" i="24" s="1"/>
  <c r="AQ88" i="21" l="1"/>
  <c r="AQ86" i="21"/>
  <c r="AR80" i="21" s="1"/>
  <c r="AW117" i="19"/>
  <c r="AS23" i="21" s="1"/>
  <c r="AX41" i="19"/>
  <c r="AX44" i="19"/>
  <c r="AR59" i="21"/>
  <c r="AR41" i="21"/>
  <c r="AR54" i="21" s="1"/>
  <c r="BA37" i="25"/>
  <c r="BA39" i="25" s="1"/>
  <c r="BA87" i="25"/>
  <c r="BA89" i="25" s="1"/>
  <c r="BA59" i="25"/>
  <c r="AZ69" i="25"/>
  <c r="AZ93" i="25" s="1"/>
  <c r="AZ74" i="25"/>
  <c r="BG90" i="24"/>
  <c r="BG91" i="24" s="1"/>
  <c r="BH88" i="24" s="1"/>
  <c r="BG61" i="24"/>
  <c r="BG44" i="24"/>
  <c r="BF114" i="24"/>
  <c r="BF56" i="24"/>
  <c r="AQ92" i="21" l="1"/>
  <c r="AQ89" i="21"/>
  <c r="AS44" i="21"/>
  <c r="AS34" i="21"/>
  <c r="AS57" i="21"/>
  <c r="AS58" i="21" s="1"/>
  <c r="AS31" i="21"/>
  <c r="AX61" i="19"/>
  <c r="AX88" i="19"/>
  <c r="AR60" i="21"/>
  <c r="BF116" i="24"/>
  <c r="BB132" i="25" s="1"/>
  <c r="BA40" i="25"/>
  <c r="BB33" i="25" s="1"/>
  <c r="BB35" i="25"/>
  <c r="BA42" i="25"/>
  <c r="BA92" i="25" s="1"/>
  <c r="AZ71" i="25"/>
  <c r="AZ84" i="25" s="1"/>
  <c r="AZ73" i="25"/>
  <c r="BH97" i="24"/>
  <c r="BH98" i="24" s="1"/>
  <c r="BG43" i="24"/>
  <c r="BG46" i="24"/>
  <c r="AQ93" i="21" l="1"/>
  <c r="AQ90" i="21"/>
  <c r="AR64" i="21"/>
  <c r="AR61" i="21"/>
  <c r="AS56" i="21" s="1"/>
  <c r="AS35" i="21"/>
  <c r="AS81" i="21"/>
  <c r="AS82" i="21" s="1"/>
  <c r="AX89" i="19"/>
  <c r="AX43" i="19"/>
  <c r="AX64" i="19" s="1"/>
  <c r="AX66" i="19" s="1"/>
  <c r="BF118" i="24"/>
  <c r="BB23" i="25" s="1"/>
  <c r="BB60" i="25" s="1"/>
  <c r="BB62" i="25" s="1"/>
  <c r="BA43" i="25"/>
  <c r="BA65" i="25" s="1"/>
  <c r="BA46" i="25"/>
  <c r="BA48" i="25" s="1"/>
  <c r="AZ75" i="25"/>
  <c r="BG84" i="24"/>
  <c r="BG64" i="24"/>
  <c r="BG66" i="24" s="1"/>
  <c r="AQ103" i="21" l="1"/>
  <c r="AQ94" i="21"/>
  <c r="AR63" i="21"/>
  <c r="AR68" i="21"/>
  <c r="AS36" i="21"/>
  <c r="AX46" i="19"/>
  <c r="AX83" i="19" s="1"/>
  <c r="AX90" i="19"/>
  <c r="AY87" i="19" s="1"/>
  <c r="BB31" i="25"/>
  <c r="BB34" i="25"/>
  <c r="BB36" i="25" s="1"/>
  <c r="BB38" i="25" s="1"/>
  <c r="BB47" i="25"/>
  <c r="BA44" i="25"/>
  <c r="BA57" i="25" s="1"/>
  <c r="BG85" i="24"/>
  <c r="BH81" i="24" s="1"/>
  <c r="BH82" i="24" s="1"/>
  <c r="BC142" i="25"/>
  <c r="BH45" i="24"/>
  <c r="BG54" i="24"/>
  <c r="BG55" i="24" s="1"/>
  <c r="AQ104" i="21" l="1"/>
  <c r="AQ107" i="21" s="1"/>
  <c r="AQ105" i="21"/>
  <c r="AQ108" i="21" s="1"/>
  <c r="AQ112" i="21" s="1"/>
  <c r="AQ122" i="21" s="1"/>
  <c r="AQ124" i="21" s="1"/>
  <c r="AR65" i="21"/>
  <c r="AR67" i="21"/>
  <c r="AR84" i="21"/>
  <c r="AS39" i="21"/>
  <c r="AS37" i="21"/>
  <c r="AT33" i="21" s="1"/>
  <c r="AX84" i="19"/>
  <c r="AY80" i="19" s="1"/>
  <c r="AY81" i="19" s="1"/>
  <c r="AX54" i="19"/>
  <c r="AX55" i="19" s="1"/>
  <c r="AY96" i="19"/>
  <c r="AY45" i="19"/>
  <c r="BB37" i="25"/>
  <c r="BB39" i="25" s="1"/>
  <c r="BB87" i="25"/>
  <c r="BB89" i="25" s="1"/>
  <c r="BA66" i="25"/>
  <c r="BG114" i="24"/>
  <c r="BG56" i="24"/>
  <c r="BH41" i="24"/>
  <c r="BH89" i="24" s="1"/>
  <c r="AQ111" i="21" l="1"/>
  <c r="AQ109" i="21"/>
  <c r="AQ113" i="21" s="1"/>
  <c r="AR69" i="21"/>
  <c r="AR78" i="21"/>
  <c r="AR85" i="21" s="1"/>
  <c r="AS43" i="21"/>
  <c r="AS45" i="21" s="1"/>
  <c r="AS83" i="21"/>
  <c r="AS40" i="21"/>
  <c r="AX56" i="19"/>
  <c r="AX115" i="19" s="1"/>
  <c r="AT123" i="21" s="1"/>
  <c r="AX113" i="19"/>
  <c r="AY97" i="19"/>
  <c r="BG116" i="24"/>
  <c r="BC132" i="25" s="1"/>
  <c r="BB64" i="25"/>
  <c r="BB61" i="25"/>
  <c r="BB63" i="25" s="1"/>
  <c r="BB40" i="25"/>
  <c r="BC33" i="25" s="1"/>
  <c r="BC35" i="25"/>
  <c r="BA67" i="25"/>
  <c r="BB59" i="25" s="1"/>
  <c r="BA70" i="25"/>
  <c r="BA74" i="25" s="1"/>
  <c r="BB42" i="25"/>
  <c r="BB92" i="25" s="1"/>
  <c r="BH90" i="24"/>
  <c r="BH91" i="24" s="1"/>
  <c r="BI88" i="24" s="1"/>
  <c r="BH61" i="24"/>
  <c r="BH44" i="24"/>
  <c r="AX117" i="19" l="1"/>
  <c r="AT23" i="21" s="1"/>
  <c r="AS41" i="21"/>
  <c r="AS54" i="21" s="1"/>
  <c r="AS59" i="21"/>
  <c r="AR88" i="21"/>
  <c r="AR86" i="21"/>
  <c r="AS80" i="21" s="1"/>
  <c r="AY41" i="19"/>
  <c r="AY44" i="19"/>
  <c r="BG118" i="24"/>
  <c r="BC23" i="25" s="1"/>
  <c r="BC60" i="25" s="1"/>
  <c r="BC62" i="25" s="1"/>
  <c r="BA69" i="25"/>
  <c r="BA93" i="25" s="1"/>
  <c r="BB43" i="25"/>
  <c r="BB65" i="25" s="1"/>
  <c r="BB46" i="25"/>
  <c r="BI97" i="24"/>
  <c r="BI98" i="24" s="1"/>
  <c r="BH43" i="24"/>
  <c r="BH46" i="24"/>
  <c r="AT57" i="21" l="1"/>
  <c r="AT58" i="21" s="1"/>
  <c r="AT34" i="21"/>
  <c r="AT44" i="21"/>
  <c r="AT31" i="21"/>
  <c r="AS60" i="21"/>
  <c r="AR89" i="21"/>
  <c r="AR92" i="21"/>
  <c r="AY88" i="19"/>
  <c r="AY61" i="19"/>
  <c r="BC31" i="25"/>
  <c r="BC34" i="25"/>
  <c r="BC37" i="25" s="1"/>
  <c r="BC47" i="25"/>
  <c r="BA71" i="25"/>
  <c r="BA73" i="25"/>
  <c r="BB48" i="25"/>
  <c r="BB44" i="25"/>
  <c r="BB57" i="25" s="1"/>
  <c r="BB66" i="25" s="1"/>
  <c r="BC64" i="25" s="1"/>
  <c r="BH84" i="24"/>
  <c r="BI45" i="24"/>
  <c r="BH64" i="24"/>
  <c r="BH66" i="24" s="1"/>
  <c r="AT35" i="21" l="1"/>
  <c r="AT36" i="21" s="1"/>
  <c r="AT81" i="21"/>
  <c r="AT82" i="21" s="1"/>
  <c r="AS61" i="21"/>
  <c r="AT56" i="21" s="1"/>
  <c r="AS64" i="21"/>
  <c r="AR93" i="21"/>
  <c r="AR90" i="21"/>
  <c r="AY89" i="19"/>
  <c r="AY43" i="19"/>
  <c r="AY64" i="19" s="1"/>
  <c r="AY66" i="19" s="1"/>
  <c r="BC87" i="25"/>
  <c r="BC89" i="25" s="1"/>
  <c r="BC36" i="25"/>
  <c r="BC38" i="25" s="1"/>
  <c r="BC39" i="25" s="1"/>
  <c r="BC61" i="25"/>
  <c r="BC63" i="25" s="1"/>
  <c r="BB67" i="25"/>
  <c r="BA84" i="25"/>
  <c r="BA75" i="25"/>
  <c r="BB70" i="25"/>
  <c r="BH85" i="24"/>
  <c r="BI81" i="24" s="1"/>
  <c r="BI82" i="24" s="1"/>
  <c r="BD142" i="25"/>
  <c r="BI41" i="24"/>
  <c r="BI89" i="24" s="1"/>
  <c r="BH54" i="24"/>
  <c r="BH55" i="24" s="1"/>
  <c r="AS68" i="21" l="1"/>
  <c r="AS63" i="21"/>
  <c r="AR103" i="21"/>
  <c r="AR94" i="21"/>
  <c r="AY46" i="19"/>
  <c r="AY83" i="19" s="1"/>
  <c r="AY90" i="19"/>
  <c r="AZ87" i="19" s="1"/>
  <c r="AT39" i="21"/>
  <c r="AT40" i="21" s="1"/>
  <c r="AT37" i="21"/>
  <c r="AU33" i="21" s="1"/>
  <c r="BC40" i="25"/>
  <c r="BD33" i="25" s="1"/>
  <c r="BD35" i="25"/>
  <c r="BC59" i="25"/>
  <c r="BB69" i="25"/>
  <c r="BB93" i="25" s="1"/>
  <c r="BB74" i="25"/>
  <c r="BC42" i="25"/>
  <c r="BC92" i="25" s="1"/>
  <c r="BI90" i="24"/>
  <c r="BI91" i="24" s="1"/>
  <c r="BJ88" i="24" s="1"/>
  <c r="BI44" i="24"/>
  <c r="BI61" i="24"/>
  <c r="BH114" i="24"/>
  <c r="BH56" i="24"/>
  <c r="AS84" i="21" l="1"/>
  <c r="AS67" i="21"/>
  <c r="AS65" i="21"/>
  <c r="AR104" i="21"/>
  <c r="AR107" i="21" s="1"/>
  <c r="AR105" i="21"/>
  <c r="AR108" i="21" s="1"/>
  <c r="AR112" i="21" s="1"/>
  <c r="AR122" i="21" s="1"/>
  <c r="AR124" i="21" s="1"/>
  <c r="AT83" i="21"/>
  <c r="AT43" i="21"/>
  <c r="AT45" i="21" s="1"/>
  <c r="AZ96" i="19"/>
  <c r="AZ97" i="19" s="1"/>
  <c r="AZ45" i="19"/>
  <c r="AY54" i="19"/>
  <c r="AY55" i="19" s="1"/>
  <c r="AY84" i="19"/>
  <c r="AZ80" i="19" s="1"/>
  <c r="AZ81" i="19" s="1"/>
  <c r="AT59" i="21"/>
  <c r="AT41" i="21"/>
  <c r="AT54" i="21" s="1"/>
  <c r="BH116" i="24"/>
  <c r="BD132" i="25" s="1"/>
  <c r="BB71" i="25"/>
  <c r="BB84" i="25" s="1"/>
  <c r="BB73" i="25"/>
  <c r="BC43" i="25"/>
  <c r="BC65" i="25" s="1"/>
  <c r="BC46" i="25"/>
  <c r="BJ97" i="24"/>
  <c r="BJ98" i="24" s="1"/>
  <c r="BI43" i="24"/>
  <c r="BI46" i="24"/>
  <c r="AR109" i="21" l="1"/>
  <c r="AR113" i="21" s="1"/>
  <c r="AR111" i="21"/>
  <c r="AS69" i="21"/>
  <c r="AS78" i="21"/>
  <c r="AS85" i="21" s="1"/>
  <c r="AY113" i="19"/>
  <c r="AY56" i="19"/>
  <c r="AY115" i="19" s="1"/>
  <c r="AU123" i="21" s="1"/>
  <c r="AT60" i="21"/>
  <c r="AZ41" i="19"/>
  <c r="AZ44" i="19"/>
  <c r="BH118" i="24"/>
  <c r="BD23" i="25" s="1"/>
  <c r="BD60" i="25" s="1"/>
  <c r="BD62" i="25" s="1"/>
  <c r="BB75" i="25"/>
  <c r="BC48" i="25"/>
  <c r="BC44" i="25"/>
  <c r="BC57" i="25" s="1"/>
  <c r="BC66" i="25" s="1"/>
  <c r="BI84" i="24"/>
  <c r="BI64" i="24"/>
  <c r="BI66" i="24" s="1"/>
  <c r="AS86" i="21" l="1"/>
  <c r="AT80" i="21" s="1"/>
  <c r="AS88" i="21"/>
  <c r="AT64" i="21"/>
  <c r="AT61" i="21"/>
  <c r="AU56" i="21" s="1"/>
  <c r="AZ88" i="19"/>
  <c r="AZ61" i="19"/>
  <c r="AY117" i="19"/>
  <c r="AU23" i="21" s="1"/>
  <c r="BD31" i="25"/>
  <c r="BD34" i="25"/>
  <c r="BD37" i="25" s="1"/>
  <c r="BD47" i="25"/>
  <c r="BD64" i="25"/>
  <c r="BD61" i="25"/>
  <c r="BD63" i="25" s="1"/>
  <c r="BC67" i="25"/>
  <c r="BD59" i="25" s="1"/>
  <c r="BI85" i="24"/>
  <c r="BJ81" i="24" s="1"/>
  <c r="BJ82" i="24" s="1"/>
  <c r="BE142" i="25"/>
  <c r="BI54" i="24"/>
  <c r="BI55" i="24" s="1"/>
  <c r="BJ45" i="24"/>
  <c r="AS89" i="21" l="1"/>
  <c r="AS92" i="21"/>
  <c r="AT63" i="21"/>
  <c r="AT67" i="21" s="1"/>
  <c r="AT68" i="21"/>
  <c r="AZ43" i="19"/>
  <c r="AZ64" i="19" s="1"/>
  <c r="AZ66" i="19" s="1"/>
  <c r="AZ89" i="19"/>
  <c r="AU34" i="21"/>
  <c r="AU57" i="21"/>
  <c r="AU58" i="21" s="1"/>
  <c r="AU31" i="21"/>
  <c r="AU44" i="21"/>
  <c r="BD87" i="25"/>
  <c r="BD89" i="25" s="1"/>
  <c r="BD36" i="25"/>
  <c r="BD38" i="25" s="1"/>
  <c r="BD39" i="25" s="1"/>
  <c r="BC70" i="25"/>
  <c r="BC69" i="25" s="1"/>
  <c r="BC93" i="25" s="1"/>
  <c r="BJ41" i="24"/>
  <c r="BJ89" i="24" s="1"/>
  <c r="BI114" i="24"/>
  <c r="BI56" i="24"/>
  <c r="AS93" i="21" l="1"/>
  <c r="AS90" i="21"/>
  <c r="AT65" i="21"/>
  <c r="AT84" i="21"/>
  <c r="AU81" i="21"/>
  <c r="AU82" i="21" s="1"/>
  <c r="AU35" i="21"/>
  <c r="AZ46" i="19"/>
  <c r="AZ83" i="19" s="1"/>
  <c r="AZ90" i="19"/>
  <c r="BA87" i="19" s="1"/>
  <c r="BI116" i="24"/>
  <c r="BE132" i="25" s="1"/>
  <c r="BD40" i="25"/>
  <c r="BE33" i="25" s="1"/>
  <c r="BE35" i="25"/>
  <c r="BC74" i="25"/>
  <c r="BC71" i="25"/>
  <c r="BC84" i="25" s="1"/>
  <c r="BC73" i="25"/>
  <c r="BD42" i="25"/>
  <c r="BD92" i="25" s="1"/>
  <c r="BJ90" i="24"/>
  <c r="BJ91" i="24" s="1"/>
  <c r="BK88" i="24" s="1"/>
  <c r="BJ44" i="24"/>
  <c r="BJ61" i="24"/>
  <c r="AS94" i="21" l="1"/>
  <c r="AS103" i="21"/>
  <c r="AT69" i="21"/>
  <c r="AT78" i="21"/>
  <c r="AT85" i="21" s="1"/>
  <c r="AZ54" i="19"/>
  <c r="AZ55" i="19" s="1"/>
  <c r="AZ84" i="19"/>
  <c r="BA80" i="19" s="1"/>
  <c r="BA81" i="19" s="1"/>
  <c r="BA45" i="19"/>
  <c r="BA96" i="19"/>
  <c r="AU36" i="21"/>
  <c r="BC75" i="25"/>
  <c r="BD43" i="25"/>
  <c r="BD65" i="25" s="1"/>
  <c r="BD46" i="25"/>
  <c r="BI118" i="24"/>
  <c r="BE23" i="25" s="1"/>
  <c r="BK97" i="24"/>
  <c r="BK98" i="24" s="1"/>
  <c r="BJ43" i="24"/>
  <c r="BJ46" i="24"/>
  <c r="AS104" i="21" l="1"/>
  <c r="AS107" i="21" s="1"/>
  <c r="AS111" i="21" s="1"/>
  <c r="AS105" i="21"/>
  <c r="AS108" i="21" s="1"/>
  <c r="AT86" i="21"/>
  <c r="AU80" i="21" s="1"/>
  <c r="AT88" i="21"/>
  <c r="AZ113" i="19"/>
  <c r="AZ56" i="19"/>
  <c r="AZ115" i="19" s="1"/>
  <c r="AV123" i="21" s="1"/>
  <c r="BA97" i="19"/>
  <c r="AU39" i="21"/>
  <c r="AU37" i="21"/>
  <c r="AV33" i="21" s="1"/>
  <c r="BE60" i="25"/>
  <c r="BE62" i="25" s="1"/>
  <c r="BD48" i="25"/>
  <c r="BD44" i="25"/>
  <c r="BD57" i="25" s="1"/>
  <c r="BD66" i="25" s="1"/>
  <c r="BE47" i="25"/>
  <c r="BE34" i="25"/>
  <c r="BE31" i="25"/>
  <c r="BJ84" i="24"/>
  <c r="BJ64" i="24"/>
  <c r="BJ66" i="24" s="1"/>
  <c r="AS112" i="21" l="1"/>
  <c r="AS122" i="21" s="1"/>
  <c r="AS124" i="21" s="1"/>
  <c r="AS109" i="21"/>
  <c r="AS113" i="21" s="1"/>
  <c r="AT89" i="21"/>
  <c r="AT92" i="21"/>
  <c r="AU43" i="21"/>
  <c r="AU45" i="21" s="1"/>
  <c r="AU40" i="21"/>
  <c r="AU83" i="21"/>
  <c r="AZ117" i="19"/>
  <c r="AV23" i="21" s="1"/>
  <c r="BA41" i="19"/>
  <c r="BA44" i="19"/>
  <c r="BE64" i="25"/>
  <c r="BE61" i="25"/>
  <c r="BE63" i="25" s="1"/>
  <c r="BD67" i="25"/>
  <c r="BE37" i="25"/>
  <c r="BE36" i="25"/>
  <c r="BE38" i="25" s="1"/>
  <c r="BE87" i="25"/>
  <c r="BE89" i="25" s="1"/>
  <c r="BD70" i="25"/>
  <c r="BJ85" i="24"/>
  <c r="BK81" i="24" s="1"/>
  <c r="BK82" i="24" s="1"/>
  <c r="BF142" i="25"/>
  <c r="BJ54" i="24"/>
  <c r="BJ55" i="24" s="1"/>
  <c r="BK45" i="24"/>
  <c r="AT93" i="21" l="1"/>
  <c r="AT90" i="21"/>
  <c r="AV34" i="21"/>
  <c r="AV31" i="21"/>
  <c r="AV57" i="21"/>
  <c r="AV58" i="21" s="1"/>
  <c r="AV44" i="21"/>
  <c r="BA88" i="19"/>
  <c r="BA61" i="19"/>
  <c r="AU59" i="21"/>
  <c r="AU41" i="21"/>
  <c r="AU54" i="21" s="1"/>
  <c r="BE59" i="25"/>
  <c r="BD69" i="25"/>
  <c r="BD93" i="25" s="1"/>
  <c r="BD74" i="25"/>
  <c r="BE39" i="25"/>
  <c r="BK41" i="24"/>
  <c r="BK89" i="24" s="1"/>
  <c r="BJ114" i="24"/>
  <c r="BJ56" i="24"/>
  <c r="AT103" i="21" l="1"/>
  <c r="AT94" i="21"/>
  <c r="AV81" i="21"/>
  <c r="AV82" i="21" s="1"/>
  <c r="AV35" i="21"/>
  <c r="AV36" i="21" s="1"/>
  <c r="BA89" i="19"/>
  <c r="BA43" i="19"/>
  <c r="BA64" i="19" s="1"/>
  <c r="BA66" i="19" s="1"/>
  <c r="AU60" i="21"/>
  <c r="BJ116" i="24"/>
  <c r="BF132" i="25" s="1"/>
  <c r="BE40" i="25"/>
  <c r="BF33" i="25" s="1"/>
  <c r="BF35" i="25"/>
  <c r="BD71" i="25"/>
  <c r="BD84" i="25" s="1"/>
  <c r="BD73" i="25"/>
  <c r="BE42" i="25"/>
  <c r="BE92" i="25" s="1"/>
  <c r="BK90" i="24"/>
  <c r="BK91" i="24" s="1"/>
  <c r="BL88" i="24" s="1"/>
  <c r="BK44" i="24"/>
  <c r="BK61" i="24"/>
  <c r="AT104" i="21" l="1"/>
  <c r="AT107" i="21" s="1"/>
  <c r="AT111" i="21" s="1"/>
  <c r="AT105" i="21"/>
  <c r="AT108" i="21" s="1"/>
  <c r="AT112" i="21" s="1"/>
  <c r="AT122" i="21" s="1"/>
  <c r="AT124" i="21" s="1"/>
  <c r="BA46" i="19"/>
  <c r="BA83" i="19" s="1"/>
  <c r="BA90" i="19"/>
  <c r="BB87" i="19" s="1"/>
  <c r="AV37" i="21"/>
  <c r="AW33" i="21" s="1"/>
  <c r="AV39" i="21"/>
  <c r="AU64" i="21"/>
  <c r="AU61" i="21"/>
  <c r="AV56" i="21" s="1"/>
  <c r="BJ118" i="24"/>
  <c r="BF23" i="25" s="1"/>
  <c r="BF60" i="25" s="1"/>
  <c r="BF62" i="25" s="1"/>
  <c r="BD75" i="25"/>
  <c r="BE43" i="25"/>
  <c r="BE65" i="25" s="1"/>
  <c r="BE46" i="25"/>
  <c r="BL97" i="24"/>
  <c r="BL98" i="24" s="1"/>
  <c r="BK43" i="24"/>
  <c r="BK46" i="24"/>
  <c r="AT109" i="21" l="1"/>
  <c r="AT113" i="21" s="1"/>
  <c r="BB96" i="19"/>
  <c r="BB97" i="19" s="1"/>
  <c r="BB45" i="19"/>
  <c r="BA84" i="19"/>
  <c r="BB80" i="19" s="1"/>
  <c r="BB81" i="19" s="1"/>
  <c r="BA54" i="19"/>
  <c r="BA55" i="19" s="1"/>
  <c r="AV83" i="21"/>
  <c r="AV40" i="21"/>
  <c r="AV43" i="21"/>
  <c r="AV45" i="21" s="1"/>
  <c r="AU63" i="21"/>
  <c r="AU68" i="21"/>
  <c r="BF34" i="25"/>
  <c r="BF37" i="25" s="1"/>
  <c r="BF31" i="25"/>
  <c r="BF47" i="25"/>
  <c r="BE48" i="25"/>
  <c r="BE44" i="25"/>
  <c r="BE57" i="25" s="1"/>
  <c r="BE66" i="25" s="1"/>
  <c r="BF64" i="25" s="1"/>
  <c r="BK84" i="24"/>
  <c r="BL45" i="24"/>
  <c r="BK64" i="24"/>
  <c r="BK66" i="24" s="1"/>
  <c r="BA113" i="19" l="1"/>
  <c r="BA56" i="19"/>
  <c r="BA115" i="19" s="1"/>
  <c r="AW123" i="21" s="1"/>
  <c r="AV41" i="21"/>
  <c r="AV54" i="21" s="1"/>
  <c r="AV59" i="21"/>
  <c r="AU84" i="21"/>
  <c r="AU67" i="21"/>
  <c r="AU65" i="21"/>
  <c r="BB41" i="19"/>
  <c r="BB44" i="19"/>
  <c r="BF36" i="25"/>
  <c r="BF38" i="25" s="1"/>
  <c r="BF39" i="25" s="1"/>
  <c r="BF87" i="25"/>
  <c r="BF89" i="25" s="1"/>
  <c r="BF61" i="25"/>
  <c r="BF63" i="25" s="1"/>
  <c r="BE67" i="25"/>
  <c r="BE70" i="25"/>
  <c r="BK85" i="24"/>
  <c r="BL81" i="24" s="1"/>
  <c r="BL82" i="24" s="1"/>
  <c r="BG142" i="25"/>
  <c r="BL41" i="24"/>
  <c r="BL89" i="24" s="1"/>
  <c r="BK54" i="24"/>
  <c r="BK55" i="24" s="1"/>
  <c r="AV60" i="21" l="1"/>
  <c r="AU78" i="21"/>
  <c r="AU85" i="21" s="1"/>
  <c r="AU69" i="21"/>
  <c r="BB61" i="19"/>
  <c r="BB88" i="19"/>
  <c r="BA117" i="19"/>
  <c r="AW23" i="21" s="1"/>
  <c r="BF40" i="25"/>
  <c r="BG33" i="25" s="1"/>
  <c r="BG35" i="25"/>
  <c r="BF59" i="25"/>
  <c r="BE69" i="25"/>
  <c r="BE93" i="25" s="1"/>
  <c r="BE74" i="25"/>
  <c r="BF42" i="25"/>
  <c r="BF92" i="25" s="1"/>
  <c r="BL90" i="24"/>
  <c r="BL91" i="24" s="1"/>
  <c r="BM88" i="24" s="1"/>
  <c r="BL44" i="24"/>
  <c r="BL61" i="24"/>
  <c r="BK114" i="24"/>
  <c r="BK56" i="24"/>
  <c r="AV64" i="21" l="1"/>
  <c r="AV61" i="21"/>
  <c r="AW56" i="21" s="1"/>
  <c r="BB43" i="19"/>
  <c r="BB64" i="19" s="1"/>
  <c r="BB66" i="19" s="1"/>
  <c r="BB89" i="19"/>
  <c r="AW57" i="21"/>
  <c r="AW58" i="21" s="1"/>
  <c r="AW44" i="21"/>
  <c r="AW31" i="21"/>
  <c r="AW34" i="21"/>
  <c r="AU86" i="21"/>
  <c r="AV80" i="21" s="1"/>
  <c r="AU88" i="21"/>
  <c r="BK116" i="24"/>
  <c r="BG132" i="25" s="1"/>
  <c r="BF43" i="25"/>
  <c r="BF65" i="25" s="1"/>
  <c r="BE71" i="25"/>
  <c r="BE84" i="25" s="1"/>
  <c r="BE73" i="25"/>
  <c r="BF46" i="25"/>
  <c r="BM97" i="24"/>
  <c r="BM98" i="24" s="1"/>
  <c r="BL43" i="24"/>
  <c r="BL46" i="24"/>
  <c r="AV68" i="21" l="1"/>
  <c r="AV63" i="21"/>
  <c r="AW81" i="21"/>
  <c r="AW82" i="21" s="1"/>
  <c r="AW35" i="21"/>
  <c r="AW36" i="21" s="1"/>
  <c r="AU92" i="21"/>
  <c r="AU89" i="21"/>
  <c r="BB46" i="19"/>
  <c r="BB83" i="19" s="1"/>
  <c r="BB90" i="19"/>
  <c r="BC87" i="19" s="1"/>
  <c r="BK118" i="24"/>
  <c r="BG23" i="25" s="1"/>
  <c r="BG31" i="25" s="1"/>
  <c r="BF44" i="25"/>
  <c r="BF57" i="25" s="1"/>
  <c r="BF66" i="25" s="1"/>
  <c r="BG61" i="25" s="1"/>
  <c r="BE75" i="25"/>
  <c r="BF48" i="25"/>
  <c r="BL84" i="24"/>
  <c r="BL64" i="24"/>
  <c r="BL66" i="24" s="1"/>
  <c r="AU93" i="21" l="1"/>
  <c r="AU90" i="21"/>
  <c r="AV65" i="21"/>
  <c r="AV84" i="21"/>
  <c r="AV67" i="21"/>
  <c r="BB54" i="19"/>
  <c r="BB55" i="19" s="1"/>
  <c r="BB84" i="19"/>
  <c r="BC80" i="19" s="1"/>
  <c r="BC81" i="19" s="1"/>
  <c r="BC96" i="19"/>
  <c r="BC45" i="19"/>
  <c r="AW37" i="21"/>
  <c r="AX33" i="21" s="1"/>
  <c r="AW39" i="21"/>
  <c r="BG34" i="25"/>
  <c r="BG37" i="25" s="1"/>
  <c r="BG60" i="25"/>
  <c r="BG62" i="25" s="1"/>
  <c r="BG47" i="25"/>
  <c r="BF67" i="25"/>
  <c r="BG59" i="25" s="1"/>
  <c r="BL85" i="24"/>
  <c r="BM81" i="24" s="1"/>
  <c r="BM82" i="24" s="1"/>
  <c r="BH142" i="25"/>
  <c r="BL54" i="24"/>
  <c r="BL55" i="24" s="1"/>
  <c r="BM45" i="24"/>
  <c r="AU103" i="21" l="1"/>
  <c r="AU94" i="21"/>
  <c r="AV78" i="21"/>
  <c r="AV85" i="21" s="1"/>
  <c r="AV69" i="21"/>
  <c r="BB113" i="19"/>
  <c r="BB56" i="19"/>
  <c r="BB115" i="19" s="1"/>
  <c r="AX123" i="21" s="1"/>
  <c r="BC97" i="19"/>
  <c r="AW40" i="21"/>
  <c r="AW83" i="21"/>
  <c r="AW43" i="21"/>
  <c r="AW45" i="21" s="1"/>
  <c r="BG36" i="25"/>
  <c r="BG38" i="25" s="1"/>
  <c r="BG39" i="25" s="1"/>
  <c r="BG87" i="25"/>
  <c r="BG89" i="25" s="1"/>
  <c r="BG63" i="25"/>
  <c r="BG64" i="25"/>
  <c r="BF70" i="25"/>
  <c r="BF69" i="25" s="1"/>
  <c r="BF93" i="25" s="1"/>
  <c r="BM41" i="24"/>
  <c r="BM89" i="24" s="1"/>
  <c r="BL114" i="24"/>
  <c r="BL56" i="24"/>
  <c r="AU105" i="21" l="1"/>
  <c r="AU108" i="21" s="1"/>
  <c r="AU112" i="21" s="1"/>
  <c r="AU122" i="21" s="1"/>
  <c r="AU124" i="21" s="1"/>
  <c r="AU104" i="21"/>
  <c r="AU107" i="21" s="1"/>
  <c r="AU111" i="21" s="1"/>
  <c r="AV88" i="21"/>
  <c r="AV86" i="21"/>
  <c r="AW80" i="21" s="1"/>
  <c r="AW59" i="21"/>
  <c r="AW41" i="21"/>
  <c r="AW54" i="21" s="1"/>
  <c r="BB117" i="19"/>
  <c r="AX23" i="21" s="1"/>
  <c r="BC41" i="19"/>
  <c r="BC44" i="19"/>
  <c r="BL116" i="24"/>
  <c r="BH132" i="25" s="1"/>
  <c r="BG40" i="25"/>
  <c r="BH33" i="25" s="1"/>
  <c r="BH35" i="25"/>
  <c r="BF73" i="25"/>
  <c r="BF71" i="25"/>
  <c r="BF84" i="25" s="1"/>
  <c r="BF74" i="25"/>
  <c r="BG42" i="25"/>
  <c r="BG92" i="25" s="1"/>
  <c r="BM90" i="24"/>
  <c r="BM91" i="24" s="1"/>
  <c r="BN88" i="24" s="1"/>
  <c r="BM44" i="24"/>
  <c r="BM61" i="24"/>
  <c r="AW60" i="21" l="1"/>
  <c r="AU109" i="21"/>
  <c r="AU113" i="21" s="1"/>
  <c r="AV89" i="21"/>
  <c r="AV92" i="21"/>
  <c r="AX31" i="21"/>
  <c r="AX57" i="21"/>
  <c r="AX58" i="21" s="1"/>
  <c r="AX44" i="21"/>
  <c r="AX34" i="21"/>
  <c r="BC88" i="19"/>
  <c r="BC61" i="19"/>
  <c r="BF75" i="25"/>
  <c r="BG43" i="25"/>
  <c r="BG65" i="25" s="1"/>
  <c r="BG46" i="25"/>
  <c r="BL118" i="24"/>
  <c r="BH23" i="25" s="1"/>
  <c r="BN97" i="24"/>
  <c r="BN98" i="24" s="1"/>
  <c r="BM43" i="24"/>
  <c r="BM46" i="24"/>
  <c r="AW64" i="21" l="1"/>
  <c r="AW61" i="21"/>
  <c r="AX56" i="21" s="1"/>
  <c r="AV90" i="21"/>
  <c r="AV93" i="21"/>
  <c r="AX35" i="21"/>
  <c r="AX81" i="21"/>
  <c r="AX82" i="21" s="1"/>
  <c r="BC43" i="19"/>
  <c r="BC64" i="19" s="1"/>
  <c r="BC66" i="19" s="1"/>
  <c r="BC89" i="19"/>
  <c r="BH60" i="25"/>
  <c r="BH62" i="25" s="1"/>
  <c r="BG48" i="25"/>
  <c r="BG44" i="25"/>
  <c r="BG57" i="25" s="1"/>
  <c r="BG66" i="25" s="1"/>
  <c r="BH61" i="25" s="1"/>
  <c r="BH47" i="25"/>
  <c r="BH34" i="25"/>
  <c r="BH31" i="25"/>
  <c r="BM84" i="24"/>
  <c r="BM64" i="24"/>
  <c r="BM66" i="24" s="1"/>
  <c r="AW68" i="21" l="1"/>
  <c r="AW63" i="21"/>
  <c r="AV103" i="21"/>
  <c r="AV94" i="21"/>
  <c r="AX36" i="21"/>
  <c r="BC46" i="19"/>
  <c r="BC83" i="19" s="1"/>
  <c r="BC90" i="19"/>
  <c r="BD87" i="19" s="1"/>
  <c r="BH64" i="25"/>
  <c r="BG67" i="25"/>
  <c r="BH63" i="25"/>
  <c r="BH37" i="25"/>
  <c r="BH36" i="25"/>
  <c r="BH38" i="25" s="1"/>
  <c r="BH87" i="25"/>
  <c r="BH89" i="25" s="1"/>
  <c r="BG70" i="25"/>
  <c r="BM85" i="24"/>
  <c r="BN81" i="24" s="1"/>
  <c r="BN82" i="24" s="1"/>
  <c r="BI142" i="25"/>
  <c r="BM54" i="24"/>
  <c r="BM55" i="24" s="1"/>
  <c r="BN45" i="24"/>
  <c r="AW65" i="21" l="1"/>
  <c r="AW67" i="21"/>
  <c r="AW84" i="21"/>
  <c r="AX39" i="21"/>
  <c r="AX37" i="21"/>
  <c r="AY33" i="21" s="1"/>
  <c r="AV105" i="21"/>
  <c r="AV108" i="21" s="1"/>
  <c r="AV112" i="21" s="1"/>
  <c r="AV122" i="21" s="1"/>
  <c r="AV124" i="21" s="1"/>
  <c r="AV104" i="21"/>
  <c r="AV107" i="21" s="1"/>
  <c r="BC54" i="19"/>
  <c r="BC55" i="19" s="1"/>
  <c r="BC84" i="19"/>
  <c r="BD80" i="19" s="1"/>
  <c r="BD81" i="19" s="1"/>
  <c r="BD45" i="19"/>
  <c r="BD96" i="19"/>
  <c r="BH59" i="25"/>
  <c r="BG69" i="25"/>
  <c r="BG93" i="25" s="1"/>
  <c r="BG74" i="25"/>
  <c r="BH39" i="25"/>
  <c r="BN41" i="24"/>
  <c r="BN89" i="24" s="1"/>
  <c r="BM114" i="24"/>
  <c r="BM56" i="24"/>
  <c r="AW69" i="21" l="1"/>
  <c r="AW78" i="21"/>
  <c r="AW85" i="21" s="1"/>
  <c r="AX43" i="21"/>
  <c r="AX45" i="21" s="1"/>
  <c r="AX83" i="21"/>
  <c r="AX40" i="21"/>
  <c r="AV109" i="21"/>
  <c r="AV113" i="21" s="1"/>
  <c r="AV111" i="21"/>
  <c r="BC56" i="19"/>
  <c r="BC115" i="19" s="1"/>
  <c r="AY123" i="21" s="1"/>
  <c r="BC113" i="19"/>
  <c r="BD97" i="19"/>
  <c r="BM116" i="24"/>
  <c r="BI132" i="25" s="1"/>
  <c r="BH40" i="25"/>
  <c r="BI33" i="25" s="1"/>
  <c r="BI35" i="25"/>
  <c r="BG71" i="25"/>
  <c r="BG84" i="25" s="1"/>
  <c r="BG73" i="25"/>
  <c r="BH42" i="25"/>
  <c r="BH92" i="25" s="1"/>
  <c r="BN90" i="24"/>
  <c r="BN91" i="24" s="1"/>
  <c r="BO88" i="24" s="1"/>
  <c r="BN44" i="24"/>
  <c r="BN61" i="24"/>
  <c r="AW86" i="21" l="1"/>
  <c r="AX80" i="21" s="1"/>
  <c r="AW88" i="21"/>
  <c r="AX59" i="21"/>
  <c r="AX41" i="21"/>
  <c r="AX54" i="21" s="1"/>
  <c r="BC117" i="19"/>
  <c r="AY23" i="21" s="1"/>
  <c r="BD41" i="19"/>
  <c r="BD44" i="19"/>
  <c r="BM118" i="24"/>
  <c r="BI23" i="25" s="1"/>
  <c r="BI34" i="25" s="1"/>
  <c r="BG75" i="25"/>
  <c r="BH43" i="25"/>
  <c r="BH65" i="25" s="1"/>
  <c r="BH46" i="25"/>
  <c r="BO97" i="24"/>
  <c r="BO98" i="24" s="1"/>
  <c r="BN43" i="24"/>
  <c r="BN46" i="24"/>
  <c r="AW89" i="21" l="1"/>
  <c r="AW92" i="21"/>
  <c r="AX60" i="21"/>
  <c r="AY44" i="21"/>
  <c r="AY57" i="21"/>
  <c r="AY58" i="21" s="1"/>
  <c r="AY34" i="21"/>
  <c r="AY31" i="21"/>
  <c r="BD88" i="19"/>
  <c r="BD61" i="19"/>
  <c r="BI47" i="25"/>
  <c r="BI31" i="25"/>
  <c r="BI60" i="25"/>
  <c r="BI62" i="25" s="1"/>
  <c r="BI37" i="25"/>
  <c r="BI36" i="25"/>
  <c r="BI38" i="25" s="1"/>
  <c r="BI87" i="25"/>
  <c r="BI89" i="25" s="1"/>
  <c r="BH48" i="25"/>
  <c r="BH44" i="25"/>
  <c r="BH57" i="25" s="1"/>
  <c r="BH66" i="25" s="1"/>
  <c r="BN84" i="24"/>
  <c r="BN64" i="24"/>
  <c r="BN66" i="24" s="1"/>
  <c r="AW90" i="21" l="1"/>
  <c r="AW93" i="21"/>
  <c r="AY35" i="21"/>
  <c r="AY36" i="21" s="1"/>
  <c r="AY81" i="21"/>
  <c r="AY82" i="21" s="1"/>
  <c r="AX61" i="21"/>
  <c r="AY56" i="21" s="1"/>
  <c r="AX64" i="21"/>
  <c r="BD43" i="19"/>
  <c r="BD64" i="19" s="1"/>
  <c r="BD66" i="19" s="1"/>
  <c r="BD89" i="19"/>
  <c r="BI64" i="25"/>
  <c r="BI61" i="25"/>
  <c r="BI63" i="25" s="1"/>
  <c r="BH67" i="25"/>
  <c r="BH70" i="25"/>
  <c r="BN85" i="24"/>
  <c r="BO81" i="24" s="1"/>
  <c r="BO82" i="24" s="1"/>
  <c r="BJ142" i="25"/>
  <c r="BI39" i="25"/>
  <c r="BN54" i="24"/>
  <c r="BN55" i="24" s="1"/>
  <c r="BO45" i="24"/>
  <c r="AW94" i="21" l="1"/>
  <c r="AW103" i="21"/>
  <c r="AX68" i="21"/>
  <c r="AX63" i="21"/>
  <c r="AY39" i="21"/>
  <c r="AY43" i="21" s="1"/>
  <c r="AY45" i="21" s="1"/>
  <c r="AY37" i="21"/>
  <c r="AZ33" i="21" s="1"/>
  <c r="BD46" i="19"/>
  <c r="BD83" i="19" s="1"/>
  <c r="BD90" i="19"/>
  <c r="BE87" i="19" s="1"/>
  <c r="BI40" i="25"/>
  <c r="BJ33" i="25" s="1"/>
  <c r="BJ35" i="25"/>
  <c r="BI59" i="25"/>
  <c r="BH69" i="25"/>
  <c r="BH93" i="25" s="1"/>
  <c r="BH74" i="25"/>
  <c r="BI42" i="25"/>
  <c r="BI92" i="25" s="1"/>
  <c r="BO41" i="24"/>
  <c r="BO89" i="24" s="1"/>
  <c r="BN114" i="24"/>
  <c r="BN56" i="24"/>
  <c r="AX65" i="21" l="1"/>
  <c r="AX67" i="21"/>
  <c r="AX84" i="21"/>
  <c r="AW105" i="21"/>
  <c r="AW108" i="21" s="1"/>
  <c r="AW112" i="21" s="1"/>
  <c r="AW122" i="21" s="1"/>
  <c r="AW124" i="21" s="1"/>
  <c r="AW104" i="21"/>
  <c r="AW107" i="21" s="1"/>
  <c r="AY40" i="21"/>
  <c r="AY83" i="21"/>
  <c r="BD54" i="19"/>
  <c r="BD55" i="19" s="1"/>
  <c r="BD84" i="19"/>
  <c r="BE80" i="19" s="1"/>
  <c r="BE81" i="19" s="1"/>
  <c r="BE45" i="19"/>
  <c r="BE96" i="19"/>
  <c r="BN116" i="24"/>
  <c r="BJ132" i="25" s="1"/>
  <c r="BH71" i="25"/>
  <c r="BH84" i="25" s="1"/>
  <c r="BH73" i="25"/>
  <c r="BI43" i="25"/>
  <c r="BI65" i="25" s="1"/>
  <c r="BI46" i="25"/>
  <c r="BO90" i="24"/>
  <c r="BO91" i="24" s="1"/>
  <c r="BP88" i="24" s="1"/>
  <c r="BO44" i="24"/>
  <c r="BO61" i="24"/>
  <c r="AY59" i="21" l="1"/>
  <c r="AY41" i="21"/>
  <c r="AY54" i="21" s="1"/>
  <c r="AX78" i="21"/>
  <c r="AX85" i="21" s="1"/>
  <c r="AX69" i="21"/>
  <c r="AW109" i="21"/>
  <c r="AW113" i="21" s="1"/>
  <c r="AW111" i="21"/>
  <c r="BD113" i="19"/>
  <c r="BD56" i="19"/>
  <c r="BD115" i="19" s="1"/>
  <c r="AZ123" i="21" s="1"/>
  <c r="BE97" i="19"/>
  <c r="BN118" i="24"/>
  <c r="BJ23" i="25" s="1"/>
  <c r="BJ60" i="25" s="1"/>
  <c r="BJ62" i="25" s="1"/>
  <c r="BH75" i="25"/>
  <c r="BI48" i="25"/>
  <c r="BI44" i="25"/>
  <c r="BI57" i="25" s="1"/>
  <c r="BI66" i="25" s="1"/>
  <c r="BP97" i="24"/>
  <c r="BP98" i="24" s="1"/>
  <c r="BO43" i="24"/>
  <c r="BO46" i="24"/>
  <c r="AY60" i="21" l="1"/>
  <c r="AX88" i="21"/>
  <c r="AX86" i="21"/>
  <c r="AY80" i="21" s="1"/>
  <c r="BD117" i="19"/>
  <c r="AZ23" i="21" s="1"/>
  <c r="BE41" i="19"/>
  <c r="BE44" i="19"/>
  <c r="BJ31" i="25"/>
  <c r="BJ47" i="25"/>
  <c r="BJ34" i="25"/>
  <c r="BJ36" i="25" s="1"/>
  <c r="BJ38" i="25" s="1"/>
  <c r="BJ64" i="25"/>
  <c r="BJ61" i="25"/>
  <c r="BJ63" i="25" s="1"/>
  <c r="BI67" i="25"/>
  <c r="BJ59" i="25" s="1"/>
  <c r="BO84" i="24"/>
  <c r="BP45" i="24"/>
  <c r="BO64" i="24"/>
  <c r="BO66" i="24" s="1"/>
  <c r="AY64" i="21" l="1"/>
  <c r="AY61" i="21"/>
  <c r="AZ56" i="21" s="1"/>
  <c r="AX92" i="21"/>
  <c r="AX89" i="21"/>
  <c r="AZ31" i="21"/>
  <c r="AZ34" i="21"/>
  <c r="AZ44" i="21"/>
  <c r="AZ57" i="21"/>
  <c r="AZ58" i="21" s="1"/>
  <c r="BE88" i="19"/>
  <c r="BE61" i="19"/>
  <c r="BJ87" i="25"/>
  <c r="BJ89" i="25" s="1"/>
  <c r="BJ37" i="25"/>
  <c r="BJ39" i="25" s="1"/>
  <c r="BI70" i="25"/>
  <c r="BI69" i="25" s="1"/>
  <c r="BI93" i="25" s="1"/>
  <c r="BO85" i="24"/>
  <c r="BP81" i="24" s="1"/>
  <c r="BP82" i="24" s="1"/>
  <c r="BK142" i="25"/>
  <c r="BP41" i="24"/>
  <c r="BP89" i="24" s="1"/>
  <c r="BO54" i="24"/>
  <c r="BO55" i="24" s="1"/>
  <c r="AY68" i="21" l="1"/>
  <c r="AY63" i="21"/>
  <c r="AX93" i="21"/>
  <c r="AX90" i="21"/>
  <c r="AZ35" i="21"/>
  <c r="AZ81" i="21"/>
  <c r="AZ82" i="21" s="1"/>
  <c r="BE43" i="19"/>
  <c r="BE64" i="19" s="1"/>
  <c r="BE66" i="19" s="1"/>
  <c r="BE89" i="19"/>
  <c r="BJ40" i="25"/>
  <c r="BK33" i="25" s="1"/>
  <c r="BK35" i="25"/>
  <c r="BI74" i="25"/>
  <c r="BI71" i="25"/>
  <c r="BI84" i="25" s="1"/>
  <c r="BI73" i="25"/>
  <c r="BJ42" i="25"/>
  <c r="BJ92" i="25" s="1"/>
  <c r="BP90" i="24"/>
  <c r="BP91" i="24" s="1"/>
  <c r="BQ88" i="24" s="1"/>
  <c r="BP44" i="24"/>
  <c r="BP61" i="24"/>
  <c r="BO114" i="24"/>
  <c r="BO56" i="24"/>
  <c r="AY67" i="21" l="1"/>
  <c r="AY65" i="21"/>
  <c r="AY84" i="21"/>
  <c r="AX94" i="21"/>
  <c r="AX103" i="21"/>
  <c r="AZ36" i="21"/>
  <c r="BE46" i="19"/>
  <c r="BE83" i="19" s="1"/>
  <c r="BE90" i="19"/>
  <c r="BF87" i="19" s="1"/>
  <c r="BO116" i="24"/>
  <c r="BK132" i="25" s="1"/>
  <c r="BI75" i="25"/>
  <c r="BJ43" i="25"/>
  <c r="BJ65" i="25" s="1"/>
  <c r="BJ46" i="25"/>
  <c r="BQ97" i="24"/>
  <c r="BQ98" i="24" s="1"/>
  <c r="BP43" i="24"/>
  <c r="BP46" i="24"/>
  <c r="AY78" i="21" l="1"/>
  <c r="AY85" i="21" s="1"/>
  <c r="AY69" i="21"/>
  <c r="AX104" i="21"/>
  <c r="AX107" i="21" s="1"/>
  <c r="AX111" i="21" s="1"/>
  <c r="AX105" i="21"/>
  <c r="AX108" i="21" s="1"/>
  <c r="AZ39" i="21"/>
  <c r="AZ37" i="21"/>
  <c r="BA33" i="21" s="1"/>
  <c r="BE54" i="19"/>
  <c r="BE55" i="19" s="1"/>
  <c r="BE84" i="19"/>
  <c r="BF80" i="19" s="1"/>
  <c r="BF81" i="19" s="1"/>
  <c r="BF96" i="19"/>
  <c r="BF45" i="19"/>
  <c r="BO118" i="24"/>
  <c r="BK23" i="25" s="1"/>
  <c r="BK60" i="25" s="1"/>
  <c r="BK62" i="25" s="1"/>
  <c r="BJ48" i="25"/>
  <c r="BJ44" i="25"/>
  <c r="BJ57" i="25" s="1"/>
  <c r="BJ66" i="25" s="1"/>
  <c r="BP84" i="24"/>
  <c r="BP64" i="24"/>
  <c r="BP66" i="24" s="1"/>
  <c r="AX112" i="21" l="1"/>
  <c r="AX122" i="21" s="1"/>
  <c r="AX124" i="21" s="1"/>
  <c r="AX109" i="21"/>
  <c r="AX113" i="21" s="1"/>
  <c r="AZ43" i="21"/>
  <c r="AZ45" i="21" s="1"/>
  <c r="AZ40" i="21"/>
  <c r="AZ83" i="21"/>
  <c r="BE113" i="19"/>
  <c r="BE56" i="19"/>
  <c r="BE115" i="19" s="1"/>
  <c r="BA123" i="21" s="1"/>
  <c r="BF97" i="19"/>
  <c r="AY86" i="21"/>
  <c r="AZ80" i="21" s="1"/>
  <c r="AY88" i="21"/>
  <c r="BK31" i="25"/>
  <c r="BK34" i="25"/>
  <c r="BK37" i="25" s="1"/>
  <c r="BK47" i="25"/>
  <c r="BK64" i="25"/>
  <c r="BK61" i="25"/>
  <c r="BK63" i="25" s="1"/>
  <c r="BJ67" i="25"/>
  <c r="BK59" i="25" s="1"/>
  <c r="BP85" i="24"/>
  <c r="BQ81" i="24" s="1"/>
  <c r="BQ82" i="24" s="1"/>
  <c r="BL142" i="25"/>
  <c r="BP54" i="24"/>
  <c r="BP55" i="24" s="1"/>
  <c r="BQ45" i="24"/>
  <c r="AZ41" i="21" l="1"/>
  <c r="AZ54" i="21" s="1"/>
  <c r="AZ59" i="21"/>
  <c r="BF41" i="19"/>
  <c r="BF44" i="19"/>
  <c r="BE117" i="19"/>
  <c r="BA23" i="21" s="1"/>
  <c r="AY89" i="21"/>
  <c r="AY92" i="21"/>
  <c r="BK36" i="25"/>
  <c r="BK38" i="25" s="1"/>
  <c r="BK39" i="25" s="1"/>
  <c r="BK87" i="25"/>
  <c r="BK89" i="25" s="1"/>
  <c r="BJ70" i="25"/>
  <c r="BJ69" i="25" s="1"/>
  <c r="BJ93" i="25" s="1"/>
  <c r="BQ41" i="24"/>
  <c r="BQ89" i="24" s="1"/>
  <c r="BP114" i="24"/>
  <c r="BP56" i="24"/>
  <c r="BF88" i="19" l="1"/>
  <c r="BF61" i="19"/>
  <c r="AZ60" i="21"/>
  <c r="BA44" i="21"/>
  <c r="BA57" i="21"/>
  <c r="BA58" i="21" s="1"/>
  <c r="BA31" i="21"/>
  <c r="BA34" i="21"/>
  <c r="AY93" i="21"/>
  <c r="AY90" i="21"/>
  <c r="BP116" i="24"/>
  <c r="BL132" i="25" s="1"/>
  <c r="BK40" i="25"/>
  <c r="BL33" i="25" s="1"/>
  <c r="BL35" i="25"/>
  <c r="BJ74" i="25"/>
  <c r="BJ71" i="25"/>
  <c r="BJ84" i="25" s="1"/>
  <c r="BJ73" i="25"/>
  <c r="BK42" i="25"/>
  <c r="BK92" i="25" s="1"/>
  <c r="BQ90" i="24"/>
  <c r="BQ91" i="24" s="1"/>
  <c r="BR88" i="24" s="1"/>
  <c r="BQ44" i="24"/>
  <c r="BQ61" i="24"/>
  <c r="BF43" i="19" l="1"/>
  <c r="BF64" i="19" s="1"/>
  <c r="BF66" i="19" s="1"/>
  <c r="BF89" i="19"/>
  <c r="AZ61" i="21"/>
  <c r="BA56" i="21" s="1"/>
  <c r="AZ64" i="21"/>
  <c r="BA35" i="21"/>
  <c r="BA36" i="21" s="1"/>
  <c r="BA81" i="21"/>
  <c r="BA82" i="21" s="1"/>
  <c r="AY103" i="21"/>
  <c r="AY94" i="21"/>
  <c r="BP118" i="24"/>
  <c r="BL23" i="25" s="1"/>
  <c r="BL60" i="25" s="1"/>
  <c r="BL62" i="25" s="1"/>
  <c r="BJ75" i="25"/>
  <c r="BK43" i="25"/>
  <c r="BK65" i="25" s="1"/>
  <c r="BK46" i="25"/>
  <c r="BR97" i="24"/>
  <c r="BR98" i="24" s="1"/>
  <c r="BQ43" i="24"/>
  <c r="BQ46" i="24"/>
  <c r="BF90" i="19" l="1"/>
  <c r="BG87" i="19" s="1"/>
  <c r="BF46" i="19"/>
  <c r="BF83" i="19" s="1"/>
  <c r="AZ63" i="21"/>
  <c r="AZ68" i="21"/>
  <c r="BA37" i="21"/>
  <c r="BB33" i="21" s="1"/>
  <c r="BA39" i="21"/>
  <c r="AY104" i="21"/>
  <c r="AY107" i="21" s="1"/>
  <c r="AY111" i="21" s="1"/>
  <c r="AY105" i="21"/>
  <c r="AY108" i="21" s="1"/>
  <c r="BL47" i="25"/>
  <c r="BL31" i="25"/>
  <c r="BL34" i="25"/>
  <c r="BL37" i="25" s="1"/>
  <c r="BK48" i="25"/>
  <c r="BK44" i="25"/>
  <c r="BK57" i="25" s="1"/>
  <c r="BK66" i="25" s="1"/>
  <c r="BL64" i="25" s="1"/>
  <c r="BQ84" i="24"/>
  <c r="BQ64" i="24"/>
  <c r="BQ66" i="24" s="1"/>
  <c r="BG45" i="19" l="1"/>
  <c r="BG96" i="19"/>
  <c r="BG97" i="19" s="1"/>
  <c r="BF84" i="19"/>
  <c r="BG80" i="19" s="1"/>
  <c r="BG81" i="19" s="1"/>
  <c r="BF54" i="19"/>
  <c r="BF55" i="19" s="1"/>
  <c r="AZ84" i="21"/>
  <c r="AZ65" i="21"/>
  <c r="AZ67" i="21"/>
  <c r="BA83" i="21"/>
  <c r="BA40" i="21"/>
  <c r="BA43" i="21"/>
  <c r="BA45" i="21" s="1"/>
  <c r="AY112" i="21"/>
  <c r="AY122" i="21" s="1"/>
  <c r="AY124" i="21" s="1"/>
  <c r="AY109" i="21"/>
  <c r="AY113" i="21" s="1"/>
  <c r="BL87" i="25"/>
  <c r="BL89" i="25" s="1"/>
  <c r="BL36" i="25"/>
  <c r="BL38" i="25" s="1"/>
  <c r="BL39" i="25" s="1"/>
  <c r="BL61" i="25"/>
  <c r="BL63" i="25" s="1"/>
  <c r="BK67" i="25"/>
  <c r="BK70" i="25"/>
  <c r="BQ85" i="24"/>
  <c r="BR81" i="24" s="1"/>
  <c r="BR82" i="24" s="1"/>
  <c r="BM142" i="25"/>
  <c r="BR45" i="24"/>
  <c r="BQ54" i="24"/>
  <c r="BQ55" i="24" s="1"/>
  <c r="BR41" i="24"/>
  <c r="BR89" i="24" s="1"/>
  <c r="BG41" i="19" l="1"/>
  <c r="BG44" i="19"/>
  <c r="BF113" i="19"/>
  <c r="BF56" i="19"/>
  <c r="BF115" i="19" s="1"/>
  <c r="AZ69" i="21"/>
  <c r="AZ78" i="21"/>
  <c r="AZ85" i="21" s="1"/>
  <c r="BA41" i="21"/>
  <c r="BA54" i="21" s="1"/>
  <c r="BA59" i="21"/>
  <c r="BL40" i="25"/>
  <c r="BM33" i="25" s="1"/>
  <c r="BM35" i="25"/>
  <c r="BL59" i="25"/>
  <c r="BK69" i="25"/>
  <c r="BK93" i="25" s="1"/>
  <c r="BK74" i="25"/>
  <c r="BL42" i="25"/>
  <c r="BL92" i="25" s="1"/>
  <c r="BR90" i="24"/>
  <c r="BR91" i="24" s="1"/>
  <c r="BS88" i="24" s="1"/>
  <c r="BR44" i="24"/>
  <c r="BR61" i="24"/>
  <c r="BQ114" i="24"/>
  <c r="BQ56" i="24"/>
  <c r="BG61" i="19" l="1"/>
  <c r="BG88" i="19"/>
  <c r="BB123" i="21"/>
  <c r="BF117" i="19"/>
  <c r="BB23" i="21" s="1"/>
  <c r="AZ86" i="21"/>
  <c r="BA80" i="21" s="1"/>
  <c r="AZ88" i="21"/>
  <c r="BA60" i="21"/>
  <c r="BQ116" i="24"/>
  <c r="BM132" i="25" s="1"/>
  <c r="BL43" i="25"/>
  <c r="BL65" i="25" s="1"/>
  <c r="BK71" i="25"/>
  <c r="BK84" i="25" s="1"/>
  <c r="BK73" i="25"/>
  <c r="BL46" i="25"/>
  <c r="BS97" i="24"/>
  <c r="BS98" i="24" s="1"/>
  <c r="BR43" i="24"/>
  <c r="BR46" i="24"/>
  <c r="BG89" i="19" l="1"/>
  <c r="BG43" i="19"/>
  <c r="BG64" i="19" s="1"/>
  <c r="BG66" i="19" s="1"/>
  <c r="BB44" i="21"/>
  <c r="BB34" i="21"/>
  <c r="BB31" i="21"/>
  <c r="BB57" i="21"/>
  <c r="BB58" i="21" s="1"/>
  <c r="AZ92" i="21"/>
  <c r="AZ89" i="21"/>
  <c r="BA64" i="21"/>
  <c r="BA61" i="21"/>
  <c r="BB56" i="21" s="1"/>
  <c r="BQ118" i="24"/>
  <c r="BM23" i="25" s="1"/>
  <c r="BM60" i="25" s="1"/>
  <c r="BM62" i="25" s="1"/>
  <c r="BL44" i="25"/>
  <c r="BL57" i="25" s="1"/>
  <c r="BL66" i="25" s="1"/>
  <c r="BM61" i="25" s="1"/>
  <c r="BK75" i="25"/>
  <c r="BL48" i="25"/>
  <c r="BR84" i="24"/>
  <c r="BR64" i="24"/>
  <c r="BR66" i="24" s="1"/>
  <c r="BG46" i="19" l="1"/>
  <c r="BG83" i="19" s="1"/>
  <c r="BG90" i="19"/>
  <c r="BH87" i="19" s="1"/>
  <c r="BB81" i="21"/>
  <c r="BB82" i="21" s="1"/>
  <c r="BB35" i="21"/>
  <c r="BA63" i="21"/>
  <c r="BA68" i="21"/>
  <c r="AZ93" i="21"/>
  <c r="AZ90" i="21"/>
  <c r="BM31" i="25"/>
  <c r="BM34" i="25"/>
  <c r="BM37" i="25" s="1"/>
  <c r="BM47" i="25"/>
  <c r="BM64" i="25"/>
  <c r="BL67" i="25"/>
  <c r="BM63" i="25"/>
  <c r="BL70" i="25"/>
  <c r="BL69" i="25" s="1"/>
  <c r="BL93" i="25" s="1"/>
  <c r="BR85" i="24"/>
  <c r="BS81" i="24" s="1"/>
  <c r="BS82" i="24" s="1"/>
  <c r="BN142" i="25"/>
  <c r="BR54" i="24"/>
  <c r="BR55" i="24" s="1"/>
  <c r="BS45" i="24"/>
  <c r="BH96" i="19" l="1"/>
  <c r="BH45" i="19"/>
  <c r="BG54" i="19"/>
  <c r="BG55" i="19" s="1"/>
  <c r="BG84" i="19"/>
  <c r="BH80" i="19" s="1"/>
  <c r="BH81" i="19" s="1"/>
  <c r="BB36" i="21"/>
  <c r="BA84" i="21"/>
  <c r="BA67" i="21"/>
  <c r="BA65" i="21"/>
  <c r="AZ103" i="21"/>
  <c r="AZ94" i="21"/>
  <c r="BM87" i="25"/>
  <c r="BM89" i="25" s="1"/>
  <c r="BM36" i="25"/>
  <c r="BM38" i="25" s="1"/>
  <c r="BM39" i="25" s="1"/>
  <c r="BM59" i="25"/>
  <c r="BL74" i="25"/>
  <c r="BL71" i="25"/>
  <c r="BL84" i="25" s="1"/>
  <c r="BL73" i="25"/>
  <c r="BS44" i="24"/>
  <c r="BR114" i="24"/>
  <c r="BR56" i="24"/>
  <c r="BH97" i="19" l="1"/>
  <c r="BG56" i="19"/>
  <c r="BG115" i="19" s="1"/>
  <c r="BC123" i="21" s="1"/>
  <c r="BG113" i="19"/>
  <c r="BB39" i="21"/>
  <c r="BB37" i="21"/>
  <c r="BC33" i="21" s="1"/>
  <c r="BA69" i="21"/>
  <c r="BA78" i="21"/>
  <c r="BA85" i="21" s="1"/>
  <c r="AZ104" i="21"/>
  <c r="AZ107" i="21" s="1"/>
  <c r="AZ105" i="21"/>
  <c r="AZ108" i="21" s="1"/>
  <c r="AZ112" i="21" s="1"/>
  <c r="AZ122" i="21" s="1"/>
  <c r="AZ124" i="21" s="1"/>
  <c r="BR116" i="24"/>
  <c r="BN132" i="25" s="1"/>
  <c r="BM40" i="25"/>
  <c r="BN33" i="25" s="1"/>
  <c r="BN35" i="25"/>
  <c r="BL75" i="25"/>
  <c r="BM42" i="25"/>
  <c r="BM92" i="25" s="1"/>
  <c r="BS41" i="24"/>
  <c r="BS89" i="24" s="1"/>
  <c r="BG117" i="19" l="1"/>
  <c r="BC23" i="21" s="1"/>
  <c r="BH41" i="19"/>
  <c r="BH44" i="19"/>
  <c r="BB83" i="21"/>
  <c r="BB40" i="21"/>
  <c r="BB43" i="21"/>
  <c r="BB45" i="21" s="1"/>
  <c r="BA88" i="21"/>
  <c r="BA86" i="21"/>
  <c r="BB80" i="21" s="1"/>
  <c r="AZ109" i="21"/>
  <c r="AZ113" i="21" s="1"/>
  <c r="AZ111" i="21"/>
  <c r="BR118" i="24"/>
  <c r="BN23" i="25" s="1"/>
  <c r="BN60" i="25" s="1"/>
  <c r="BN62" i="25" s="1"/>
  <c r="BM43" i="25"/>
  <c r="BM65" i="25" s="1"/>
  <c r="BM46" i="25"/>
  <c r="BS90" i="24"/>
  <c r="BS91" i="24" s="1"/>
  <c r="BT88" i="24" s="1"/>
  <c r="BS61" i="24"/>
  <c r="BH61" i="19" l="1"/>
  <c r="BH88" i="19"/>
  <c r="BC44" i="21"/>
  <c r="BC31" i="21"/>
  <c r="BC57" i="21"/>
  <c r="BC58" i="21" s="1"/>
  <c r="BC34" i="21"/>
  <c r="BB41" i="21"/>
  <c r="BB54" i="21" s="1"/>
  <c r="BB59" i="21"/>
  <c r="BA89" i="21"/>
  <c r="BA92" i="21"/>
  <c r="BN47" i="25"/>
  <c r="BN31" i="25"/>
  <c r="BN34" i="25"/>
  <c r="BN37" i="25" s="1"/>
  <c r="BM48" i="25"/>
  <c r="BM44" i="25"/>
  <c r="BM57" i="25" s="1"/>
  <c r="BM66" i="25" s="1"/>
  <c r="BN64" i="25" s="1"/>
  <c r="BT97" i="24"/>
  <c r="BT98" i="24" s="1"/>
  <c r="BS43" i="24"/>
  <c r="BH89" i="19" l="1"/>
  <c r="BH43" i="19"/>
  <c r="BH64" i="19" s="1"/>
  <c r="BH66" i="19" s="1"/>
  <c r="BC35" i="21"/>
  <c r="BC36" i="21" s="1"/>
  <c r="BC81" i="21"/>
  <c r="BC82" i="21" s="1"/>
  <c r="BB60" i="21"/>
  <c r="BA90" i="21"/>
  <c r="BA93" i="21"/>
  <c r="BN87" i="25"/>
  <c r="BN89" i="25" s="1"/>
  <c r="BN36" i="25"/>
  <c r="BN38" i="25" s="1"/>
  <c r="BN39" i="25" s="1"/>
  <c r="BN61" i="25"/>
  <c r="BN63" i="25" s="1"/>
  <c r="BM67" i="25"/>
  <c r="BM70" i="25"/>
  <c r="BS46" i="24"/>
  <c r="BS84" i="24" s="1"/>
  <c r="BS64" i="24"/>
  <c r="BH46" i="19" l="1"/>
  <c r="BH83" i="19" s="1"/>
  <c r="BH90" i="19"/>
  <c r="BI87" i="19" s="1"/>
  <c r="BB61" i="21"/>
  <c r="BC56" i="21" s="1"/>
  <c r="BB64" i="21"/>
  <c r="BA103" i="21"/>
  <c r="BA94" i="21"/>
  <c r="BC39" i="21"/>
  <c r="BC37" i="21"/>
  <c r="BD33" i="21" s="1"/>
  <c r="BN40" i="25"/>
  <c r="BO33" i="25" s="1"/>
  <c r="BO35" i="25"/>
  <c r="BN59" i="25"/>
  <c r="BS85" i="24"/>
  <c r="BT81" i="24" s="1"/>
  <c r="BT82" i="24" s="1"/>
  <c r="BO142" i="25"/>
  <c r="BM69" i="25"/>
  <c r="BM93" i="25" s="1"/>
  <c r="BM74" i="25"/>
  <c r="BN42" i="25"/>
  <c r="BN92" i="25" s="1"/>
  <c r="BS54" i="24"/>
  <c r="BS66" i="24"/>
  <c r="BT45" i="24"/>
  <c r="BH84" i="19" l="1"/>
  <c r="BI80" i="19" s="1"/>
  <c r="BI81" i="19" s="1"/>
  <c r="BH54" i="19"/>
  <c r="BH55" i="19" s="1"/>
  <c r="BI45" i="19"/>
  <c r="BI96" i="19"/>
  <c r="BA104" i="21"/>
  <c r="BA107" i="21" s="1"/>
  <c r="BA105" i="21"/>
  <c r="BA108" i="21" s="1"/>
  <c r="BA112" i="21" s="1"/>
  <c r="BA122" i="21" s="1"/>
  <c r="BA124" i="21" s="1"/>
  <c r="BB63" i="21"/>
  <c r="BB68" i="21"/>
  <c r="BC43" i="21"/>
  <c r="BC45" i="21" s="1"/>
  <c r="BC83" i="21"/>
  <c r="BC40" i="21"/>
  <c r="BN43" i="25"/>
  <c r="BN65" i="25" s="1"/>
  <c r="BM71" i="25"/>
  <c r="BM84" i="25" s="1"/>
  <c r="BM73" i="25"/>
  <c r="BN46" i="25"/>
  <c r="BT44" i="24"/>
  <c r="BS55" i="24"/>
  <c r="BH56" i="19" l="1"/>
  <c r="BH115" i="19" s="1"/>
  <c r="BD123" i="21" s="1"/>
  <c r="BH113" i="19"/>
  <c r="BI97" i="19"/>
  <c r="BA111" i="21"/>
  <c r="BA109" i="21"/>
  <c r="BA113" i="21" s="1"/>
  <c r="BB84" i="21"/>
  <c r="BB65" i="21"/>
  <c r="BB67" i="21"/>
  <c r="BC59" i="21"/>
  <c r="BC41" i="21"/>
  <c r="BC54" i="21" s="1"/>
  <c r="BN44" i="25"/>
  <c r="BN57" i="25" s="1"/>
  <c r="BN66" i="25" s="1"/>
  <c r="BO61" i="25" s="1"/>
  <c r="BM75" i="25"/>
  <c r="BN48" i="25"/>
  <c r="BS114" i="24"/>
  <c r="BS56" i="24"/>
  <c r="BT41" i="24"/>
  <c r="BT89" i="24" s="1"/>
  <c r="BH117" i="19" l="1"/>
  <c r="BD23" i="21" s="1"/>
  <c r="BD57" i="21" s="1"/>
  <c r="BD58" i="21" s="1"/>
  <c r="BI41" i="19"/>
  <c r="BI44" i="19"/>
  <c r="BB78" i="21"/>
  <c r="BB85" i="21" s="1"/>
  <c r="BB69" i="21"/>
  <c r="BC60" i="21"/>
  <c r="BS116" i="24"/>
  <c r="BO132" i="25" s="1"/>
  <c r="BN67" i="25"/>
  <c r="BO59" i="25" s="1"/>
  <c r="BT90" i="24"/>
  <c r="BT91" i="24" s="1"/>
  <c r="BU88" i="24" s="1"/>
  <c r="BT61" i="24"/>
  <c r="BI88" i="19" l="1"/>
  <c r="BI61" i="19"/>
  <c r="BD34" i="21"/>
  <c r="BD44" i="21"/>
  <c r="BD31" i="21"/>
  <c r="BB86" i="21"/>
  <c r="BC80" i="21" s="1"/>
  <c r="BB88" i="21"/>
  <c r="BC64" i="21"/>
  <c r="BC61" i="21"/>
  <c r="BD56" i="21" s="1"/>
  <c r="BS118" i="24"/>
  <c r="BO23" i="25" s="1"/>
  <c r="BO34" i="25" s="1"/>
  <c r="BN70" i="25"/>
  <c r="BN69" i="25" s="1"/>
  <c r="BN93" i="25" s="1"/>
  <c r="BU97" i="24"/>
  <c r="BU98" i="24" s="1"/>
  <c r="BT43" i="24"/>
  <c r="BI89" i="19" l="1"/>
  <c r="BI43" i="19"/>
  <c r="BI64" i="19" s="1"/>
  <c r="BI66" i="19" s="1"/>
  <c r="BD35" i="21"/>
  <c r="BD36" i="21" s="1"/>
  <c r="BD81" i="21"/>
  <c r="BD82" i="21" s="1"/>
  <c r="BB92" i="21"/>
  <c r="BB89" i="21"/>
  <c r="BC63" i="21"/>
  <c r="BC68" i="21"/>
  <c r="BO47" i="25"/>
  <c r="BO31" i="25"/>
  <c r="BO60" i="25"/>
  <c r="BO63" i="25" s="1"/>
  <c r="BO37" i="25"/>
  <c r="BO36" i="25"/>
  <c r="BO38" i="25" s="1"/>
  <c r="BO87" i="25"/>
  <c r="BO89" i="25" s="1"/>
  <c r="BN73" i="25"/>
  <c r="BN71" i="25"/>
  <c r="BN84" i="25" s="1"/>
  <c r="BN74" i="25"/>
  <c r="BT46" i="24"/>
  <c r="BT84" i="24" s="1"/>
  <c r="BT64" i="24"/>
  <c r="BI90" i="19" l="1"/>
  <c r="BJ87" i="19" s="1"/>
  <c r="BI46" i="19"/>
  <c r="BI83" i="19" s="1"/>
  <c r="BB90" i="21"/>
  <c r="BB93" i="21"/>
  <c r="BC67" i="21"/>
  <c r="BC65" i="21"/>
  <c r="BC84" i="21"/>
  <c r="BD39" i="21"/>
  <c r="BD37" i="21"/>
  <c r="BE33" i="21" s="1"/>
  <c r="BO62" i="25"/>
  <c r="BO64" i="25" s="1"/>
  <c r="BN75" i="25"/>
  <c r="BT85" i="24"/>
  <c r="BU81" i="24" s="1"/>
  <c r="BU82" i="24" s="1"/>
  <c r="BP142" i="25"/>
  <c r="BO39" i="25"/>
  <c r="BT54" i="24"/>
  <c r="BT66" i="24"/>
  <c r="BU45" i="24"/>
  <c r="BJ45" i="19" l="1"/>
  <c r="BJ96" i="19"/>
  <c r="BI84" i="19"/>
  <c r="BJ80" i="19" s="1"/>
  <c r="BJ81" i="19" s="1"/>
  <c r="BI54" i="19"/>
  <c r="BI55" i="19" s="1"/>
  <c r="BB94" i="21"/>
  <c r="BB103" i="21"/>
  <c r="BC78" i="21"/>
  <c r="BC85" i="21" s="1"/>
  <c r="BC69" i="21"/>
  <c r="BD83" i="21"/>
  <c r="BD40" i="21"/>
  <c r="BD43" i="21"/>
  <c r="BD45" i="21" s="1"/>
  <c r="BO40" i="25"/>
  <c r="BP33" i="25" s="1"/>
  <c r="BP35" i="25"/>
  <c r="BO42" i="25"/>
  <c r="BO92" i="25" s="1"/>
  <c r="BT55" i="24"/>
  <c r="BJ97" i="19" l="1"/>
  <c r="BI56" i="19"/>
  <c r="BI115" i="19" s="1"/>
  <c r="BI113" i="19"/>
  <c r="BB104" i="21"/>
  <c r="BB107" i="21" s="1"/>
  <c r="BB105" i="21"/>
  <c r="BB108" i="21" s="1"/>
  <c r="BB112" i="21" s="1"/>
  <c r="BB122" i="21" s="1"/>
  <c r="BB124" i="21" s="1"/>
  <c r="BC86" i="21"/>
  <c r="BD80" i="21" s="1"/>
  <c r="BC88" i="21"/>
  <c r="BD59" i="21"/>
  <c r="BD41" i="21"/>
  <c r="BD54" i="21" s="1"/>
  <c r="BO43" i="25"/>
  <c r="BO65" i="25" s="1"/>
  <c r="BO46" i="25"/>
  <c r="BT114" i="24"/>
  <c r="BT56" i="24"/>
  <c r="BU41" i="24"/>
  <c r="BU89" i="24" s="1"/>
  <c r="BU44" i="24"/>
  <c r="BJ41" i="19" l="1"/>
  <c r="BJ44" i="19"/>
  <c r="BI117" i="19"/>
  <c r="BE23" i="21" s="1"/>
  <c r="BE123" i="21"/>
  <c r="BB109" i="21"/>
  <c r="BB113" i="21" s="1"/>
  <c r="BB111" i="21"/>
  <c r="BC92" i="21"/>
  <c r="BC89" i="21"/>
  <c r="BD60" i="21"/>
  <c r="BT116" i="24"/>
  <c r="BP132" i="25" s="1"/>
  <c r="BO44" i="25"/>
  <c r="BO57" i="25" s="1"/>
  <c r="BO66" i="25" s="1"/>
  <c r="BP61" i="25" s="1"/>
  <c r="BO48" i="25"/>
  <c r="BU90" i="24"/>
  <c r="BU91" i="24" s="1"/>
  <c r="BV88" i="24" s="1"/>
  <c r="BU61" i="24"/>
  <c r="BJ61" i="19" l="1"/>
  <c r="BJ88" i="19"/>
  <c r="BE44" i="21"/>
  <c r="BE34" i="21"/>
  <c r="BE57" i="21"/>
  <c r="BE58" i="21" s="1"/>
  <c r="BE31" i="21"/>
  <c r="BC93" i="21"/>
  <c r="BC90" i="21"/>
  <c r="BD61" i="21"/>
  <c r="BE56" i="21" s="1"/>
  <c r="BD64" i="21"/>
  <c r="BT118" i="24"/>
  <c r="BP23" i="25" s="1"/>
  <c r="BP60" i="25" s="1"/>
  <c r="BP63" i="25" s="1"/>
  <c r="BO67" i="25"/>
  <c r="BO70" i="25"/>
  <c r="BO69" i="25" s="1"/>
  <c r="BO93" i="25" s="1"/>
  <c r="BV97" i="24"/>
  <c r="BV98" i="24" s="1"/>
  <c r="BU43" i="24"/>
  <c r="BJ43" i="19" l="1"/>
  <c r="BJ64" i="19" s="1"/>
  <c r="BJ66" i="19" s="1"/>
  <c r="BJ89" i="19"/>
  <c r="BE35" i="21"/>
  <c r="BE36" i="21" s="1"/>
  <c r="BE81" i="21"/>
  <c r="BE82" i="21" s="1"/>
  <c r="BC103" i="21"/>
  <c r="BC94" i="21"/>
  <c r="BD68" i="21"/>
  <c r="BD63" i="21"/>
  <c r="BP34" i="25"/>
  <c r="BP37" i="25" s="1"/>
  <c r="BP47" i="25"/>
  <c r="BP31" i="25"/>
  <c r="BP62" i="25"/>
  <c r="BP64" i="25" s="1"/>
  <c r="BO74" i="25"/>
  <c r="BP59" i="25"/>
  <c r="BO71" i="25"/>
  <c r="BO84" i="25" s="1"/>
  <c r="BO73" i="25"/>
  <c r="BV45" i="24"/>
  <c r="BU46" i="24"/>
  <c r="BU84" i="24" s="1"/>
  <c r="BU64" i="24"/>
  <c r="BJ90" i="19" l="1"/>
  <c r="BK87" i="19" s="1"/>
  <c r="BJ46" i="19"/>
  <c r="BJ83" i="19" s="1"/>
  <c r="BC104" i="21"/>
  <c r="BC107" i="21" s="1"/>
  <c r="BC105" i="21"/>
  <c r="BC108" i="21" s="1"/>
  <c r="BC112" i="21" s="1"/>
  <c r="BC122" i="21" s="1"/>
  <c r="BC124" i="21" s="1"/>
  <c r="BD65" i="21"/>
  <c r="BD67" i="21"/>
  <c r="BD84" i="21"/>
  <c r="BE39" i="21"/>
  <c r="BE37" i="21"/>
  <c r="BF33" i="21" s="1"/>
  <c r="BP87" i="25"/>
  <c r="BP89" i="25" s="1"/>
  <c r="BP36" i="25"/>
  <c r="BP38" i="25" s="1"/>
  <c r="BP39" i="25" s="1"/>
  <c r="BO75" i="25"/>
  <c r="BU85" i="24"/>
  <c r="BV81" i="24" s="1"/>
  <c r="BV82" i="24" s="1"/>
  <c r="BQ142" i="25"/>
  <c r="BU54" i="24"/>
  <c r="BU66" i="24"/>
  <c r="BK45" i="19" l="1"/>
  <c r="BK96" i="19"/>
  <c r="BJ54" i="19"/>
  <c r="BJ55" i="19" s="1"/>
  <c r="BJ84" i="19"/>
  <c r="BK80" i="19" s="1"/>
  <c r="BK81" i="19" s="1"/>
  <c r="BC111" i="21"/>
  <c r="BC109" i="21"/>
  <c r="BC113" i="21" s="1"/>
  <c r="BD78" i="21"/>
  <c r="BD85" i="21" s="1"/>
  <c r="BD69" i="21"/>
  <c r="BE83" i="21"/>
  <c r="BE43" i="21"/>
  <c r="BE45" i="21" s="1"/>
  <c r="BE40" i="21"/>
  <c r="BP40" i="25"/>
  <c r="BQ33" i="25" s="1"/>
  <c r="BQ35" i="25"/>
  <c r="BP42" i="25"/>
  <c r="BP92" i="25" s="1"/>
  <c r="BV41" i="24"/>
  <c r="BV89" i="24" s="1"/>
  <c r="BU55" i="24"/>
  <c r="BV44" i="24"/>
  <c r="BK97" i="19" l="1"/>
  <c r="BJ113" i="19"/>
  <c r="BJ56" i="19"/>
  <c r="BJ115" i="19" s="1"/>
  <c r="BF123" i="21" s="1"/>
  <c r="BD88" i="21"/>
  <c r="BD86" i="21"/>
  <c r="BE80" i="21" s="1"/>
  <c r="BE59" i="21"/>
  <c r="BE41" i="21"/>
  <c r="BE54" i="21" s="1"/>
  <c r="BP46" i="25"/>
  <c r="BP48" i="25" s="1"/>
  <c r="BP43" i="25"/>
  <c r="BP65" i="25" s="1"/>
  <c r="BV90" i="24"/>
  <c r="BV91" i="24" s="1"/>
  <c r="BW88" i="24" s="1"/>
  <c r="BU114" i="24"/>
  <c r="BU56" i="24"/>
  <c r="BV61" i="24"/>
  <c r="BJ117" i="19" l="1"/>
  <c r="BF23" i="21" s="1"/>
  <c r="BK41" i="19"/>
  <c r="BK44" i="19"/>
  <c r="BE60" i="21"/>
  <c r="BD89" i="21"/>
  <c r="BD92" i="21"/>
  <c r="BU116" i="24"/>
  <c r="BQ132" i="25" s="1"/>
  <c r="BP44" i="25"/>
  <c r="BP57" i="25" s="1"/>
  <c r="BW97" i="24"/>
  <c r="BW98" i="24" s="1"/>
  <c r="BV43" i="24"/>
  <c r="BF31" i="21" l="1"/>
  <c r="BF34" i="21"/>
  <c r="BF44" i="21"/>
  <c r="BF57" i="21"/>
  <c r="BF58" i="21" s="1"/>
  <c r="BK61" i="19"/>
  <c r="BK88" i="19"/>
  <c r="BE64" i="21"/>
  <c r="BE61" i="21"/>
  <c r="BF56" i="21" s="1"/>
  <c r="BD90" i="21"/>
  <c r="BD93" i="21"/>
  <c r="BU118" i="24"/>
  <c r="BQ23" i="25" s="1"/>
  <c r="BQ60" i="25" s="1"/>
  <c r="BQ62" i="25" s="1"/>
  <c r="BP66" i="25"/>
  <c r="BQ61" i="25" s="1"/>
  <c r="BW45" i="24"/>
  <c r="BV64" i="24"/>
  <c r="BV46" i="24"/>
  <c r="BV84" i="24" s="1"/>
  <c r="BF35" i="21" l="1"/>
  <c r="BF81" i="21"/>
  <c r="BF82" i="21" s="1"/>
  <c r="BK89" i="19"/>
  <c r="BK43" i="19"/>
  <c r="BK64" i="19" s="1"/>
  <c r="BK66" i="19" s="1"/>
  <c r="BE68" i="21"/>
  <c r="BE63" i="21"/>
  <c r="BD94" i="21"/>
  <c r="BD103" i="21"/>
  <c r="BQ34" i="25"/>
  <c r="BQ37" i="25" s="1"/>
  <c r="BQ47" i="25"/>
  <c r="BQ31" i="25"/>
  <c r="BQ64" i="25"/>
  <c r="BQ63" i="25"/>
  <c r="BP67" i="25"/>
  <c r="BQ59" i="25" s="1"/>
  <c r="BP70" i="25"/>
  <c r="BP69" i="25" s="1"/>
  <c r="BP93" i="25" s="1"/>
  <c r="BV85" i="24"/>
  <c r="BW81" i="24" s="1"/>
  <c r="BW82" i="24" s="1"/>
  <c r="BR142" i="25"/>
  <c r="BV66" i="24"/>
  <c r="BV54" i="24"/>
  <c r="BW44" i="24"/>
  <c r="BF36" i="21" l="1"/>
  <c r="BK46" i="19"/>
  <c r="BK83" i="19" s="1"/>
  <c r="BK90" i="19"/>
  <c r="BL87" i="19" s="1"/>
  <c r="BE65" i="21"/>
  <c r="BE67" i="21"/>
  <c r="BE84" i="21"/>
  <c r="BD105" i="21"/>
  <c r="BD108" i="21" s="1"/>
  <c r="BD112" i="21" s="1"/>
  <c r="BD122" i="21" s="1"/>
  <c r="BD124" i="21" s="1"/>
  <c r="BD104" i="21"/>
  <c r="BD107" i="21" s="1"/>
  <c r="BD111" i="21" s="1"/>
  <c r="BQ87" i="25"/>
  <c r="BQ89" i="25" s="1"/>
  <c r="BQ36" i="25"/>
  <c r="BQ38" i="25" s="1"/>
  <c r="BQ39" i="25" s="1"/>
  <c r="BP71" i="25"/>
  <c r="BP84" i="25" s="1"/>
  <c r="BP73" i="25"/>
  <c r="BP74" i="25"/>
  <c r="BV55" i="24"/>
  <c r="BW41" i="24"/>
  <c r="BW89" i="24" s="1"/>
  <c r="BK54" i="19" l="1"/>
  <c r="BK55" i="19" s="1"/>
  <c r="BK84" i="19"/>
  <c r="BL80" i="19" s="1"/>
  <c r="BL81" i="19" s="1"/>
  <c r="BL96" i="19"/>
  <c r="BL45" i="19"/>
  <c r="BF39" i="21"/>
  <c r="BF37" i="21"/>
  <c r="BG33" i="21" s="1"/>
  <c r="BE69" i="21"/>
  <c r="BE78" i="21"/>
  <c r="BE85" i="21" s="1"/>
  <c r="BD109" i="21"/>
  <c r="BD113" i="21" s="1"/>
  <c r="BQ40" i="25"/>
  <c r="BR33" i="25" s="1"/>
  <c r="BR35" i="25"/>
  <c r="BP75" i="25"/>
  <c r="BQ42" i="25"/>
  <c r="BQ92" i="25" s="1"/>
  <c r="BW90" i="24"/>
  <c r="BW91" i="24" s="1"/>
  <c r="BX88" i="24" s="1"/>
  <c r="BW61" i="24"/>
  <c r="BV114" i="24"/>
  <c r="BV56" i="24"/>
  <c r="BK113" i="19" l="1"/>
  <c r="BK56" i="19"/>
  <c r="BK115" i="19" s="1"/>
  <c r="BG123" i="21" s="1"/>
  <c r="BL97" i="19"/>
  <c r="BF83" i="21"/>
  <c r="BF43" i="21"/>
  <c r="BF45" i="21" s="1"/>
  <c r="BF40" i="21"/>
  <c r="BE86" i="21"/>
  <c r="BF80" i="21" s="1"/>
  <c r="BE88" i="21"/>
  <c r="BV116" i="24"/>
  <c r="BR132" i="25" s="1"/>
  <c r="BQ43" i="25"/>
  <c r="BQ65" i="25" s="1"/>
  <c r="BQ46" i="25"/>
  <c r="BX97" i="24"/>
  <c r="BX98" i="24" s="1"/>
  <c r="BW43" i="24"/>
  <c r="BK117" i="19" l="1"/>
  <c r="BG23" i="21" s="1"/>
  <c r="BF41" i="21"/>
  <c r="BF54" i="21" s="1"/>
  <c r="BF59" i="21"/>
  <c r="BL41" i="19"/>
  <c r="BL44" i="19"/>
  <c r="BE92" i="21"/>
  <c r="BE89" i="21"/>
  <c r="BV118" i="24"/>
  <c r="BR23" i="25" s="1"/>
  <c r="BR60" i="25" s="1"/>
  <c r="BR62" i="25" s="1"/>
  <c r="BQ48" i="25"/>
  <c r="BQ44" i="25"/>
  <c r="BQ57" i="25" s="1"/>
  <c r="BQ66" i="25" s="1"/>
  <c r="BR61" i="25" s="1"/>
  <c r="BX45" i="24"/>
  <c r="BW46" i="24"/>
  <c r="BW84" i="24" s="1"/>
  <c r="BW64" i="24"/>
  <c r="BG57" i="21" l="1"/>
  <c r="BG58" i="21" s="1"/>
  <c r="BG31" i="21"/>
  <c r="BG34" i="21"/>
  <c r="BG44" i="21"/>
  <c r="BF60" i="21"/>
  <c r="BL88" i="19"/>
  <c r="BL61" i="19"/>
  <c r="BE90" i="21"/>
  <c r="BE93" i="21"/>
  <c r="BR34" i="25"/>
  <c r="BR87" i="25" s="1"/>
  <c r="BR89" i="25" s="1"/>
  <c r="BR31" i="25"/>
  <c r="BR47" i="25"/>
  <c r="BR64" i="25"/>
  <c r="BQ67" i="25"/>
  <c r="BR59" i="25" s="1"/>
  <c r="BR63" i="25"/>
  <c r="BW85" i="24"/>
  <c r="BX81" i="24" s="1"/>
  <c r="BX82" i="24" s="1"/>
  <c r="BS142" i="25"/>
  <c r="BW54" i="24"/>
  <c r="BX41" i="24"/>
  <c r="BX89" i="24" s="1"/>
  <c r="BW66" i="24"/>
  <c r="BG35" i="21" l="1"/>
  <c r="BG36" i="21" s="1"/>
  <c r="BG81" i="21"/>
  <c r="BG82" i="21" s="1"/>
  <c r="BL89" i="19"/>
  <c r="BL43" i="19"/>
  <c r="BL64" i="19" s="1"/>
  <c r="BL66" i="19" s="1"/>
  <c r="BF64" i="21"/>
  <c r="BF61" i="21"/>
  <c r="BG56" i="21" s="1"/>
  <c r="BE94" i="21"/>
  <c r="BE103" i="21"/>
  <c r="BR36" i="25"/>
  <c r="BR38" i="25" s="1"/>
  <c r="BR37" i="25"/>
  <c r="BQ70" i="25"/>
  <c r="BQ69" i="25" s="1"/>
  <c r="BQ93" i="25" s="1"/>
  <c r="BX90" i="24"/>
  <c r="BX91" i="24" s="1"/>
  <c r="BY88" i="24" s="1"/>
  <c r="BX44" i="24"/>
  <c r="BX61" i="24"/>
  <c r="BW55" i="24"/>
  <c r="BG39" i="21" l="1"/>
  <c r="BG37" i="21"/>
  <c r="BH33" i="21" s="1"/>
  <c r="BF63" i="21"/>
  <c r="BF68" i="21"/>
  <c r="BL46" i="19"/>
  <c r="BL83" i="19" s="1"/>
  <c r="BL90" i="19"/>
  <c r="BM87" i="19" s="1"/>
  <c r="BE104" i="21"/>
  <c r="BE107" i="21" s="1"/>
  <c r="BE105" i="21"/>
  <c r="BE108" i="21" s="1"/>
  <c r="BE112" i="21" s="1"/>
  <c r="BE122" i="21" s="1"/>
  <c r="BE124" i="21" s="1"/>
  <c r="BR39" i="25"/>
  <c r="BR40" i="25" s="1"/>
  <c r="BS33" i="25" s="1"/>
  <c r="BQ74" i="25"/>
  <c r="BQ71" i="25"/>
  <c r="BQ84" i="25" s="1"/>
  <c r="BQ73" i="25"/>
  <c r="BY97" i="24"/>
  <c r="BY98" i="24" s="1"/>
  <c r="BX43" i="24"/>
  <c r="BX46" i="24"/>
  <c r="BW114" i="24"/>
  <c r="BW56" i="24"/>
  <c r="BG83" i="21" l="1"/>
  <c r="BG43" i="21"/>
  <c r="BG45" i="21" s="1"/>
  <c r="BG40" i="21"/>
  <c r="BF67" i="21"/>
  <c r="BF84" i="21"/>
  <c r="BF65" i="21"/>
  <c r="BL84" i="19"/>
  <c r="BM80" i="19" s="1"/>
  <c r="BM81" i="19" s="1"/>
  <c r="BL54" i="19"/>
  <c r="BL55" i="19" s="1"/>
  <c r="BM96" i="19"/>
  <c r="BM45" i="19"/>
  <c r="BE109" i="21"/>
  <c r="BE113" i="21" s="1"/>
  <c r="BE111" i="21"/>
  <c r="BR42" i="25"/>
  <c r="BS35" i="25"/>
  <c r="BW116" i="24"/>
  <c r="BS132" i="25" s="1"/>
  <c r="BQ75" i="25"/>
  <c r="BX84" i="24"/>
  <c r="BX64" i="24"/>
  <c r="BX66" i="24" s="1"/>
  <c r="BG59" i="21" l="1"/>
  <c r="BG41" i="21"/>
  <c r="BG54" i="21" s="1"/>
  <c r="BG60" i="21" s="1"/>
  <c r="BF69" i="21"/>
  <c r="BF78" i="21"/>
  <c r="BF85" i="21" s="1"/>
  <c r="BL113" i="19"/>
  <c r="BL56" i="19"/>
  <c r="BL115" i="19" s="1"/>
  <c r="BH123" i="21" s="1"/>
  <c r="BM97" i="19"/>
  <c r="BR92" i="25"/>
  <c r="BR43" i="25"/>
  <c r="BR46" i="25"/>
  <c r="BR48" i="25" s="1"/>
  <c r="BW118" i="24"/>
  <c r="BS23" i="25" s="1"/>
  <c r="BS60" i="25" s="1"/>
  <c r="BS62" i="25" s="1"/>
  <c r="BX85" i="24"/>
  <c r="BY81" i="24" s="1"/>
  <c r="BY82" i="24" s="1"/>
  <c r="BT142" i="25"/>
  <c r="BX54" i="24"/>
  <c r="BX55" i="24" s="1"/>
  <c r="BY45" i="24"/>
  <c r="BF86" i="21" l="1"/>
  <c r="BG80" i="21" s="1"/>
  <c r="BF88" i="21"/>
  <c r="BL117" i="19"/>
  <c r="BH23" i="21" s="1"/>
  <c r="BM41" i="19"/>
  <c r="BM44" i="19"/>
  <c r="BG64" i="21"/>
  <c r="BG61" i="21"/>
  <c r="BH56" i="21" s="1"/>
  <c r="BR65" i="25"/>
  <c r="BR44" i="25"/>
  <c r="BR57" i="25" s="1"/>
  <c r="BS31" i="25"/>
  <c r="BS34" i="25"/>
  <c r="BS36" i="25" s="1"/>
  <c r="BS38" i="25" s="1"/>
  <c r="BS47" i="25"/>
  <c r="BX114" i="24"/>
  <c r="BX56" i="24"/>
  <c r="BY41" i="24"/>
  <c r="BY89" i="24" s="1"/>
  <c r="BF92" i="21" l="1"/>
  <c r="BF89" i="21"/>
  <c r="BH34" i="21"/>
  <c r="BH44" i="21"/>
  <c r="BH57" i="21"/>
  <c r="BH58" i="21" s="1"/>
  <c r="BH31" i="21"/>
  <c r="BM88" i="19"/>
  <c r="BM61" i="19"/>
  <c r="BG68" i="21"/>
  <c r="BG63" i="21"/>
  <c r="BR66" i="25"/>
  <c r="BS87" i="25"/>
  <c r="BS89" i="25" s="1"/>
  <c r="BS37" i="25"/>
  <c r="BS39" i="25" s="1"/>
  <c r="BX116" i="24"/>
  <c r="BT132" i="25" s="1"/>
  <c r="BY90" i="24"/>
  <c r="BY91" i="24" s="1"/>
  <c r="BZ88" i="24" s="1"/>
  <c r="BY44" i="24"/>
  <c r="BY61" i="24"/>
  <c r="BH81" i="21" l="1"/>
  <c r="BH82" i="21" s="1"/>
  <c r="BH35" i="21"/>
  <c r="BM43" i="19"/>
  <c r="BM64" i="19" s="1"/>
  <c r="BM66" i="19" s="1"/>
  <c r="BM89" i="19"/>
  <c r="BF93" i="21"/>
  <c r="BF90" i="21"/>
  <c r="BG67" i="21"/>
  <c r="BG84" i="21"/>
  <c r="BG65" i="21"/>
  <c r="BS61" i="25"/>
  <c r="BS63" i="25" s="1"/>
  <c r="BR67" i="25"/>
  <c r="BS59" i="25" s="1"/>
  <c r="BS64" i="25"/>
  <c r="BR70" i="25"/>
  <c r="BX118" i="24"/>
  <c r="BT23" i="25" s="1"/>
  <c r="BT34" i="25" s="1"/>
  <c r="BT36" i="25" s="1"/>
  <c r="BS40" i="25"/>
  <c r="BT33" i="25" s="1"/>
  <c r="BT35" i="25"/>
  <c r="BS42" i="25"/>
  <c r="BS92" i="25" s="1"/>
  <c r="BZ97" i="24"/>
  <c r="BZ98" i="24" s="1"/>
  <c r="BY43" i="24"/>
  <c r="BY46" i="24"/>
  <c r="BH36" i="21" l="1"/>
  <c r="BF103" i="21"/>
  <c r="BF94" i="21"/>
  <c r="BM46" i="19"/>
  <c r="BM83" i="19" s="1"/>
  <c r="BM90" i="19"/>
  <c r="BN87" i="19" s="1"/>
  <c r="BG78" i="21"/>
  <c r="BG85" i="21" s="1"/>
  <c r="BG69" i="21"/>
  <c r="BR69" i="25"/>
  <c r="BR74" i="25"/>
  <c r="BT47" i="25"/>
  <c r="BT31" i="25"/>
  <c r="BT60" i="25"/>
  <c r="BT62" i="25" s="1"/>
  <c r="BT38" i="25"/>
  <c r="BT37" i="25"/>
  <c r="BT87" i="25"/>
  <c r="BT89" i="25" s="1"/>
  <c r="BS43" i="25"/>
  <c r="BS65" i="25" s="1"/>
  <c r="BS46" i="25"/>
  <c r="BY84" i="24"/>
  <c r="BY64" i="24"/>
  <c r="BY66" i="24" s="1"/>
  <c r="BH39" i="21" l="1"/>
  <c r="BH43" i="21" s="1"/>
  <c r="BH45" i="21" s="1"/>
  <c r="BH37" i="21"/>
  <c r="BI33" i="21" s="1"/>
  <c r="BF105" i="21"/>
  <c r="BF108" i="21" s="1"/>
  <c r="BF112" i="21" s="1"/>
  <c r="BF122" i="21" s="1"/>
  <c r="BF124" i="21" s="1"/>
  <c r="BF104" i="21"/>
  <c r="BF107" i="21" s="1"/>
  <c r="BM54" i="19"/>
  <c r="BM55" i="19" s="1"/>
  <c r="BM84" i="19"/>
  <c r="BN80" i="19" s="1"/>
  <c r="BN81" i="19" s="1"/>
  <c r="BN45" i="19"/>
  <c r="BN96" i="19"/>
  <c r="BG86" i="21"/>
  <c r="BH80" i="21" s="1"/>
  <c r="BG88" i="21"/>
  <c r="BR93" i="25"/>
  <c r="BR71" i="25"/>
  <c r="BR73" i="25"/>
  <c r="BY85" i="24"/>
  <c r="BZ81" i="24" s="1"/>
  <c r="BZ82" i="24" s="1"/>
  <c r="BU142" i="25"/>
  <c r="BS48" i="25"/>
  <c r="BS44" i="25"/>
  <c r="BS57" i="25" s="1"/>
  <c r="BS66" i="25" s="1"/>
  <c r="BT64" i="25" s="1"/>
  <c r="BT39" i="25"/>
  <c r="BT40" i="25" s="1"/>
  <c r="BY54" i="24"/>
  <c r="BY55" i="24" s="1"/>
  <c r="BZ45" i="24"/>
  <c r="BH83" i="21" l="1"/>
  <c r="BH40" i="21"/>
  <c r="BF109" i="21"/>
  <c r="BF113" i="21" s="1"/>
  <c r="BF111" i="21"/>
  <c r="BM113" i="19"/>
  <c r="BM56" i="19"/>
  <c r="BM115" i="19" s="1"/>
  <c r="BI123" i="21" s="1"/>
  <c r="BN97" i="19"/>
  <c r="BG92" i="21"/>
  <c r="BG89" i="21"/>
  <c r="BR84" i="25"/>
  <c r="BR75" i="25"/>
  <c r="BT61" i="25"/>
  <c r="BT63" i="25" s="1"/>
  <c r="BS67" i="25"/>
  <c r="BU35" i="25"/>
  <c r="BS70" i="25"/>
  <c r="BT42" i="25"/>
  <c r="BT92" i="25" s="1"/>
  <c r="BU33" i="25"/>
  <c r="BY114" i="24"/>
  <c r="BY56" i="24"/>
  <c r="BZ41" i="24"/>
  <c r="BZ89" i="24" s="1"/>
  <c r="BH59" i="21" l="1"/>
  <c r="BH41" i="21"/>
  <c r="BH54" i="21" s="1"/>
  <c r="BM117" i="19"/>
  <c r="BI23" i="21" s="1"/>
  <c r="BN41" i="19"/>
  <c r="BN44" i="19"/>
  <c r="BG93" i="21"/>
  <c r="BG90" i="21"/>
  <c r="BY116" i="24"/>
  <c r="BU132" i="25" s="1"/>
  <c r="BT59" i="25"/>
  <c r="BS69" i="25"/>
  <c r="BS93" i="25" s="1"/>
  <c r="BS74" i="25"/>
  <c r="BT43" i="25"/>
  <c r="BT65" i="25" s="1"/>
  <c r="BT46" i="25"/>
  <c r="BZ90" i="24"/>
  <c r="BZ91" i="24" s="1"/>
  <c r="CA88" i="24" s="1"/>
  <c r="BZ44" i="24"/>
  <c r="BZ61" i="24"/>
  <c r="BH60" i="21" l="1"/>
  <c r="BI31" i="21"/>
  <c r="BI34" i="21"/>
  <c r="BI57" i="21"/>
  <c r="BI58" i="21" s="1"/>
  <c r="BI44" i="21"/>
  <c r="BN88" i="19"/>
  <c r="BN61" i="19"/>
  <c r="BG94" i="21"/>
  <c r="BG103" i="21"/>
  <c r="BY118" i="24"/>
  <c r="BU23" i="25" s="1"/>
  <c r="BU60" i="25" s="1"/>
  <c r="BU62" i="25" s="1"/>
  <c r="BS71" i="25"/>
  <c r="BS84" i="25" s="1"/>
  <c r="BS73" i="25"/>
  <c r="BT48" i="25"/>
  <c r="BT44" i="25"/>
  <c r="BT57" i="25" s="1"/>
  <c r="BT66" i="25" s="1"/>
  <c r="CA97" i="24"/>
  <c r="CA98" i="24" s="1"/>
  <c r="BZ43" i="24"/>
  <c r="BZ46" i="24"/>
  <c r="BH64" i="21" l="1"/>
  <c r="BH61" i="21"/>
  <c r="BI56" i="21" s="1"/>
  <c r="BI81" i="21"/>
  <c r="BI82" i="21" s="1"/>
  <c r="BI35" i="21"/>
  <c r="BI36" i="21" s="1"/>
  <c r="BN43" i="19"/>
  <c r="BN64" i="19" s="1"/>
  <c r="BN66" i="19" s="1"/>
  <c r="BN89" i="19"/>
  <c r="BG104" i="21"/>
  <c r="BG107" i="21" s="1"/>
  <c r="BG111" i="21" s="1"/>
  <c r="BG105" i="21"/>
  <c r="BG108" i="21" s="1"/>
  <c r="BU47" i="25"/>
  <c r="BU31" i="25"/>
  <c r="BU34" i="25"/>
  <c r="BU87" i="25" s="1"/>
  <c r="BU89" i="25" s="1"/>
  <c r="BU64" i="25"/>
  <c r="BU61" i="25"/>
  <c r="BU63" i="25" s="1"/>
  <c r="BT67" i="25"/>
  <c r="BT70" i="25"/>
  <c r="BS75" i="25"/>
  <c r="BZ84" i="24"/>
  <c r="BZ64" i="24"/>
  <c r="BZ66" i="24" s="1"/>
  <c r="BH63" i="21" l="1"/>
  <c r="BH84" i="21" s="1"/>
  <c r="BH68" i="21"/>
  <c r="BN46" i="19"/>
  <c r="BN83" i="19" s="1"/>
  <c r="BN90" i="19"/>
  <c r="BO87" i="19" s="1"/>
  <c r="BI37" i="21"/>
  <c r="BJ33" i="21" s="1"/>
  <c r="BI39" i="21"/>
  <c r="BG112" i="21"/>
  <c r="BG122" i="21" s="1"/>
  <c r="BG124" i="21" s="1"/>
  <c r="BG109" i="21"/>
  <c r="BG113" i="21" s="1"/>
  <c r="BU36" i="25"/>
  <c r="BU38" i="25" s="1"/>
  <c r="BU37" i="25"/>
  <c r="BU59" i="25"/>
  <c r="BZ85" i="24"/>
  <c r="CA81" i="24" s="1"/>
  <c r="CA82" i="24" s="1"/>
  <c r="BV142" i="25"/>
  <c r="BT69" i="25"/>
  <c r="BT93" i="25" s="1"/>
  <c r="BT74" i="25"/>
  <c r="CA45" i="24"/>
  <c r="BZ54" i="24"/>
  <c r="BZ55" i="24" s="1"/>
  <c r="BH65" i="21" l="1"/>
  <c r="BH67" i="21"/>
  <c r="BO45" i="19"/>
  <c r="BO96" i="19"/>
  <c r="BO97" i="19" s="1"/>
  <c r="BN54" i="19"/>
  <c r="BN55" i="19" s="1"/>
  <c r="BN84" i="19"/>
  <c r="BO80" i="19" s="1"/>
  <c r="BO81" i="19" s="1"/>
  <c r="BI83" i="21"/>
  <c r="BI40" i="21"/>
  <c r="BI43" i="21"/>
  <c r="BI45" i="21" s="1"/>
  <c r="BU39" i="25"/>
  <c r="BU40" i="25" s="1"/>
  <c r="BV33" i="25" s="1"/>
  <c r="BT71" i="25"/>
  <c r="BT84" i="25" s="1"/>
  <c r="BT73" i="25"/>
  <c r="BZ114" i="24"/>
  <c r="BZ56" i="24"/>
  <c r="CA41" i="24"/>
  <c r="CA89" i="24" s="1"/>
  <c r="BH69" i="21" l="1"/>
  <c r="BH78" i="21"/>
  <c r="BH85" i="21" s="1"/>
  <c r="BN56" i="19"/>
  <c r="BN115" i="19" s="1"/>
  <c r="BJ123" i="21" s="1"/>
  <c r="BN113" i="19"/>
  <c r="BI41" i="21"/>
  <c r="BI54" i="21" s="1"/>
  <c r="BI59" i="21"/>
  <c r="BO41" i="19"/>
  <c r="BO44" i="19"/>
  <c r="BU42" i="25"/>
  <c r="BU92" i="25" s="1"/>
  <c r="BV35" i="25"/>
  <c r="BZ116" i="24"/>
  <c r="BV132" i="25" s="1"/>
  <c r="BT75" i="25"/>
  <c r="CA90" i="24"/>
  <c r="CA91" i="24" s="1"/>
  <c r="CB88" i="24" s="1"/>
  <c r="CA44" i="24"/>
  <c r="CA61" i="24"/>
  <c r="BH88" i="21" l="1"/>
  <c r="BH86" i="21"/>
  <c r="BI80" i="21" s="1"/>
  <c r="BN117" i="19"/>
  <c r="BJ23" i="21" s="1"/>
  <c r="BI60" i="21"/>
  <c r="BO88" i="19"/>
  <c r="BO61" i="19"/>
  <c r="BU43" i="25"/>
  <c r="BU65" i="25" s="1"/>
  <c r="BU46" i="25"/>
  <c r="BU48" i="25" s="1"/>
  <c r="BZ118" i="24"/>
  <c r="BV23" i="25" s="1"/>
  <c r="BV60" i="25" s="1"/>
  <c r="BV62" i="25" s="1"/>
  <c r="CB97" i="24"/>
  <c r="CB98" i="24" s="1"/>
  <c r="CA43" i="24"/>
  <c r="CA46" i="24"/>
  <c r="BH92" i="21" l="1"/>
  <c r="BH89" i="21"/>
  <c r="BI64" i="21"/>
  <c r="BI61" i="21"/>
  <c r="BJ56" i="21" s="1"/>
  <c r="BJ34" i="21"/>
  <c r="BJ31" i="21"/>
  <c r="BJ44" i="21"/>
  <c r="BJ57" i="21"/>
  <c r="BJ58" i="21" s="1"/>
  <c r="BO43" i="19"/>
  <c r="BO64" i="19" s="1"/>
  <c r="BO66" i="19" s="1"/>
  <c r="BO89" i="19"/>
  <c r="BU44" i="25"/>
  <c r="BU57" i="25" s="1"/>
  <c r="BU66" i="25" s="1"/>
  <c r="BV64" i="25" s="1"/>
  <c r="BV47" i="25"/>
  <c r="BV31" i="25"/>
  <c r="BV34" i="25"/>
  <c r="BV87" i="25" s="1"/>
  <c r="BV89" i="25" s="1"/>
  <c r="CA84" i="24"/>
  <c r="CA64" i="24"/>
  <c r="CA66" i="24" s="1"/>
  <c r="BH93" i="21" l="1"/>
  <c r="BH90" i="21"/>
  <c r="BI68" i="21"/>
  <c r="BI63" i="21"/>
  <c r="BJ81" i="21"/>
  <c r="BJ82" i="21" s="1"/>
  <c r="BJ35" i="21"/>
  <c r="BJ36" i="21" s="1"/>
  <c r="BO46" i="19"/>
  <c r="BO83" i="19" s="1"/>
  <c r="BO90" i="19"/>
  <c r="BP87" i="19" s="1"/>
  <c r="BU67" i="25"/>
  <c r="BV59" i="25" s="1"/>
  <c r="BU70" i="25"/>
  <c r="BU74" i="25" s="1"/>
  <c r="BV61" i="25"/>
  <c r="BV63" i="25" s="1"/>
  <c r="BV36" i="25"/>
  <c r="BV38" i="25" s="1"/>
  <c r="BV37" i="25"/>
  <c r="CA85" i="24"/>
  <c r="CB81" i="24" s="1"/>
  <c r="CB82" i="24" s="1"/>
  <c r="BW142" i="25"/>
  <c r="CA54" i="24"/>
  <c r="CA55" i="24" s="1"/>
  <c r="CB45" i="24"/>
  <c r="BH94" i="21" l="1"/>
  <c r="BH103" i="21"/>
  <c r="BI67" i="21"/>
  <c r="BI84" i="21"/>
  <c r="BI65" i="21"/>
  <c r="BO84" i="19"/>
  <c r="BP80" i="19" s="1"/>
  <c r="BP81" i="19" s="1"/>
  <c r="BO54" i="19"/>
  <c r="BO55" i="19" s="1"/>
  <c r="BP96" i="19"/>
  <c r="BP97" i="19" s="1"/>
  <c r="BP45" i="19"/>
  <c r="BJ39" i="21"/>
  <c r="BJ37" i="21"/>
  <c r="BK33" i="21" s="1"/>
  <c r="BU69" i="25"/>
  <c r="BV39" i="25"/>
  <c r="BV40" i="25" s="1"/>
  <c r="BW33" i="25" s="1"/>
  <c r="CA114" i="24"/>
  <c r="CA56" i="24"/>
  <c r="CB41" i="24"/>
  <c r="CB89" i="24" s="1"/>
  <c r="BH104" i="21" l="1"/>
  <c r="BH107" i="21" s="1"/>
  <c r="BH105" i="21"/>
  <c r="BH108" i="21" s="1"/>
  <c r="BH112" i="21" s="1"/>
  <c r="BH122" i="21" s="1"/>
  <c r="BH124" i="21" s="1"/>
  <c r="BI78" i="21"/>
  <c r="BI85" i="21" s="1"/>
  <c r="BI69" i="21"/>
  <c r="BO113" i="19"/>
  <c r="BO56" i="19"/>
  <c r="BO115" i="19" s="1"/>
  <c r="BK123" i="21" s="1"/>
  <c r="BJ40" i="21"/>
  <c r="BJ83" i="21"/>
  <c r="BJ43" i="21"/>
  <c r="BJ45" i="21" s="1"/>
  <c r="BP41" i="19"/>
  <c r="BP44" i="19"/>
  <c r="BU93" i="25"/>
  <c r="BU71" i="25"/>
  <c r="BU73" i="25"/>
  <c r="BV42" i="25"/>
  <c r="BV92" i="25" s="1"/>
  <c r="BW35" i="25"/>
  <c r="CA116" i="24"/>
  <c r="BW132" i="25" s="1"/>
  <c r="CB90" i="24"/>
  <c r="CB91" i="24" s="1"/>
  <c r="CC88" i="24" s="1"/>
  <c r="CB44" i="24"/>
  <c r="CB61" i="24"/>
  <c r="BH109" i="21" l="1"/>
  <c r="BH113" i="21" s="1"/>
  <c r="BH111" i="21"/>
  <c r="BI86" i="21"/>
  <c r="BJ80" i="21" s="1"/>
  <c r="BI88" i="21"/>
  <c r="BO117" i="19"/>
  <c r="BK23" i="21" s="1"/>
  <c r="BJ41" i="21"/>
  <c r="BJ54" i="21" s="1"/>
  <c r="BJ59" i="21"/>
  <c r="BP88" i="19"/>
  <c r="BP61" i="19"/>
  <c r="BU84" i="25"/>
  <c r="BU75" i="25"/>
  <c r="BV46" i="25"/>
  <c r="BV48" i="25" s="1"/>
  <c r="BV43" i="25"/>
  <c r="BV65" i="25" s="1"/>
  <c r="CA118" i="24"/>
  <c r="BW23" i="25" s="1"/>
  <c r="BW60" i="25" s="1"/>
  <c r="BW62" i="25" s="1"/>
  <c r="CC97" i="24"/>
  <c r="CC98" i="24" s="1"/>
  <c r="CB43" i="24"/>
  <c r="CB46" i="24"/>
  <c r="BI92" i="21" l="1"/>
  <c r="BI89" i="21"/>
  <c r="BK57" i="21"/>
  <c r="BK58" i="21" s="1"/>
  <c r="BK31" i="21"/>
  <c r="BK44" i="21"/>
  <c r="BK34" i="21"/>
  <c r="BJ60" i="21"/>
  <c r="BP43" i="19"/>
  <c r="BP64" i="19" s="1"/>
  <c r="BP66" i="19" s="1"/>
  <c r="BP89" i="19"/>
  <c r="BV44" i="25"/>
  <c r="BV57" i="25" s="1"/>
  <c r="BV66" i="25" s="1"/>
  <c r="BW61" i="25" s="1"/>
  <c r="BW47" i="25"/>
  <c r="BW34" i="25"/>
  <c r="BW37" i="25" s="1"/>
  <c r="BW31" i="25"/>
  <c r="CB84" i="24"/>
  <c r="CB64" i="24"/>
  <c r="CB66" i="24" s="1"/>
  <c r="BI90" i="21" l="1"/>
  <c r="BI93" i="21"/>
  <c r="BK81" i="21"/>
  <c r="BK82" i="21" s="1"/>
  <c r="BK35" i="21"/>
  <c r="BK36" i="21" s="1"/>
  <c r="BJ64" i="21"/>
  <c r="BJ61" i="21"/>
  <c r="BK56" i="21" s="1"/>
  <c r="BP46" i="19"/>
  <c r="BP83" i="19" s="1"/>
  <c r="BP90" i="19"/>
  <c r="BQ87" i="19" s="1"/>
  <c r="BV70" i="25"/>
  <c r="BW63" i="25"/>
  <c r="BW64" i="25"/>
  <c r="BV67" i="25"/>
  <c r="BW59" i="25" s="1"/>
  <c r="BW36" i="25"/>
  <c r="BW38" i="25" s="1"/>
  <c r="BW39" i="25" s="1"/>
  <c r="BW87" i="25"/>
  <c r="BW89" i="25" s="1"/>
  <c r="CB85" i="24"/>
  <c r="CC81" i="24" s="1"/>
  <c r="CC82" i="24" s="1"/>
  <c r="BX142" i="25"/>
  <c r="CB54" i="24"/>
  <c r="CB55" i="24" s="1"/>
  <c r="CC45" i="24"/>
  <c r="BI94" i="21" l="1"/>
  <c r="BI103" i="21"/>
  <c r="BK39" i="21"/>
  <c r="BK37" i="21"/>
  <c r="BL33" i="21" s="1"/>
  <c r="BJ68" i="21"/>
  <c r="BJ63" i="21"/>
  <c r="BP54" i="19"/>
  <c r="BP55" i="19" s="1"/>
  <c r="BP84" i="19"/>
  <c r="BQ80" i="19" s="1"/>
  <c r="BQ81" i="19" s="1"/>
  <c r="BQ45" i="19"/>
  <c r="BQ96" i="19"/>
  <c r="BV74" i="25"/>
  <c r="BV69" i="25"/>
  <c r="BW40" i="25"/>
  <c r="BX33" i="25" s="1"/>
  <c r="BX35" i="25"/>
  <c r="BW42" i="25"/>
  <c r="BW92" i="25" s="1"/>
  <c r="CC41" i="24"/>
  <c r="CC89" i="24" s="1"/>
  <c r="CB114" i="24"/>
  <c r="CB56" i="24"/>
  <c r="BI105" i="21" l="1"/>
  <c r="BI108" i="21" s="1"/>
  <c r="BI112" i="21" s="1"/>
  <c r="BI122" i="21" s="1"/>
  <c r="BI124" i="21" s="1"/>
  <c r="BI104" i="21"/>
  <c r="BI107" i="21" s="1"/>
  <c r="BK43" i="21"/>
  <c r="BK45" i="21" s="1"/>
  <c r="BK83" i="21"/>
  <c r="BK40" i="21"/>
  <c r="BJ65" i="21"/>
  <c r="BJ84" i="21"/>
  <c r="BJ67" i="21"/>
  <c r="BP113" i="19"/>
  <c r="BP56" i="19"/>
  <c r="BP115" i="19" s="1"/>
  <c r="BL123" i="21" s="1"/>
  <c r="BQ97" i="19"/>
  <c r="BV93" i="25"/>
  <c r="BV71" i="25"/>
  <c r="BV73" i="25"/>
  <c r="CB116" i="24"/>
  <c r="BX132" i="25" s="1"/>
  <c r="BW43" i="25"/>
  <c r="BW65" i="25" s="1"/>
  <c r="BW46" i="25"/>
  <c r="CC90" i="24"/>
  <c r="CC91" i="24" s="1"/>
  <c r="CD88" i="24" s="1"/>
  <c r="CC44" i="24"/>
  <c r="CC61" i="24"/>
  <c r="BI111" i="21" l="1"/>
  <c r="BI109" i="21"/>
  <c r="BI113" i="21" s="1"/>
  <c r="BK41" i="21"/>
  <c r="BK54" i="21" s="1"/>
  <c r="BK59" i="21"/>
  <c r="BJ78" i="21"/>
  <c r="BJ85" i="21" s="1"/>
  <c r="BJ69" i="21"/>
  <c r="BP117" i="19"/>
  <c r="BL23" i="21" s="1"/>
  <c r="BL44" i="21" s="1"/>
  <c r="BQ41" i="19"/>
  <c r="BQ44" i="19"/>
  <c r="BV84" i="25"/>
  <c r="BV75" i="25"/>
  <c r="CB118" i="24"/>
  <c r="BX23" i="25" s="1"/>
  <c r="BX60" i="25" s="1"/>
  <c r="BX62" i="25" s="1"/>
  <c r="BW44" i="25"/>
  <c r="BW57" i="25" s="1"/>
  <c r="BW66" i="25" s="1"/>
  <c r="BX61" i="25" s="1"/>
  <c r="BW48" i="25"/>
  <c r="CD97" i="24"/>
  <c r="CD98" i="24" s="1"/>
  <c r="CC43" i="24"/>
  <c r="CC46" i="24"/>
  <c r="BK60" i="21" l="1"/>
  <c r="BJ88" i="21"/>
  <c r="BJ86" i="21"/>
  <c r="BK80" i="21" s="1"/>
  <c r="BL57" i="21"/>
  <c r="BL58" i="21" s="1"/>
  <c r="BL34" i="21"/>
  <c r="BL31" i="21"/>
  <c r="BQ61" i="19"/>
  <c r="BQ88" i="19"/>
  <c r="BX34" i="25"/>
  <c r="BX87" i="25" s="1"/>
  <c r="BX89" i="25" s="1"/>
  <c r="BX47" i="25"/>
  <c r="BX31" i="25"/>
  <c r="BX64" i="25"/>
  <c r="BW67" i="25"/>
  <c r="BX63" i="25"/>
  <c r="BW70" i="25"/>
  <c r="CC84" i="24"/>
  <c r="CC64" i="24"/>
  <c r="CC66" i="24" s="1"/>
  <c r="BJ92" i="21" l="1"/>
  <c r="BJ89" i="21"/>
  <c r="BK61" i="21"/>
  <c r="BL56" i="21" s="1"/>
  <c r="BK64" i="21"/>
  <c r="BL81" i="21"/>
  <c r="BL82" i="21" s="1"/>
  <c r="BL35" i="21"/>
  <c r="BL36" i="21" s="1"/>
  <c r="BQ43" i="19"/>
  <c r="BQ64" i="19" s="1"/>
  <c r="BQ66" i="19" s="1"/>
  <c r="BQ89" i="19"/>
  <c r="BX36" i="25"/>
  <c r="BX38" i="25" s="1"/>
  <c r="BX37" i="25"/>
  <c r="BX59" i="25"/>
  <c r="BW74" i="25"/>
  <c r="BW69" i="25"/>
  <c r="BW93" i="25" s="1"/>
  <c r="CC85" i="24"/>
  <c r="CD81" i="24" s="1"/>
  <c r="CD82" i="24" s="1"/>
  <c r="BY142" i="25"/>
  <c r="CC54" i="24"/>
  <c r="CC55" i="24" s="1"/>
  <c r="CD45" i="24"/>
  <c r="BJ93" i="21" l="1"/>
  <c r="BJ90" i="21"/>
  <c r="BK68" i="21"/>
  <c r="BK63" i="21"/>
  <c r="BL39" i="21"/>
  <c r="BL37" i="21"/>
  <c r="BM33" i="21" s="1"/>
  <c r="BQ46" i="19"/>
  <c r="BQ83" i="19" s="1"/>
  <c r="BQ90" i="19"/>
  <c r="BR87" i="19" s="1"/>
  <c r="BX39" i="25"/>
  <c r="BW71" i="25"/>
  <c r="BW84" i="25" s="1"/>
  <c r="BW73" i="25"/>
  <c r="CC114" i="24"/>
  <c r="CC56" i="24"/>
  <c r="CD41" i="24"/>
  <c r="CD89" i="24" s="1"/>
  <c r="BK67" i="21" l="1"/>
  <c r="BK65" i="21"/>
  <c r="BK84" i="21"/>
  <c r="BJ103" i="21"/>
  <c r="BJ94" i="21"/>
  <c r="BL83" i="21"/>
  <c r="BL40" i="21"/>
  <c r="BL43" i="21"/>
  <c r="BL45" i="21" s="1"/>
  <c r="BQ54" i="19"/>
  <c r="BQ55" i="19" s="1"/>
  <c r="BQ84" i="19"/>
  <c r="BR80" i="19" s="1"/>
  <c r="BR81" i="19" s="1"/>
  <c r="BR96" i="19"/>
  <c r="BR45" i="19"/>
  <c r="BX42" i="25"/>
  <c r="BY35" i="25"/>
  <c r="BX40" i="25"/>
  <c r="BY33" i="25" s="1"/>
  <c r="CC116" i="24"/>
  <c r="BY132" i="25" s="1"/>
  <c r="BW75" i="25"/>
  <c r="CD90" i="24"/>
  <c r="CD91" i="24" s="1"/>
  <c r="CE88" i="24" s="1"/>
  <c r="CD44" i="24"/>
  <c r="CD61" i="24"/>
  <c r="BK69" i="21" l="1"/>
  <c r="BK78" i="21"/>
  <c r="BK85" i="21" s="1"/>
  <c r="BJ105" i="21"/>
  <c r="BJ108" i="21" s="1"/>
  <c r="BJ112" i="21" s="1"/>
  <c r="BJ122" i="21" s="1"/>
  <c r="BJ124" i="21" s="1"/>
  <c r="BJ104" i="21"/>
  <c r="BJ107" i="21" s="1"/>
  <c r="BL59" i="21"/>
  <c r="BL41" i="21"/>
  <c r="BL54" i="21" s="1"/>
  <c r="BQ113" i="19"/>
  <c r="BQ56" i="19"/>
  <c r="BQ115" i="19" s="1"/>
  <c r="BM123" i="21" s="1"/>
  <c r="BR97" i="19"/>
  <c r="BX92" i="25"/>
  <c r="BX43" i="25"/>
  <c r="BX46" i="25"/>
  <c r="BX48" i="25" s="1"/>
  <c r="CC118" i="24"/>
  <c r="BY23" i="25" s="1"/>
  <c r="BY60" i="25" s="1"/>
  <c r="BY62" i="25" s="1"/>
  <c r="CE97" i="24"/>
  <c r="CE98" i="24" s="1"/>
  <c r="CD43" i="24"/>
  <c r="CD46" i="24"/>
  <c r="BK86" i="21" l="1"/>
  <c r="BL80" i="21" s="1"/>
  <c r="BK88" i="21"/>
  <c r="BJ111" i="21"/>
  <c r="BJ109" i="21"/>
  <c r="BJ113" i="21" s="1"/>
  <c r="BL60" i="21"/>
  <c r="BQ117" i="19"/>
  <c r="BM23" i="21" s="1"/>
  <c r="BR41" i="19"/>
  <c r="BR44" i="19"/>
  <c r="BX65" i="25"/>
  <c r="BX44" i="25"/>
  <c r="BX57" i="25" s="1"/>
  <c r="BY34" i="25"/>
  <c r="BY37" i="25" s="1"/>
  <c r="BY31" i="25"/>
  <c r="BY47" i="25"/>
  <c r="CD84" i="24"/>
  <c r="CD64" i="24"/>
  <c r="CD66" i="24" s="1"/>
  <c r="BK92" i="21" l="1"/>
  <c r="BK89" i="21"/>
  <c r="BL61" i="21"/>
  <c r="BM56" i="21" s="1"/>
  <c r="BL64" i="21"/>
  <c r="BM44" i="21"/>
  <c r="BM31" i="21"/>
  <c r="BM34" i="21"/>
  <c r="BM57" i="21"/>
  <c r="BM58" i="21" s="1"/>
  <c r="BR61" i="19"/>
  <c r="BR88" i="19"/>
  <c r="BX66" i="25"/>
  <c r="BY87" i="25"/>
  <c r="BY89" i="25" s="1"/>
  <c r="BY36" i="25"/>
  <c r="BY38" i="25" s="1"/>
  <c r="BY39" i="25" s="1"/>
  <c r="CD85" i="24"/>
  <c r="CE81" i="24" s="1"/>
  <c r="CE82" i="24" s="1"/>
  <c r="BZ142" i="25"/>
  <c r="CE45" i="24"/>
  <c r="CD54" i="24"/>
  <c r="CD55" i="24" s="1"/>
  <c r="CE41" i="24"/>
  <c r="CE89" i="24" s="1"/>
  <c r="BK90" i="21" l="1"/>
  <c r="BK93" i="21"/>
  <c r="BM35" i="21"/>
  <c r="BM81" i="21"/>
  <c r="BM82" i="21" s="1"/>
  <c r="BL68" i="21"/>
  <c r="BL63" i="21"/>
  <c r="BR43" i="19"/>
  <c r="BR64" i="19" s="1"/>
  <c r="BR66" i="19" s="1"/>
  <c r="BR89" i="19"/>
  <c r="BY64" i="25"/>
  <c r="BX70" i="25"/>
  <c r="BX67" i="25"/>
  <c r="BY59" i="25" s="1"/>
  <c r="BY61" i="25"/>
  <c r="BY63" i="25" s="1"/>
  <c r="BY40" i="25"/>
  <c r="BZ33" i="25" s="1"/>
  <c r="BZ35" i="25"/>
  <c r="BY42" i="25"/>
  <c r="BY92" i="25" s="1"/>
  <c r="CE90" i="24"/>
  <c r="CE91" i="24" s="1"/>
  <c r="CF88" i="24" s="1"/>
  <c r="CD114" i="24"/>
  <c r="CD56" i="24"/>
  <c r="CE61" i="24"/>
  <c r="CE44" i="24"/>
  <c r="BK94" i="21" l="1"/>
  <c r="BK103" i="21"/>
  <c r="BM36" i="21"/>
  <c r="BL84" i="21"/>
  <c r="BL65" i="21"/>
  <c r="BL67" i="21"/>
  <c r="BR46" i="19"/>
  <c r="BR83" i="19" s="1"/>
  <c r="BR90" i="19"/>
  <c r="BS87" i="19" s="1"/>
  <c r="BX69" i="25"/>
  <c r="BX74" i="25"/>
  <c r="CD116" i="24"/>
  <c r="BZ132" i="25" s="1"/>
  <c r="BY46" i="25"/>
  <c r="BY48" i="25" s="1"/>
  <c r="BY43" i="25"/>
  <c r="BY65" i="25" s="1"/>
  <c r="CF97" i="24"/>
  <c r="CF98" i="24" s="1"/>
  <c r="CE43" i="24"/>
  <c r="CE46" i="24"/>
  <c r="BK105" i="21" l="1"/>
  <c r="BK108" i="21" s="1"/>
  <c r="BK112" i="21" s="1"/>
  <c r="BK122" i="21" s="1"/>
  <c r="BK124" i="21" s="1"/>
  <c r="BK104" i="21"/>
  <c r="BK107" i="21" s="1"/>
  <c r="BM39" i="21"/>
  <c r="BM37" i="21"/>
  <c r="BN33" i="21" s="1"/>
  <c r="BL69" i="21"/>
  <c r="BL78" i="21"/>
  <c r="BL85" i="21" s="1"/>
  <c r="BR54" i="19"/>
  <c r="BR55" i="19" s="1"/>
  <c r="BR84" i="19"/>
  <c r="BS80" i="19" s="1"/>
  <c r="BS81" i="19" s="1"/>
  <c r="BS45" i="19"/>
  <c r="BS96" i="19"/>
  <c r="BX73" i="25"/>
  <c r="BX71" i="25"/>
  <c r="BX93" i="25"/>
  <c r="CD118" i="24"/>
  <c r="BZ23" i="25" s="1"/>
  <c r="BZ60" i="25" s="1"/>
  <c r="BZ62" i="25" s="1"/>
  <c r="BY44" i="25"/>
  <c r="BY57" i="25" s="1"/>
  <c r="BY66" i="25" s="1"/>
  <c r="CE84" i="24"/>
  <c r="CE64" i="24"/>
  <c r="CE66" i="24" s="1"/>
  <c r="BK111" i="21" l="1"/>
  <c r="BK109" i="21"/>
  <c r="BK113" i="21" s="1"/>
  <c r="BM43" i="21"/>
  <c r="BM45" i="21" s="1"/>
  <c r="BM40" i="21"/>
  <c r="BM83" i="21"/>
  <c r="BL86" i="21"/>
  <c r="BM80" i="21" s="1"/>
  <c r="BL88" i="21"/>
  <c r="BR56" i="19"/>
  <c r="BR115" i="19" s="1"/>
  <c r="BN123" i="21" s="1"/>
  <c r="BR113" i="19"/>
  <c r="BS97" i="19"/>
  <c r="BX75" i="25"/>
  <c r="BX84" i="25"/>
  <c r="BZ47" i="25"/>
  <c r="BZ34" i="25"/>
  <c r="BZ37" i="25" s="1"/>
  <c r="BZ31" i="25"/>
  <c r="BZ64" i="25"/>
  <c r="BZ61" i="25"/>
  <c r="BZ63" i="25" s="1"/>
  <c r="BY67" i="25"/>
  <c r="BY70" i="25"/>
  <c r="CE85" i="24"/>
  <c r="CF81" i="24" s="1"/>
  <c r="CF82" i="24" s="1"/>
  <c r="CA142" i="25"/>
  <c r="CE54" i="24"/>
  <c r="CE55" i="24" s="1"/>
  <c r="CF45" i="24"/>
  <c r="BM59" i="21" l="1"/>
  <c r="BM41" i="21"/>
  <c r="BM54" i="21" s="1"/>
  <c r="BL92" i="21"/>
  <c r="BL89" i="21"/>
  <c r="BR117" i="19"/>
  <c r="BN23" i="21" s="1"/>
  <c r="BS41" i="19"/>
  <c r="BS44" i="19"/>
  <c r="BZ87" i="25"/>
  <c r="BZ89" i="25" s="1"/>
  <c r="BZ36" i="25"/>
  <c r="BZ38" i="25" s="1"/>
  <c r="BZ39" i="25" s="1"/>
  <c r="BZ59" i="25"/>
  <c r="BY69" i="25"/>
  <c r="BY93" i="25" s="1"/>
  <c r="BY74" i="25"/>
  <c r="CF41" i="24"/>
  <c r="CF89" i="24" s="1"/>
  <c r="CE114" i="24"/>
  <c r="CE56" i="24"/>
  <c r="BM60" i="21" l="1"/>
  <c r="BL90" i="21"/>
  <c r="BL93" i="21"/>
  <c r="BN34" i="21"/>
  <c r="BN31" i="21"/>
  <c r="BN57" i="21"/>
  <c r="BN58" i="21" s="1"/>
  <c r="BN44" i="21"/>
  <c r="BS61" i="19"/>
  <c r="BS88" i="19"/>
  <c r="CE116" i="24"/>
  <c r="CA132" i="25" s="1"/>
  <c r="BZ40" i="25"/>
  <c r="CA33" i="25" s="1"/>
  <c r="CA35" i="25"/>
  <c r="BY71" i="25"/>
  <c r="BY84" i="25" s="1"/>
  <c r="BY73" i="25"/>
  <c r="BZ42" i="25"/>
  <c r="BZ92" i="25" s="1"/>
  <c r="CF90" i="24"/>
  <c r="CF91" i="24" s="1"/>
  <c r="CG88" i="24" s="1"/>
  <c r="CF44" i="24"/>
  <c r="CF61" i="24"/>
  <c r="BM61" i="21" l="1"/>
  <c r="BN56" i="21" s="1"/>
  <c r="BM64" i="21"/>
  <c r="BL103" i="21"/>
  <c r="BL94" i="21"/>
  <c r="BN35" i="21"/>
  <c r="BN81" i="21"/>
  <c r="BN82" i="21" s="1"/>
  <c r="BS43" i="19"/>
  <c r="BS64" i="19" s="1"/>
  <c r="BS66" i="19" s="1"/>
  <c r="BS89" i="19"/>
  <c r="CE118" i="24"/>
  <c r="CA23" i="25" s="1"/>
  <c r="CA34" i="25" s="1"/>
  <c r="BZ43" i="25"/>
  <c r="BZ65" i="25" s="1"/>
  <c r="BY75" i="25"/>
  <c r="BZ46" i="25"/>
  <c r="CG97" i="24"/>
  <c r="CG98" i="24" s="1"/>
  <c r="CF43" i="24"/>
  <c r="CF46" i="24"/>
  <c r="BM63" i="21" l="1"/>
  <c r="BM68" i="21"/>
  <c r="BL105" i="21"/>
  <c r="BL108" i="21" s="1"/>
  <c r="BL112" i="21" s="1"/>
  <c r="BL122" i="21" s="1"/>
  <c r="BL124" i="21" s="1"/>
  <c r="BL104" i="21"/>
  <c r="BL107" i="21" s="1"/>
  <c r="BN36" i="21"/>
  <c r="BS46" i="19"/>
  <c r="BS83" i="19" s="1"/>
  <c r="BS90" i="19"/>
  <c r="BT87" i="19" s="1"/>
  <c r="CA47" i="25"/>
  <c r="CA31" i="25"/>
  <c r="CA60" i="25"/>
  <c r="CA62" i="25" s="1"/>
  <c r="CA37" i="25"/>
  <c r="CA36" i="25"/>
  <c r="CA38" i="25" s="1"/>
  <c r="CA87" i="25"/>
  <c r="CA89" i="25" s="1"/>
  <c r="BZ44" i="25"/>
  <c r="BZ57" i="25" s="1"/>
  <c r="BZ66" i="25" s="1"/>
  <c r="BZ48" i="25"/>
  <c r="CF84" i="24"/>
  <c r="CF64" i="24"/>
  <c r="CF66" i="24" s="1"/>
  <c r="BM65" i="21" l="1"/>
  <c r="BM84" i="21"/>
  <c r="BM67" i="21"/>
  <c r="BL109" i="21"/>
  <c r="BL113" i="21" s="1"/>
  <c r="BL111" i="21"/>
  <c r="BN39" i="21"/>
  <c r="BN37" i="21"/>
  <c r="BO33" i="21" s="1"/>
  <c r="BS54" i="19"/>
  <c r="BS55" i="19" s="1"/>
  <c r="BS84" i="19"/>
  <c r="BT80" i="19" s="1"/>
  <c r="BT81" i="19" s="1"/>
  <c r="BT45" i="19"/>
  <c r="BT96" i="19"/>
  <c r="CA64" i="25"/>
  <c r="CA61" i="25"/>
  <c r="CA63" i="25" s="1"/>
  <c r="BZ67" i="25"/>
  <c r="CF85" i="24"/>
  <c r="CG81" i="24" s="1"/>
  <c r="CG82" i="24" s="1"/>
  <c r="CB142" i="25"/>
  <c r="CA39" i="25"/>
  <c r="CG45" i="24"/>
  <c r="CF54" i="24"/>
  <c r="CF55" i="24" s="1"/>
  <c r="BM78" i="21" l="1"/>
  <c r="BM85" i="21" s="1"/>
  <c r="BM69" i="21"/>
  <c r="BN40" i="21"/>
  <c r="BN83" i="21"/>
  <c r="BN43" i="21"/>
  <c r="BN45" i="21" s="1"/>
  <c r="BS113" i="19"/>
  <c r="BS56" i="19"/>
  <c r="BS115" i="19" s="1"/>
  <c r="BO123" i="21" s="1"/>
  <c r="BT97" i="19"/>
  <c r="CA40" i="25"/>
  <c r="CB33" i="25" s="1"/>
  <c r="CB35" i="25"/>
  <c r="BZ70" i="25"/>
  <c r="BZ74" i="25" s="1"/>
  <c r="CA59" i="25"/>
  <c r="CA42" i="25"/>
  <c r="CA92" i="25" s="1"/>
  <c r="CG41" i="24"/>
  <c r="CG89" i="24" s="1"/>
  <c r="CF114" i="24"/>
  <c r="CF56" i="24"/>
  <c r="BM88" i="21" l="1"/>
  <c r="BM86" i="21"/>
  <c r="BN80" i="21" s="1"/>
  <c r="BN41" i="21"/>
  <c r="BN54" i="21" s="1"/>
  <c r="BN59" i="21"/>
  <c r="BS117" i="19"/>
  <c r="BO23" i="21" s="1"/>
  <c r="BT41" i="19"/>
  <c r="BT44" i="19"/>
  <c r="CF116" i="24"/>
  <c r="CB132" i="25" s="1"/>
  <c r="BZ69" i="25"/>
  <c r="BZ93" i="25" s="1"/>
  <c r="CA43" i="25"/>
  <c r="CA65" i="25" s="1"/>
  <c r="CA46" i="25"/>
  <c r="CA48" i="25" s="1"/>
  <c r="CG90" i="24"/>
  <c r="CG91" i="24" s="1"/>
  <c r="CH88" i="24" s="1"/>
  <c r="CG61" i="24"/>
  <c r="CG44" i="24"/>
  <c r="BM92" i="21" l="1"/>
  <c r="BM89" i="21"/>
  <c r="BN60" i="21"/>
  <c r="BO57" i="21"/>
  <c r="BO58" i="21" s="1"/>
  <c r="BO44" i="21"/>
  <c r="BO31" i="21"/>
  <c r="BO34" i="21"/>
  <c r="BT61" i="19"/>
  <c r="BT88" i="19"/>
  <c r="CF118" i="24"/>
  <c r="CB23" i="25" s="1"/>
  <c r="CB31" i="25" s="1"/>
  <c r="BZ73" i="25"/>
  <c r="BZ71" i="25"/>
  <c r="BZ84" i="25" s="1"/>
  <c r="CA44" i="25"/>
  <c r="CA57" i="25" s="1"/>
  <c r="CA66" i="25" s="1"/>
  <c r="CB61" i="25" s="1"/>
  <c r="CH97" i="24"/>
  <c r="CH98" i="24" s="1"/>
  <c r="CG43" i="24"/>
  <c r="CG46" i="24"/>
  <c r="BM93" i="21" l="1"/>
  <c r="BM90" i="21"/>
  <c r="BN61" i="21"/>
  <c r="BO56" i="21" s="1"/>
  <c r="BN64" i="21"/>
  <c r="BO81" i="21"/>
  <c r="BO82" i="21" s="1"/>
  <c r="BO35" i="21"/>
  <c r="BO36" i="21" s="1"/>
  <c r="BT43" i="19"/>
  <c r="BT64" i="19" s="1"/>
  <c r="BT66" i="19" s="1"/>
  <c r="BT89" i="19"/>
  <c r="CB34" i="25"/>
  <c r="CB37" i="25" s="1"/>
  <c r="CB60" i="25"/>
  <c r="CB62" i="25" s="1"/>
  <c r="CB64" i="25" s="1"/>
  <c r="CB47" i="25"/>
  <c r="CA67" i="25"/>
  <c r="BZ75" i="25"/>
  <c r="CA70" i="25"/>
  <c r="CA69" i="25" s="1"/>
  <c r="CA93" i="25" s="1"/>
  <c r="CG84" i="24"/>
  <c r="CG64" i="24"/>
  <c r="CG66" i="24" s="1"/>
  <c r="BM94" i="21" l="1"/>
  <c r="BM103" i="21"/>
  <c r="BN68" i="21"/>
  <c r="BN63" i="21"/>
  <c r="BO37" i="21"/>
  <c r="BP33" i="21" s="1"/>
  <c r="BO39" i="21"/>
  <c r="BT46" i="19"/>
  <c r="BT83" i="19" s="1"/>
  <c r="BT90" i="19"/>
  <c r="BU87" i="19" s="1"/>
  <c r="CB87" i="25"/>
  <c r="CB89" i="25" s="1"/>
  <c r="CB63" i="25"/>
  <c r="CB36" i="25"/>
  <c r="CB38" i="25" s="1"/>
  <c r="CB39" i="25" s="1"/>
  <c r="CA74" i="25"/>
  <c r="CB59" i="25"/>
  <c r="CG85" i="24"/>
  <c r="CH81" i="24" s="1"/>
  <c r="CH82" i="24" s="1"/>
  <c r="CC142" i="25"/>
  <c r="CA71" i="25"/>
  <c r="CA84" i="25" s="1"/>
  <c r="CA73" i="25"/>
  <c r="CG54" i="24"/>
  <c r="CG55" i="24" s="1"/>
  <c r="CH45" i="24"/>
  <c r="BM105" i="21" l="1"/>
  <c r="BM108" i="21" s="1"/>
  <c r="BM104" i="21"/>
  <c r="BM107" i="21" s="1"/>
  <c r="BM111" i="21" s="1"/>
  <c r="BN84" i="21"/>
  <c r="BN67" i="21"/>
  <c r="BN65" i="21"/>
  <c r="BO83" i="21"/>
  <c r="BO43" i="21"/>
  <c r="BO45" i="21" s="1"/>
  <c r="BO40" i="21"/>
  <c r="BT54" i="19"/>
  <c r="BT55" i="19" s="1"/>
  <c r="BT84" i="19"/>
  <c r="BU80" i="19" s="1"/>
  <c r="BU81" i="19" s="1"/>
  <c r="BU96" i="19"/>
  <c r="BU45" i="19"/>
  <c r="CB40" i="25"/>
  <c r="CC33" i="25" s="1"/>
  <c r="CC35" i="25"/>
  <c r="CA75" i="25"/>
  <c r="CB42" i="25"/>
  <c r="CB92" i="25" s="1"/>
  <c r="CH41" i="24"/>
  <c r="CH89" i="24" s="1"/>
  <c r="CG114" i="24"/>
  <c r="CG56" i="24"/>
  <c r="BM112" i="21" l="1"/>
  <c r="BM122" i="21" s="1"/>
  <c r="BM124" i="21" s="1"/>
  <c r="BM109" i="21"/>
  <c r="BM113" i="21" s="1"/>
  <c r="BN69" i="21"/>
  <c r="BN78" i="21"/>
  <c r="BN85" i="21" s="1"/>
  <c r="BO59" i="21"/>
  <c r="BO41" i="21"/>
  <c r="BO54" i="21" s="1"/>
  <c r="BT113" i="19"/>
  <c r="BT56" i="19"/>
  <c r="BT115" i="19" s="1"/>
  <c r="BP123" i="21" s="1"/>
  <c r="BU97" i="19"/>
  <c r="CG116" i="24"/>
  <c r="CC132" i="25" s="1"/>
  <c r="CB46" i="25"/>
  <c r="CB48" i="25" s="1"/>
  <c r="CB43" i="25"/>
  <c r="CB65" i="25" s="1"/>
  <c r="CH90" i="24"/>
  <c r="CH91" i="24" s="1"/>
  <c r="CI88" i="24" s="1"/>
  <c r="CH44" i="24"/>
  <c r="CH61" i="24"/>
  <c r="BN86" i="21" l="1"/>
  <c r="BO80" i="21" s="1"/>
  <c r="BN88" i="21"/>
  <c r="BT117" i="19"/>
  <c r="BP23" i="21" s="1"/>
  <c r="BO60" i="21"/>
  <c r="BU41" i="19"/>
  <c r="BU44" i="19"/>
  <c r="CG118" i="24"/>
  <c r="CC23" i="25" s="1"/>
  <c r="CC60" i="25" s="1"/>
  <c r="CC62" i="25" s="1"/>
  <c r="CB44" i="25"/>
  <c r="CB57" i="25" s="1"/>
  <c r="CB66" i="25" s="1"/>
  <c r="CI97" i="24"/>
  <c r="CI98" i="24" s="1"/>
  <c r="CH43" i="24"/>
  <c r="CH46" i="24"/>
  <c r="BN92" i="21" l="1"/>
  <c r="BN89" i="21"/>
  <c r="BO64" i="21"/>
  <c r="BO61" i="21"/>
  <c r="BP56" i="21" s="1"/>
  <c r="BP31" i="21"/>
  <c r="BP57" i="21"/>
  <c r="BP58" i="21" s="1"/>
  <c r="BP44" i="21"/>
  <c r="BP34" i="21"/>
  <c r="BU61" i="19"/>
  <c r="BU88" i="19"/>
  <c r="CC34" i="25"/>
  <c r="CC36" i="25" s="1"/>
  <c r="CC38" i="25" s="1"/>
  <c r="CC47" i="25"/>
  <c r="CC31" i="25"/>
  <c r="CC64" i="25"/>
  <c r="CC61" i="25"/>
  <c r="CC63" i="25" s="1"/>
  <c r="CB67" i="25"/>
  <c r="CH84" i="24"/>
  <c r="CH64" i="24"/>
  <c r="CH66" i="24" s="1"/>
  <c r="BN93" i="21" l="1"/>
  <c r="BN90" i="21"/>
  <c r="BO63" i="21"/>
  <c r="BO68" i="21"/>
  <c r="BP81" i="21"/>
  <c r="BP82" i="21" s="1"/>
  <c r="BP35" i="21"/>
  <c r="BU43" i="19"/>
  <c r="BU64" i="19" s="1"/>
  <c r="BU66" i="19" s="1"/>
  <c r="BU89" i="19"/>
  <c r="CC37" i="25"/>
  <c r="CC39" i="25" s="1"/>
  <c r="CC87" i="25"/>
  <c r="CC89" i="25" s="1"/>
  <c r="CB70" i="25"/>
  <c r="CB69" i="25" s="1"/>
  <c r="CB93" i="25" s="1"/>
  <c r="CC59" i="25"/>
  <c r="CH85" i="24"/>
  <c r="CI81" i="24" s="1"/>
  <c r="CI82" i="24" s="1"/>
  <c r="CD142" i="25"/>
  <c r="CI45" i="24"/>
  <c r="CH54" i="24"/>
  <c r="CH55" i="24" s="1"/>
  <c r="BN103" i="21" l="1"/>
  <c r="BN94" i="21"/>
  <c r="BO84" i="21"/>
  <c r="BO67" i="21"/>
  <c r="BO65" i="21"/>
  <c r="BP36" i="21"/>
  <c r="BU46" i="19"/>
  <c r="BU83" i="19" s="1"/>
  <c r="BU90" i="19"/>
  <c r="BV87" i="19" s="1"/>
  <c r="CC40" i="25"/>
  <c r="CD33" i="25" s="1"/>
  <c r="CD35" i="25"/>
  <c r="CB74" i="25"/>
  <c r="CC42" i="25"/>
  <c r="CC92" i="25" s="1"/>
  <c r="CB71" i="25"/>
  <c r="CB84" i="25" s="1"/>
  <c r="CB73" i="25"/>
  <c r="CH114" i="24"/>
  <c r="CH56" i="24"/>
  <c r="CI41" i="24"/>
  <c r="CI89" i="24" s="1"/>
  <c r="BN105" i="21" l="1"/>
  <c r="BN108" i="21" s="1"/>
  <c r="BN112" i="21" s="1"/>
  <c r="BN122" i="21" s="1"/>
  <c r="BN124" i="21" s="1"/>
  <c r="BN104" i="21"/>
  <c r="BN107" i="21" s="1"/>
  <c r="BO69" i="21"/>
  <c r="BO78" i="21"/>
  <c r="BO85" i="21" s="1"/>
  <c r="BP39" i="21"/>
  <c r="BP37" i="21"/>
  <c r="BQ33" i="21" s="1"/>
  <c r="BU54" i="19"/>
  <c r="BU55" i="19" s="1"/>
  <c r="BU84" i="19"/>
  <c r="BV80" i="19" s="1"/>
  <c r="BV81" i="19" s="1"/>
  <c r="BV96" i="19"/>
  <c r="BV45" i="19"/>
  <c r="CH116" i="24"/>
  <c r="CD132" i="25" s="1"/>
  <c r="CC43" i="25"/>
  <c r="CC65" i="25" s="1"/>
  <c r="CC46" i="25"/>
  <c r="CC48" i="25" s="1"/>
  <c r="CB75" i="25"/>
  <c r="CI90" i="24"/>
  <c r="CI91" i="24" s="1"/>
  <c r="CJ88" i="24" s="1"/>
  <c r="CI61" i="24"/>
  <c r="CI44" i="24"/>
  <c r="BN111" i="21" l="1"/>
  <c r="BN109" i="21"/>
  <c r="BN113" i="21" s="1"/>
  <c r="BO88" i="21"/>
  <c r="BO86" i="21"/>
  <c r="BP80" i="21" s="1"/>
  <c r="BP40" i="21"/>
  <c r="BP83" i="21"/>
  <c r="BP43" i="21"/>
  <c r="BP45" i="21" s="1"/>
  <c r="BU113" i="19"/>
  <c r="BU56" i="19"/>
  <c r="BU115" i="19" s="1"/>
  <c r="BQ123" i="21" s="1"/>
  <c r="BV97" i="19"/>
  <c r="CH118" i="24"/>
  <c r="CD23" i="25" s="1"/>
  <c r="CD47" i="25" s="1"/>
  <c r="CC44" i="25"/>
  <c r="CC57" i="25" s="1"/>
  <c r="CC66" i="25" s="1"/>
  <c r="CD61" i="25" s="1"/>
  <c r="CJ97" i="24"/>
  <c r="CJ98" i="24" s="1"/>
  <c r="CI43" i="24"/>
  <c r="CI46" i="24"/>
  <c r="BO92" i="21" l="1"/>
  <c r="BO89" i="21"/>
  <c r="BP41" i="21"/>
  <c r="BP54" i="21" s="1"/>
  <c r="BP59" i="21"/>
  <c r="BV41" i="19"/>
  <c r="BV44" i="19"/>
  <c r="BU117" i="19"/>
  <c r="BQ23" i="21" s="1"/>
  <c r="CD60" i="25"/>
  <c r="CD62" i="25" s="1"/>
  <c r="CD34" i="25"/>
  <c r="CD37" i="25" s="1"/>
  <c r="CD31" i="25"/>
  <c r="CC67" i="25"/>
  <c r="CI84" i="24"/>
  <c r="CJ45" i="24"/>
  <c r="CI64" i="24"/>
  <c r="CI66" i="24" s="1"/>
  <c r="BV61" i="19" l="1"/>
  <c r="BV88" i="19"/>
  <c r="BO93" i="21"/>
  <c r="BO90" i="21"/>
  <c r="BP60" i="21"/>
  <c r="BQ31" i="21"/>
  <c r="BQ44" i="21"/>
  <c r="BQ57" i="21"/>
  <c r="BQ58" i="21" s="1"/>
  <c r="BQ34" i="21"/>
  <c r="CD87" i="25"/>
  <c r="CD89" i="25" s="1"/>
  <c r="CD63" i="25"/>
  <c r="CD36" i="25"/>
  <c r="CD38" i="25" s="1"/>
  <c r="CD39" i="25" s="1"/>
  <c r="CD64" i="25"/>
  <c r="CC70" i="25"/>
  <c r="CC69" i="25" s="1"/>
  <c r="CC93" i="25" s="1"/>
  <c r="CD59" i="25"/>
  <c r="CI85" i="24"/>
  <c r="CJ81" i="24" s="1"/>
  <c r="CJ82" i="24" s="1"/>
  <c r="CE142" i="25"/>
  <c r="CJ41" i="24"/>
  <c r="CJ89" i="24" s="1"/>
  <c r="CI54" i="24"/>
  <c r="CI55" i="24" s="1"/>
  <c r="BV43" i="19" l="1"/>
  <c r="BV64" i="19" s="1"/>
  <c r="BV66" i="19" s="1"/>
  <c r="BV89" i="19"/>
  <c r="BO94" i="21"/>
  <c r="BO103" i="21"/>
  <c r="BP64" i="21"/>
  <c r="BP61" i="21"/>
  <c r="BQ56" i="21" s="1"/>
  <c r="BQ35" i="21"/>
  <c r="BQ36" i="21" s="1"/>
  <c r="BQ81" i="21"/>
  <c r="BQ82" i="21" s="1"/>
  <c r="CD40" i="25"/>
  <c r="CE33" i="25" s="1"/>
  <c r="CE35" i="25"/>
  <c r="CC71" i="25"/>
  <c r="CC84" i="25" s="1"/>
  <c r="CC73" i="25"/>
  <c r="CC74" i="25"/>
  <c r="CD42" i="25"/>
  <c r="CD92" i="25" s="1"/>
  <c r="CJ90" i="24"/>
  <c r="CJ91" i="24" s="1"/>
  <c r="CK88" i="24" s="1"/>
  <c r="CJ44" i="24"/>
  <c r="CI114" i="24"/>
  <c r="CI56" i="24"/>
  <c r="CJ61" i="24"/>
  <c r="BV46" i="19" l="1"/>
  <c r="BV83" i="19" s="1"/>
  <c r="BV90" i="19"/>
  <c r="BW87" i="19" s="1"/>
  <c r="BO105" i="21"/>
  <c r="BO108" i="21" s="1"/>
  <c r="BO112" i="21" s="1"/>
  <c r="BO122" i="21" s="1"/>
  <c r="BO124" i="21" s="1"/>
  <c r="BO104" i="21"/>
  <c r="BO107" i="21" s="1"/>
  <c r="BP68" i="21"/>
  <c r="BP63" i="21"/>
  <c r="BQ37" i="21"/>
  <c r="BR33" i="21" s="1"/>
  <c r="BQ39" i="21"/>
  <c r="CI116" i="24"/>
  <c r="CE132" i="25" s="1"/>
  <c r="CC75" i="25"/>
  <c r="CD43" i="25"/>
  <c r="CD65" i="25" s="1"/>
  <c r="CD46" i="25"/>
  <c r="CK97" i="24"/>
  <c r="CK98" i="24" s="1"/>
  <c r="CJ43" i="24"/>
  <c r="CJ46" i="24"/>
  <c r="BW96" i="19" l="1"/>
  <c r="BW97" i="19" s="1"/>
  <c r="BW45" i="19"/>
  <c r="BV54" i="19"/>
  <c r="BV55" i="19" s="1"/>
  <c r="BV84" i="19"/>
  <c r="BW80" i="19" s="1"/>
  <c r="BW81" i="19" s="1"/>
  <c r="BO109" i="21"/>
  <c r="BO113" i="21" s="1"/>
  <c r="BO111" i="21"/>
  <c r="BP65" i="21"/>
  <c r="BP67" i="21"/>
  <c r="BP84" i="21"/>
  <c r="BQ40" i="21"/>
  <c r="BQ83" i="21"/>
  <c r="BQ43" i="21"/>
  <c r="BQ45" i="21" s="1"/>
  <c r="CI118" i="24"/>
  <c r="CE23" i="25" s="1"/>
  <c r="CE60" i="25" s="1"/>
  <c r="CE62" i="25" s="1"/>
  <c r="CD44" i="25"/>
  <c r="CD57" i="25" s="1"/>
  <c r="CD48" i="25"/>
  <c r="CJ84" i="24"/>
  <c r="CJ64" i="24"/>
  <c r="CJ66" i="24" s="1"/>
  <c r="BV113" i="19" l="1"/>
  <c r="BV56" i="19"/>
  <c r="BV115" i="19" s="1"/>
  <c r="BR123" i="21" s="1"/>
  <c r="BP69" i="21"/>
  <c r="BP78" i="21"/>
  <c r="BQ41" i="21"/>
  <c r="BQ54" i="21" s="1"/>
  <c r="BQ59" i="21"/>
  <c r="BW41" i="19"/>
  <c r="BW44" i="19"/>
  <c r="CE47" i="25"/>
  <c r="CE34" i="25"/>
  <c r="CE37" i="25" s="1"/>
  <c r="CE31" i="25"/>
  <c r="CD66" i="25"/>
  <c r="CJ85" i="24"/>
  <c r="CK81" i="24" s="1"/>
  <c r="CK82" i="24" s="1"/>
  <c r="CF142" i="25"/>
  <c r="CK45" i="24"/>
  <c r="CJ54" i="24"/>
  <c r="CJ55" i="24" s="1"/>
  <c r="BV117" i="19" l="1"/>
  <c r="BR23" i="21" s="1"/>
  <c r="BP85" i="21"/>
  <c r="BQ60" i="21"/>
  <c r="BW61" i="19"/>
  <c r="BW88" i="19"/>
  <c r="CE87" i="25"/>
  <c r="CE89" i="25" s="1"/>
  <c r="CE36" i="25"/>
  <c r="CE38" i="25" s="1"/>
  <c r="CE39" i="25" s="1"/>
  <c r="CE64" i="25"/>
  <c r="CE61" i="25"/>
  <c r="CE63" i="25" s="1"/>
  <c r="CD70" i="25"/>
  <c r="CD69" i="25" s="1"/>
  <c r="CD67" i="25"/>
  <c r="CE59" i="25" s="1"/>
  <c r="CK41" i="24"/>
  <c r="CK89" i="24" s="1"/>
  <c r="CJ114" i="24"/>
  <c r="CJ56" i="24"/>
  <c r="BR44" i="21" l="1"/>
  <c r="BR34" i="21"/>
  <c r="BR31" i="21"/>
  <c r="BR57" i="21"/>
  <c r="BR58" i="21" s="1"/>
  <c r="BP88" i="21"/>
  <c r="BP86" i="21"/>
  <c r="BQ80" i="21" s="1"/>
  <c r="BQ61" i="21"/>
  <c r="BR56" i="21" s="1"/>
  <c r="BQ64" i="21"/>
  <c r="BW43" i="19"/>
  <c r="BW64" i="19" s="1"/>
  <c r="BW66" i="19" s="1"/>
  <c r="BW89" i="19"/>
  <c r="CJ116" i="24"/>
  <c r="CF132" i="25" s="1"/>
  <c r="CE40" i="25"/>
  <c r="CF33" i="25" s="1"/>
  <c r="CF35" i="25"/>
  <c r="CD93" i="25"/>
  <c r="CD71" i="25"/>
  <c r="CD84" i="25" s="1"/>
  <c r="CD73" i="25"/>
  <c r="CD74" i="25"/>
  <c r="CE42" i="25"/>
  <c r="CE92" i="25" s="1"/>
  <c r="CK90" i="24"/>
  <c r="CK91" i="24" s="1"/>
  <c r="CL88" i="24" s="1"/>
  <c r="CK44" i="24"/>
  <c r="CK61" i="24"/>
  <c r="BR81" i="21" l="1"/>
  <c r="BR82" i="21" s="1"/>
  <c r="BR35" i="21"/>
  <c r="BR36" i="21" s="1"/>
  <c r="BP89" i="21"/>
  <c r="BP92" i="21"/>
  <c r="BQ63" i="21"/>
  <c r="BQ68" i="21"/>
  <c r="BW46" i="19"/>
  <c r="BW83" i="19" s="1"/>
  <c r="BW90" i="19"/>
  <c r="BX87" i="19" s="1"/>
  <c r="CJ118" i="24"/>
  <c r="CF23" i="25" s="1"/>
  <c r="CF60" i="25" s="1"/>
  <c r="CF62" i="25" s="1"/>
  <c r="CD75" i="25"/>
  <c r="CE43" i="25"/>
  <c r="CE65" i="25" s="1"/>
  <c r="CE46" i="25"/>
  <c r="CL97" i="24"/>
  <c r="CL98" i="24" s="1"/>
  <c r="CK43" i="24"/>
  <c r="CK46" i="24"/>
  <c r="BR39" i="21" l="1"/>
  <c r="BR37" i="21"/>
  <c r="BS33" i="21" s="1"/>
  <c r="BP93" i="21"/>
  <c r="BP90" i="21"/>
  <c r="BQ67" i="21"/>
  <c r="BQ84" i="21"/>
  <c r="BQ65" i="21"/>
  <c r="BW54" i="19"/>
  <c r="BW55" i="19" s="1"/>
  <c r="BW84" i="19"/>
  <c r="BX80" i="19" s="1"/>
  <c r="BX81" i="19" s="1"/>
  <c r="BX96" i="19"/>
  <c r="BX45" i="19"/>
  <c r="CF47" i="25"/>
  <c r="CF34" i="25"/>
  <c r="CF37" i="25" s="1"/>
  <c r="CF31" i="25"/>
  <c r="CE44" i="25"/>
  <c r="CE57" i="25" s="1"/>
  <c r="CE48" i="25"/>
  <c r="CK84" i="24"/>
  <c r="CK64" i="24"/>
  <c r="CK66" i="24" s="1"/>
  <c r="BR40" i="21" l="1"/>
  <c r="BR43" i="21"/>
  <c r="BR45" i="21" s="1"/>
  <c r="BR83" i="21"/>
  <c r="BP94" i="21"/>
  <c r="BP103" i="21"/>
  <c r="BQ69" i="21"/>
  <c r="BQ78" i="21"/>
  <c r="BQ85" i="21" s="1"/>
  <c r="BW56" i="19"/>
  <c r="BW115" i="19" s="1"/>
  <c r="BS123" i="21" s="1"/>
  <c r="BW113" i="19"/>
  <c r="BX97" i="19"/>
  <c r="CF87" i="25"/>
  <c r="CF89" i="25" s="1"/>
  <c r="CF36" i="25"/>
  <c r="CF38" i="25" s="1"/>
  <c r="CF39" i="25" s="1"/>
  <c r="CE66" i="25"/>
  <c r="CK85" i="24"/>
  <c r="CL81" i="24" s="1"/>
  <c r="CL82" i="24" s="1"/>
  <c r="CG142" i="25"/>
  <c r="CL45" i="24"/>
  <c r="CK54" i="24"/>
  <c r="CK55" i="24" s="1"/>
  <c r="BR41" i="21" l="1"/>
  <c r="BR54" i="21" s="1"/>
  <c r="BR59" i="21"/>
  <c r="BP105" i="21"/>
  <c r="BP108" i="21" s="1"/>
  <c r="BP112" i="21" s="1"/>
  <c r="BP122" i="21" s="1"/>
  <c r="BP124" i="21" s="1"/>
  <c r="BP104" i="21"/>
  <c r="BP107" i="21" s="1"/>
  <c r="BQ86" i="21"/>
  <c r="BR80" i="21" s="1"/>
  <c r="BQ88" i="21"/>
  <c r="BW117" i="19"/>
  <c r="BS23" i="21" s="1"/>
  <c r="BX41" i="19"/>
  <c r="BX44" i="19"/>
  <c r="CF64" i="25"/>
  <c r="CF61" i="25"/>
  <c r="CF63" i="25" s="1"/>
  <c r="CF40" i="25"/>
  <c r="CG33" i="25" s="1"/>
  <c r="CG35" i="25"/>
  <c r="CE67" i="25"/>
  <c r="CF59" i="25" s="1"/>
  <c r="CE70" i="25"/>
  <c r="CE69" i="25" s="1"/>
  <c r="CE93" i="25" s="1"/>
  <c r="CF42" i="25"/>
  <c r="CF92" i="25" s="1"/>
  <c r="CK114" i="24"/>
  <c r="CK56" i="24"/>
  <c r="CL41" i="24"/>
  <c r="CL89" i="24" s="1"/>
  <c r="BR60" i="21" l="1"/>
  <c r="BP111" i="21"/>
  <c r="BP109" i="21"/>
  <c r="BP113" i="21" s="1"/>
  <c r="BQ92" i="21"/>
  <c r="BQ89" i="21"/>
  <c r="BS31" i="21"/>
  <c r="BS57" i="21"/>
  <c r="BS58" i="21" s="1"/>
  <c r="BS44" i="21"/>
  <c r="BS34" i="21"/>
  <c r="BX61" i="19"/>
  <c r="BX88" i="19"/>
  <c r="CK116" i="24"/>
  <c r="CG132" i="25" s="1"/>
  <c r="CE73" i="25"/>
  <c r="CE71" i="25"/>
  <c r="CE84" i="25" s="1"/>
  <c r="CE74" i="25"/>
  <c r="CF43" i="25"/>
  <c r="CF65" i="25" s="1"/>
  <c r="CF46" i="25"/>
  <c r="CL90" i="24"/>
  <c r="CL91" i="24" s="1"/>
  <c r="CM88" i="24" s="1"/>
  <c r="CL44" i="24"/>
  <c r="CL61" i="24"/>
  <c r="BR64" i="21" l="1"/>
  <c r="BR61" i="21"/>
  <c r="BS56" i="21" s="1"/>
  <c r="BQ90" i="21"/>
  <c r="BQ93" i="21"/>
  <c r="BS81" i="21"/>
  <c r="BS82" i="21" s="1"/>
  <c r="BS35" i="21"/>
  <c r="BX43" i="19"/>
  <c r="BX64" i="19" s="1"/>
  <c r="BX66" i="19" s="1"/>
  <c r="BX89" i="19"/>
  <c r="CK118" i="24"/>
  <c r="CG23" i="25" s="1"/>
  <c r="CG34" i="25" s="1"/>
  <c r="CE75" i="25"/>
  <c r="CF48" i="25"/>
  <c r="CF44" i="25"/>
  <c r="CF57" i="25" s="1"/>
  <c r="CF66" i="25" s="1"/>
  <c r="CM97" i="24"/>
  <c r="CM98" i="24" s="1"/>
  <c r="CL43" i="24"/>
  <c r="CL46" i="24"/>
  <c r="BR63" i="21" l="1"/>
  <c r="BR68" i="21"/>
  <c r="BQ103" i="21"/>
  <c r="BQ94" i="21"/>
  <c r="BS36" i="21"/>
  <c r="BX46" i="19"/>
  <c r="BX83" i="19" s="1"/>
  <c r="BX90" i="19"/>
  <c r="BY87" i="19" s="1"/>
  <c r="CG47" i="25"/>
  <c r="CG31" i="25"/>
  <c r="CG60" i="25"/>
  <c r="CG62" i="25" s="1"/>
  <c r="CG61" i="25"/>
  <c r="CF67" i="25"/>
  <c r="CG37" i="25"/>
  <c r="CG36" i="25"/>
  <c r="CG38" i="25" s="1"/>
  <c r="CG87" i="25"/>
  <c r="CG89" i="25" s="1"/>
  <c r="CF70" i="25"/>
  <c r="CL84" i="24"/>
  <c r="CL64" i="24"/>
  <c r="CL66" i="24" s="1"/>
  <c r="BR84" i="21" l="1"/>
  <c r="BR67" i="21"/>
  <c r="BR65" i="21"/>
  <c r="BS39" i="21"/>
  <c r="BS37" i="21"/>
  <c r="BT33" i="21" s="1"/>
  <c r="BQ105" i="21"/>
  <c r="BQ108" i="21" s="1"/>
  <c r="BQ112" i="21" s="1"/>
  <c r="BQ122" i="21" s="1"/>
  <c r="BQ124" i="21" s="1"/>
  <c r="BQ104" i="21"/>
  <c r="BQ107" i="21" s="1"/>
  <c r="BX54" i="19"/>
  <c r="BX55" i="19" s="1"/>
  <c r="BX84" i="19"/>
  <c r="BY80" i="19" s="1"/>
  <c r="BY81" i="19" s="1"/>
  <c r="BY96" i="19"/>
  <c r="BY45" i="19"/>
  <c r="CG63" i="25"/>
  <c r="CG64" i="25"/>
  <c r="CG59" i="25"/>
  <c r="CL85" i="24"/>
  <c r="CM81" i="24" s="1"/>
  <c r="CM82" i="24" s="1"/>
  <c r="CH142" i="25"/>
  <c r="CF69" i="25"/>
  <c r="CF93" i="25" s="1"/>
  <c r="CF74" i="25"/>
  <c r="CG39" i="25"/>
  <c r="CM45" i="24"/>
  <c r="CL54" i="24"/>
  <c r="CL55" i="24" s="1"/>
  <c r="CM41" i="24"/>
  <c r="CM89" i="24" s="1"/>
  <c r="BS83" i="21" l="1"/>
  <c r="BS40" i="21"/>
  <c r="BS43" i="21"/>
  <c r="BS45" i="21" s="1"/>
  <c r="BR78" i="21"/>
  <c r="BR85" i="21" s="1"/>
  <c r="BR69" i="21"/>
  <c r="BQ109" i="21"/>
  <c r="BQ113" i="21" s="1"/>
  <c r="BQ111" i="21"/>
  <c r="BX113" i="19"/>
  <c r="BX56" i="19"/>
  <c r="BX115" i="19" s="1"/>
  <c r="BT123" i="21" s="1"/>
  <c r="BY97" i="19"/>
  <c r="CG40" i="25"/>
  <c r="CH33" i="25" s="1"/>
  <c r="CH35" i="25"/>
  <c r="CF71" i="25"/>
  <c r="CF84" i="25" s="1"/>
  <c r="CF73" i="25"/>
  <c r="CG42" i="25"/>
  <c r="CG92" i="25" s="1"/>
  <c r="CM90" i="24"/>
  <c r="CM91" i="24" s="1"/>
  <c r="CN88" i="24" s="1"/>
  <c r="CL114" i="24"/>
  <c r="CL56" i="24"/>
  <c r="CM44" i="24"/>
  <c r="CM61" i="24"/>
  <c r="BS59" i="21" l="1"/>
  <c r="BS41" i="21"/>
  <c r="BS54" i="21" s="1"/>
  <c r="BR88" i="21"/>
  <c r="BR86" i="21"/>
  <c r="BS80" i="21" s="1"/>
  <c r="BX117" i="19"/>
  <c r="BT23" i="21" s="1"/>
  <c r="BY41" i="19"/>
  <c r="BY44" i="19"/>
  <c r="CL116" i="24"/>
  <c r="CH132" i="25" s="1"/>
  <c r="CG43" i="25"/>
  <c r="CG65" i="25" s="1"/>
  <c r="CF75" i="25"/>
  <c r="CG46" i="25"/>
  <c r="CN97" i="24"/>
  <c r="CN98" i="24" s="1"/>
  <c r="CM43" i="24"/>
  <c r="CM46" i="24"/>
  <c r="BS60" i="21" l="1"/>
  <c r="BR92" i="21"/>
  <c r="BR89" i="21"/>
  <c r="BT34" i="21"/>
  <c r="BT57" i="21"/>
  <c r="BT58" i="21" s="1"/>
  <c r="BT31" i="21"/>
  <c r="BT44" i="21"/>
  <c r="BY61" i="19"/>
  <c r="BY88" i="19"/>
  <c r="CL118" i="24"/>
  <c r="CH23" i="25" s="1"/>
  <c r="CH31" i="25" s="1"/>
  <c r="CG44" i="25"/>
  <c r="CG57" i="25" s="1"/>
  <c r="CG66" i="25" s="1"/>
  <c r="CH61" i="25" s="1"/>
  <c r="CG48" i="25"/>
  <c r="CM84" i="24"/>
  <c r="CM64" i="24"/>
  <c r="CM66" i="24" s="1"/>
  <c r="BS64" i="21" l="1"/>
  <c r="BS61" i="21"/>
  <c r="BT56" i="21" s="1"/>
  <c r="BR90" i="21"/>
  <c r="BR93" i="21"/>
  <c r="BT35" i="21"/>
  <c r="BT81" i="21"/>
  <c r="BT82" i="21" s="1"/>
  <c r="BY43" i="19"/>
  <c r="BY64" i="19" s="1"/>
  <c r="BY66" i="19" s="1"/>
  <c r="BY89" i="19"/>
  <c r="CH34" i="25"/>
  <c r="CH37" i="25" s="1"/>
  <c r="CH47" i="25"/>
  <c r="CH60" i="25"/>
  <c r="CH62" i="25" s="1"/>
  <c r="CG67" i="25"/>
  <c r="CM85" i="24"/>
  <c r="CN81" i="24" s="1"/>
  <c r="CN82" i="24" s="1"/>
  <c r="CI142" i="25"/>
  <c r="CM54" i="24"/>
  <c r="CM55" i="24" s="1"/>
  <c r="CN45" i="24"/>
  <c r="BS68" i="21" l="1"/>
  <c r="BS63" i="21"/>
  <c r="BR94" i="21"/>
  <c r="BR103" i="21"/>
  <c r="BT36" i="21"/>
  <c r="BY46" i="19"/>
  <c r="BY83" i="19" s="1"/>
  <c r="BY90" i="19"/>
  <c r="BZ87" i="19" s="1"/>
  <c r="CH87" i="25"/>
  <c r="CH89" i="25" s="1"/>
  <c r="CH64" i="25"/>
  <c r="CH63" i="25"/>
  <c r="CH36" i="25"/>
  <c r="CH38" i="25" s="1"/>
  <c r="CH39" i="25" s="1"/>
  <c r="CG70" i="25"/>
  <c r="CH59" i="25"/>
  <c r="CM114" i="24"/>
  <c r="CM56" i="24"/>
  <c r="CN41" i="24"/>
  <c r="CN89" i="24" s="1"/>
  <c r="BS84" i="21" l="1"/>
  <c r="BS67" i="21"/>
  <c r="BS65" i="21"/>
  <c r="BR105" i="21"/>
  <c r="BR108" i="21" s="1"/>
  <c r="BR112" i="21" s="1"/>
  <c r="BR122" i="21" s="1"/>
  <c r="BR124" i="21" s="1"/>
  <c r="BR104" i="21"/>
  <c r="BR107" i="21" s="1"/>
  <c r="BY84" i="19"/>
  <c r="BZ80" i="19" s="1"/>
  <c r="BZ81" i="19" s="1"/>
  <c r="BY54" i="19"/>
  <c r="BY55" i="19" s="1"/>
  <c r="BZ96" i="19"/>
  <c r="BZ45" i="19"/>
  <c r="BT39" i="21"/>
  <c r="BT37" i="21"/>
  <c r="BU33" i="21" s="1"/>
  <c r="CM116" i="24"/>
  <c r="CI132" i="25" s="1"/>
  <c r="CH40" i="25"/>
  <c r="CI33" i="25" s="1"/>
  <c r="CI35" i="25"/>
  <c r="CG74" i="25"/>
  <c r="CG69" i="25"/>
  <c r="CH42" i="25"/>
  <c r="CH92" i="25" s="1"/>
  <c r="CN90" i="24"/>
  <c r="CN91" i="24" s="1"/>
  <c r="CO88" i="24" s="1"/>
  <c r="CN44" i="24"/>
  <c r="CN61" i="24"/>
  <c r="BS78" i="21" l="1"/>
  <c r="BS85" i="21" s="1"/>
  <c r="BS69" i="21"/>
  <c r="BR109" i="21"/>
  <c r="BR113" i="21" s="1"/>
  <c r="BR111" i="21"/>
  <c r="BY56" i="19"/>
  <c r="BY115" i="19" s="1"/>
  <c r="BU123" i="21" s="1"/>
  <c r="BY113" i="19"/>
  <c r="BZ97" i="19"/>
  <c r="BT40" i="21"/>
  <c r="BT83" i="21"/>
  <c r="BT43" i="21"/>
  <c r="BT45" i="21" s="1"/>
  <c r="CM118" i="24"/>
  <c r="CI23" i="25" s="1"/>
  <c r="CI31" i="25" s="1"/>
  <c r="CG93" i="25"/>
  <c r="CG73" i="25"/>
  <c r="CG71" i="25"/>
  <c r="CH43" i="25"/>
  <c r="CH65" i="25" s="1"/>
  <c r="CH46" i="25"/>
  <c r="CO97" i="24"/>
  <c r="CO98" i="24" s="1"/>
  <c r="CN43" i="24"/>
  <c r="CN46" i="24"/>
  <c r="BS88" i="21" l="1"/>
  <c r="BS86" i="21"/>
  <c r="BT80" i="21" s="1"/>
  <c r="BY117" i="19"/>
  <c r="BU23" i="21" s="1"/>
  <c r="BZ41" i="19"/>
  <c r="BZ44" i="19"/>
  <c r="BT59" i="21"/>
  <c r="BT41" i="21"/>
  <c r="BT54" i="21" s="1"/>
  <c r="CI60" i="25"/>
  <c r="CI62" i="25" s="1"/>
  <c r="CI34" i="25"/>
  <c r="CI37" i="25" s="1"/>
  <c r="CI47" i="25"/>
  <c r="CG84" i="25"/>
  <c r="CG75" i="25"/>
  <c r="CH44" i="25"/>
  <c r="CH57" i="25" s="1"/>
  <c r="CH66" i="25" s="1"/>
  <c r="CH48" i="25"/>
  <c r="CN84" i="24"/>
  <c r="CO45" i="24"/>
  <c r="B45" i="24" s="1"/>
  <c r="CN64" i="24"/>
  <c r="CN66" i="24" s="1"/>
  <c r="BS92" i="21" l="1"/>
  <c r="BS89" i="21"/>
  <c r="BU57" i="21"/>
  <c r="BU58" i="21" s="1"/>
  <c r="BU34" i="21"/>
  <c r="BU31" i="21"/>
  <c r="BU44" i="21"/>
  <c r="BT60" i="21"/>
  <c r="BZ88" i="19"/>
  <c r="BZ61" i="19"/>
  <c r="CI87" i="25"/>
  <c r="CI89" i="25" s="1"/>
  <c r="CI36" i="25"/>
  <c r="CI38" i="25" s="1"/>
  <c r="CI39" i="25" s="1"/>
  <c r="CI64" i="25"/>
  <c r="CI61" i="25"/>
  <c r="CI63" i="25" s="1"/>
  <c r="CH67" i="25"/>
  <c r="CN85" i="24"/>
  <c r="CO81" i="24" s="1"/>
  <c r="CO82" i="24" s="1"/>
  <c r="CJ142" i="25"/>
  <c r="CO44" i="24"/>
  <c r="B44" i="24" s="1"/>
  <c r="CN54" i="24"/>
  <c r="CN55" i="24" s="1"/>
  <c r="BS93" i="21" l="1"/>
  <c r="BS90" i="21"/>
  <c r="BU81" i="21"/>
  <c r="BU82" i="21" s="1"/>
  <c r="BU35" i="21"/>
  <c r="BU36" i="21" s="1"/>
  <c r="BT64" i="21"/>
  <c r="BT61" i="21"/>
  <c r="BU56" i="21" s="1"/>
  <c r="BZ43" i="19"/>
  <c r="BZ64" i="19" s="1"/>
  <c r="BZ66" i="19" s="1"/>
  <c r="BZ89" i="19"/>
  <c r="CI40" i="25"/>
  <c r="CJ33" i="25" s="1"/>
  <c r="CJ35" i="25"/>
  <c r="CI59" i="25"/>
  <c r="CH70" i="25"/>
  <c r="CH74" i="25" s="1"/>
  <c r="CI42" i="25"/>
  <c r="CI92" i="25" s="1"/>
  <c r="B97" i="24"/>
  <c r="CN114" i="24"/>
  <c r="CN56" i="24"/>
  <c r="CO41" i="24"/>
  <c r="CO89" i="24" s="1"/>
  <c r="CO90" i="24" s="1"/>
  <c r="CO91" i="24" s="1"/>
  <c r="B98" i="24"/>
  <c r="B82" i="24"/>
  <c r="BS94" i="21" l="1"/>
  <c r="BS103" i="21"/>
  <c r="BT68" i="21"/>
  <c r="BT63" i="21"/>
  <c r="BU39" i="21"/>
  <c r="BU37" i="21"/>
  <c r="BV33" i="21" s="1"/>
  <c r="BZ46" i="19"/>
  <c r="BZ83" i="19" s="1"/>
  <c r="BZ90" i="19"/>
  <c r="CA87" i="19" s="1"/>
  <c r="CN116" i="24"/>
  <c r="CJ132" i="25" s="1"/>
  <c r="CH69" i="25"/>
  <c r="CH93" i="25" s="1"/>
  <c r="CI43" i="25"/>
  <c r="CI65" i="25" s="1"/>
  <c r="CI46" i="25"/>
  <c r="CI48" i="25" s="1"/>
  <c r="CO61" i="24"/>
  <c r="B41" i="24"/>
  <c r="BS104" i="21" l="1"/>
  <c r="BS107" i="21" s="1"/>
  <c r="BS105" i="21"/>
  <c r="BS108" i="21" s="1"/>
  <c r="BS112" i="21" s="1"/>
  <c r="BS122" i="21" s="1"/>
  <c r="BS124" i="21" s="1"/>
  <c r="BT84" i="21"/>
  <c r="BT65" i="21"/>
  <c r="BT67" i="21"/>
  <c r="BU40" i="21"/>
  <c r="BU43" i="21"/>
  <c r="BU45" i="21" s="1"/>
  <c r="BU83" i="21"/>
  <c r="BZ84" i="19"/>
  <c r="CA80" i="19" s="1"/>
  <c r="CA81" i="19" s="1"/>
  <c r="BZ54" i="19"/>
  <c r="BZ55" i="19" s="1"/>
  <c r="CA45" i="19"/>
  <c r="CA96" i="19"/>
  <c r="CN118" i="24"/>
  <c r="CJ23" i="25" s="1"/>
  <c r="CJ47" i="25" s="1"/>
  <c r="CH71" i="25"/>
  <c r="CH84" i="25" s="1"/>
  <c r="CH73" i="25"/>
  <c r="CI44" i="25"/>
  <c r="CI57" i="25" s="1"/>
  <c r="CI66" i="25" s="1"/>
  <c r="B61" i="24"/>
  <c r="CO43" i="24"/>
  <c r="B89" i="24"/>
  <c r="BS111" i="21" l="1"/>
  <c r="BS109" i="21"/>
  <c r="BS113" i="21" s="1"/>
  <c r="BT69" i="21"/>
  <c r="BT78" i="21"/>
  <c r="BT85" i="21" s="1"/>
  <c r="BU59" i="21"/>
  <c r="BU41" i="21"/>
  <c r="BU54" i="21" s="1"/>
  <c r="BZ56" i="19"/>
  <c r="BZ115" i="19" s="1"/>
  <c r="BV123" i="21" s="1"/>
  <c r="BZ113" i="19"/>
  <c r="CA97" i="19"/>
  <c r="CJ60" i="25"/>
  <c r="CJ62" i="25" s="1"/>
  <c r="CJ31" i="25"/>
  <c r="CJ34" i="25"/>
  <c r="CJ37" i="25" s="1"/>
  <c r="CJ61" i="25"/>
  <c r="CI70" i="25"/>
  <c r="CI69" i="25" s="1"/>
  <c r="CI93" i="25" s="1"/>
  <c r="CH75" i="25"/>
  <c r="CI67" i="25"/>
  <c r="CJ59" i="25" s="1"/>
  <c r="CO46" i="24"/>
  <c r="B46" i="24" s="1"/>
  <c r="B90" i="24"/>
  <c r="CO64" i="24"/>
  <c r="B43" i="24"/>
  <c r="BU60" i="21" l="1"/>
  <c r="BT86" i="21"/>
  <c r="BU80" i="21" s="1"/>
  <c r="BT88" i="21"/>
  <c r="BZ117" i="19"/>
  <c r="BV23" i="21" s="1"/>
  <c r="CA41" i="19"/>
  <c r="CA44" i="19"/>
  <c r="CJ63" i="25"/>
  <c r="CJ64" i="25"/>
  <c r="CJ87" i="25"/>
  <c r="CJ89" i="25" s="1"/>
  <c r="CJ36" i="25"/>
  <c r="CJ38" i="25" s="1"/>
  <c r="CJ39" i="25" s="1"/>
  <c r="CI74" i="25"/>
  <c r="CI71" i="25"/>
  <c r="CI84" i="25" s="1"/>
  <c r="CI73" i="25"/>
  <c r="CO84" i="24"/>
  <c r="B64" i="24"/>
  <c r="CO66" i="24"/>
  <c r="B66" i="24" s="1"/>
  <c r="BU61" i="21" l="1"/>
  <c r="BV56" i="21" s="1"/>
  <c r="BU64" i="21"/>
  <c r="BT92" i="21"/>
  <c r="BT89" i="21"/>
  <c r="BV44" i="21"/>
  <c r="BV31" i="21"/>
  <c r="BV57" i="21"/>
  <c r="BV58" i="21" s="1"/>
  <c r="BV34" i="21"/>
  <c r="CA88" i="19"/>
  <c r="CA61" i="19"/>
  <c r="CJ40" i="25"/>
  <c r="CK33" i="25" s="1"/>
  <c r="CK35" i="25"/>
  <c r="CI75" i="25"/>
  <c r="CO85" i="24"/>
  <c r="CK142" i="25"/>
  <c r="CJ42" i="25"/>
  <c r="CJ92" i="25" s="1"/>
  <c r="CO54" i="24"/>
  <c r="B84" i="24"/>
  <c r="B85" i="24" s="1"/>
  <c r="BU68" i="21" l="1"/>
  <c r="BU63" i="21"/>
  <c r="BT93" i="21"/>
  <c r="BT90" i="21"/>
  <c r="BV81" i="21"/>
  <c r="BV82" i="21" s="1"/>
  <c r="BV35" i="21"/>
  <c r="BV36" i="21" s="1"/>
  <c r="CA89" i="19"/>
  <c r="CA43" i="19"/>
  <c r="CA64" i="19" s="1"/>
  <c r="CA66" i="19" s="1"/>
  <c r="CJ43" i="25"/>
  <c r="CJ65" i="25" s="1"/>
  <c r="CJ46" i="25"/>
  <c r="CO55" i="24"/>
  <c r="I70" i="24" s="1"/>
  <c r="B54" i="24"/>
  <c r="BU65" i="21" l="1"/>
  <c r="BU84" i="21"/>
  <c r="BU67" i="21"/>
  <c r="BT103" i="21"/>
  <c r="BT94" i="21"/>
  <c r="CA46" i="19"/>
  <c r="CA83" i="19" s="1"/>
  <c r="CA90" i="19"/>
  <c r="CB87" i="19" s="1"/>
  <c r="BV37" i="21"/>
  <c r="BW33" i="21" s="1"/>
  <c r="BV39" i="21"/>
  <c r="CJ44" i="25"/>
  <c r="CJ57" i="25" s="1"/>
  <c r="CJ66" i="25" s="1"/>
  <c r="CK61" i="25" s="1"/>
  <c r="CJ48" i="25"/>
  <c r="I68" i="24"/>
  <c r="I69" i="24"/>
  <c r="CO114" i="24"/>
  <c r="B55" i="24"/>
  <c r="CO56" i="24"/>
  <c r="BU69" i="21" l="1"/>
  <c r="BU78" i="21"/>
  <c r="BU85" i="21" s="1"/>
  <c r="CB96" i="19"/>
  <c r="CB97" i="19" s="1"/>
  <c r="CB45" i="19"/>
  <c r="BT104" i="21"/>
  <c r="BT107" i="21" s="1"/>
  <c r="BT105" i="21"/>
  <c r="BT108" i="21" s="1"/>
  <c r="BT112" i="21" s="1"/>
  <c r="BT122" i="21" s="1"/>
  <c r="BT124" i="21" s="1"/>
  <c r="CA54" i="19"/>
  <c r="CA55" i="19" s="1"/>
  <c r="CA84" i="19"/>
  <c r="CB80" i="19" s="1"/>
  <c r="CB81" i="19" s="1"/>
  <c r="BV43" i="21"/>
  <c r="BV45" i="21" s="1"/>
  <c r="BV40" i="21"/>
  <c r="BV83" i="21"/>
  <c r="CO116" i="24"/>
  <c r="CK132" i="25" s="1"/>
  <c r="CJ67" i="25"/>
  <c r="CJ70" i="25"/>
  <c r="CJ69" i="25" s="1"/>
  <c r="CJ93" i="25" s="1"/>
  <c r="B114" i="24"/>
  <c r="BU88" i="21" l="1"/>
  <c r="BU86" i="21"/>
  <c r="BV80" i="21" s="1"/>
  <c r="BT111" i="21"/>
  <c r="BT109" i="21"/>
  <c r="BT113" i="21" s="1"/>
  <c r="CA113" i="19"/>
  <c r="CA56" i="19"/>
  <c r="CA115" i="19" s="1"/>
  <c r="BW123" i="21" s="1"/>
  <c r="BV59" i="21"/>
  <c r="BV41" i="21"/>
  <c r="BV54" i="21" s="1"/>
  <c r="CB41" i="19"/>
  <c r="CB44" i="19"/>
  <c r="B116" i="24"/>
  <c r="CO118" i="24"/>
  <c r="I124" i="24" s="1"/>
  <c r="E27" i="23" s="1"/>
  <c r="I120" i="24"/>
  <c r="CJ74" i="25"/>
  <c r="CK59" i="25"/>
  <c r="CJ71" i="25"/>
  <c r="CJ84" i="25" s="1"/>
  <c r="CJ73" i="25"/>
  <c r="BU92" i="21" l="1"/>
  <c r="BU89" i="21"/>
  <c r="CB88" i="19"/>
  <c r="CB61" i="19"/>
  <c r="CA117" i="19"/>
  <c r="BW23" i="21" s="1"/>
  <c r="BV60" i="21"/>
  <c r="I122" i="24"/>
  <c r="C27" i="23" s="1"/>
  <c r="CK23" i="25"/>
  <c r="CK60" i="25" s="1"/>
  <c r="CK62" i="25" s="1"/>
  <c r="CK64" i="25" s="1"/>
  <c r="I123" i="24"/>
  <c r="D27" i="23" s="1"/>
  <c r="CJ75" i="25"/>
  <c r="BU90" i="21" l="1"/>
  <c r="BU93" i="21"/>
  <c r="CB43" i="19"/>
  <c r="CB64" i="19" s="1"/>
  <c r="CB66" i="19" s="1"/>
  <c r="CB89" i="19"/>
  <c r="BW44" i="21"/>
  <c r="BW57" i="21"/>
  <c r="BW58" i="21" s="1"/>
  <c r="BW34" i="21"/>
  <c r="BW31" i="21"/>
  <c r="BV61" i="21"/>
  <c r="BW56" i="21" s="1"/>
  <c r="BV64" i="21"/>
  <c r="E26" i="25"/>
  <c r="CK47" i="25"/>
  <c r="F53" i="25" s="1"/>
  <c r="CK31" i="25"/>
  <c r="E27" i="25"/>
  <c r="CK34" i="25"/>
  <c r="CK37" i="25" s="1"/>
  <c r="E25" i="25"/>
  <c r="CK63" i="25"/>
  <c r="BU94" i="21" l="1"/>
  <c r="BU103" i="21"/>
  <c r="BW81" i="21"/>
  <c r="BW82" i="21" s="1"/>
  <c r="BW35" i="21"/>
  <c r="BW36" i="21" s="1"/>
  <c r="BV68" i="21"/>
  <c r="BV63" i="21"/>
  <c r="CB46" i="19"/>
  <c r="CB83" i="19" s="1"/>
  <c r="CB90" i="19"/>
  <c r="CC87" i="19" s="1"/>
  <c r="F51" i="25"/>
  <c r="F52" i="25"/>
  <c r="CK87" i="25"/>
  <c r="CK89" i="25" s="1"/>
  <c r="CK36" i="25"/>
  <c r="CK38" i="25" s="1"/>
  <c r="CK39" i="25" s="1"/>
  <c r="CK40" i="25" s="1"/>
  <c r="BU104" i="21" l="1"/>
  <c r="BU107" i="21" s="1"/>
  <c r="BU111" i="21" s="1"/>
  <c r="BU105" i="21"/>
  <c r="BU108" i="21" s="1"/>
  <c r="BV65" i="21"/>
  <c r="BV84" i="21"/>
  <c r="BV67" i="21"/>
  <c r="CB54" i="19"/>
  <c r="CB55" i="19" s="1"/>
  <c r="CB84" i="19"/>
  <c r="CC80" i="19" s="1"/>
  <c r="CC81" i="19" s="1"/>
  <c r="CC45" i="19"/>
  <c r="CC96" i="19"/>
  <c r="BW37" i="21"/>
  <c r="BX33" i="21" s="1"/>
  <c r="BW39" i="21"/>
  <c r="CK42" i="25"/>
  <c r="CK92" i="25" s="1"/>
  <c r="BU112" i="21" l="1"/>
  <c r="BU122" i="21" s="1"/>
  <c r="BU124" i="21" s="1"/>
  <c r="BU109" i="21"/>
  <c r="BU113" i="21" s="1"/>
  <c r="BV78" i="21"/>
  <c r="BV85" i="21" s="1"/>
  <c r="BV69" i="21"/>
  <c r="CB113" i="19"/>
  <c r="CB56" i="19"/>
  <c r="CB115" i="19" s="1"/>
  <c r="BX123" i="21" s="1"/>
  <c r="CC97" i="19"/>
  <c r="BW43" i="21"/>
  <c r="BW45" i="21" s="1"/>
  <c r="BW40" i="21"/>
  <c r="BW83" i="21"/>
  <c r="CK46" i="25"/>
  <c r="E51" i="25" s="1"/>
  <c r="CK43" i="25"/>
  <c r="CK65" i="25" s="1"/>
  <c r="CB117" i="19" l="1"/>
  <c r="BX23" i="21" s="1"/>
  <c r="BV86" i="21"/>
  <c r="BW80" i="21" s="1"/>
  <c r="BV88" i="21"/>
  <c r="BW41" i="21"/>
  <c r="BW54" i="21" s="1"/>
  <c r="BW59" i="21"/>
  <c r="CC41" i="19"/>
  <c r="CC44" i="19"/>
  <c r="CK44" i="25"/>
  <c r="CK57" i="25" s="1"/>
  <c r="CK66" i="25" s="1"/>
  <c r="CK67" i="25" s="1"/>
  <c r="CK48" i="25"/>
  <c r="G53" i="25" s="1"/>
  <c r="E52" i="25"/>
  <c r="E53" i="25"/>
  <c r="BX34" i="21" l="1"/>
  <c r="BX31" i="21"/>
  <c r="BX44" i="21"/>
  <c r="BX57" i="21"/>
  <c r="BX58" i="21" s="1"/>
  <c r="BV92" i="21"/>
  <c r="BV89" i="21"/>
  <c r="CC88" i="19"/>
  <c r="CC61" i="19"/>
  <c r="BW60" i="21"/>
  <c r="G51" i="25"/>
  <c r="G52" i="25"/>
  <c r="CK70" i="25"/>
  <c r="CK69" i="25" s="1"/>
  <c r="CK93" i="25" s="1"/>
  <c r="BX35" i="21" l="1"/>
  <c r="BX36" i="21" s="1"/>
  <c r="BX81" i="21"/>
  <c r="BX82" i="21" s="1"/>
  <c r="BW64" i="21"/>
  <c r="BW61" i="21"/>
  <c r="BX56" i="21" s="1"/>
  <c r="BV90" i="21"/>
  <c r="BV93" i="21"/>
  <c r="CC43" i="19"/>
  <c r="CC64" i="19" s="1"/>
  <c r="CC66" i="19" s="1"/>
  <c r="CC89" i="19"/>
  <c r="CK74" i="25"/>
  <c r="CK71" i="25"/>
  <c r="CK84" i="25" s="1"/>
  <c r="CK73" i="25"/>
  <c r="BW63" i="21" l="1"/>
  <c r="BW68" i="21"/>
  <c r="BV103" i="21"/>
  <c r="BV94" i="21"/>
  <c r="BX39" i="21"/>
  <c r="BX37" i="21"/>
  <c r="BY33" i="21" s="1"/>
  <c r="CC46" i="19"/>
  <c r="CC83" i="19" s="1"/>
  <c r="CC90" i="19"/>
  <c r="CD87" i="19" s="1"/>
  <c r="E78" i="25"/>
  <c r="E79" i="25"/>
  <c r="F78" i="25"/>
  <c r="F79" i="25"/>
  <c r="F80" i="25"/>
  <c r="E80" i="25"/>
  <c r="CK75" i="25"/>
  <c r="BW67" i="21" l="1"/>
  <c r="BW84" i="21"/>
  <c r="BW65" i="21"/>
  <c r="BV104" i="21"/>
  <c r="BV107" i="21" s="1"/>
  <c r="BV105" i="21"/>
  <c r="BV108" i="21" s="1"/>
  <c r="BV112" i="21" s="1"/>
  <c r="BV122" i="21" s="1"/>
  <c r="BV124" i="21" s="1"/>
  <c r="BX83" i="21"/>
  <c r="BX40" i="21"/>
  <c r="BX43" i="21"/>
  <c r="BX45" i="21" s="1"/>
  <c r="CC54" i="19"/>
  <c r="CC55" i="19" s="1"/>
  <c r="CC84" i="19"/>
  <c r="CD80" i="19" s="1"/>
  <c r="CD81" i="19" s="1"/>
  <c r="CD96" i="19"/>
  <c r="CD45" i="19"/>
  <c r="G79" i="25"/>
  <c r="G78" i="25"/>
  <c r="G80" i="25"/>
  <c r="E94" i="25"/>
  <c r="F91" i="25" s="1"/>
  <c r="BX59" i="21" l="1"/>
  <c r="BX41" i="21"/>
  <c r="BX54" i="21" s="1"/>
  <c r="BW78" i="21"/>
  <c r="BW85" i="21" s="1"/>
  <c r="BW69" i="21"/>
  <c r="BV111" i="21"/>
  <c r="BV109" i="21"/>
  <c r="BV113" i="21" s="1"/>
  <c r="CC113" i="19"/>
  <c r="CC56" i="19"/>
  <c r="CC115" i="19" s="1"/>
  <c r="BY123" i="21" s="1"/>
  <c r="CD97" i="19"/>
  <c r="E95" i="25"/>
  <c r="F86" i="25" s="1"/>
  <c r="F88" i="25"/>
  <c r="F90" i="25" s="1"/>
  <c r="E97" i="25"/>
  <c r="BX60" i="21" l="1"/>
  <c r="BW86" i="21"/>
  <c r="BX80" i="21" s="1"/>
  <c r="BW88" i="21"/>
  <c r="CC117" i="19"/>
  <c r="BY23" i="21" s="1"/>
  <c r="CD41" i="19"/>
  <c r="CD44" i="19"/>
  <c r="E101" i="25"/>
  <c r="E98" i="25"/>
  <c r="BX64" i="21" l="1"/>
  <c r="BX61" i="21"/>
  <c r="BY56" i="21" s="1"/>
  <c r="BW92" i="21"/>
  <c r="BW89" i="21"/>
  <c r="BY44" i="21"/>
  <c r="BY57" i="21"/>
  <c r="BY58" i="21" s="1"/>
  <c r="BY34" i="21"/>
  <c r="BY31" i="21"/>
  <c r="CD61" i="19"/>
  <c r="CD88" i="19"/>
  <c r="E99" i="25"/>
  <c r="E102" i="25"/>
  <c r="BX63" i="21" l="1"/>
  <c r="BX67" i="21" s="1"/>
  <c r="BX68" i="21"/>
  <c r="BW90" i="21"/>
  <c r="BW93" i="21"/>
  <c r="BY35" i="21"/>
  <c r="BY81" i="21"/>
  <c r="BY82" i="21" s="1"/>
  <c r="CD89" i="19"/>
  <c r="CD43" i="19"/>
  <c r="CD64" i="19" s="1"/>
  <c r="CD66" i="19" s="1"/>
  <c r="E112" i="25"/>
  <c r="E103" i="25"/>
  <c r="BX65" i="21" l="1"/>
  <c r="BX84" i="21"/>
  <c r="BW94" i="21"/>
  <c r="BW103" i="21"/>
  <c r="BY36" i="21"/>
  <c r="CD46" i="19"/>
  <c r="CD83" i="19" s="1"/>
  <c r="CD90" i="19"/>
  <c r="CE87" i="19" s="1"/>
  <c r="E113" i="25"/>
  <c r="E116" i="25" s="1"/>
  <c r="E114" i="25"/>
  <c r="E117" i="25" s="1"/>
  <c r="E121" i="25" s="1"/>
  <c r="E131" i="25" s="1"/>
  <c r="E133" i="25" s="1"/>
  <c r="F94" i="25"/>
  <c r="G91" i="25" s="1"/>
  <c r="BX69" i="21" l="1"/>
  <c r="BX78" i="21"/>
  <c r="BX85" i="21" s="1"/>
  <c r="BW105" i="21"/>
  <c r="BW108" i="21" s="1"/>
  <c r="BW112" i="21" s="1"/>
  <c r="BW122" i="21" s="1"/>
  <c r="BW124" i="21" s="1"/>
  <c r="BW104" i="21"/>
  <c r="BW107" i="21" s="1"/>
  <c r="BY39" i="21"/>
  <c r="BY83" i="21" s="1"/>
  <c r="BY37" i="21"/>
  <c r="BZ33" i="21" s="1"/>
  <c r="CD54" i="19"/>
  <c r="CD55" i="19" s="1"/>
  <c r="CD84" i="19"/>
  <c r="CE80" i="19" s="1"/>
  <c r="CE81" i="19" s="1"/>
  <c r="CE96" i="19"/>
  <c r="CE45" i="19"/>
  <c r="F95" i="25"/>
  <c r="G86" i="25" s="1"/>
  <c r="G88" i="25"/>
  <c r="G90" i="25" s="1"/>
  <c r="E118" i="25"/>
  <c r="E122" i="25" s="1"/>
  <c r="E120" i="25"/>
  <c r="E141" i="25" s="1"/>
  <c r="E143" i="25" s="1"/>
  <c r="F97" i="25"/>
  <c r="BX88" i="21" l="1"/>
  <c r="BX86" i="21"/>
  <c r="BY80" i="21" s="1"/>
  <c r="BY40" i="21"/>
  <c r="BY43" i="21"/>
  <c r="BY45" i="21" s="1"/>
  <c r="BW109" i="21"/>
  <c r="BW113" i="21" s="1"/>
  <c r="BW111" i="21"/>
  <c r="CD113" i="19"/>
  <c r="CD56" i="19"/>
  <c r="CD115" i="19" s="1"/>
  <c r="BZ123" i="21" s="1"/>
  <c r="CE97" i="19"/>
  <c r="F98" i="25"/>
  <c r="F102" i="25" s="1"/>
  <c r="F101" i="25"/>
  <c r="G94" i="25"/>
  <c r="BX89" i="21" l="1"/>
  <c r="BX92" i="21"/>
  <c r="BY59" i="21"/>
  <c r="BY41" i="21"/>
  <c r="BY54" i="21" s="1"/>
  <c r="CD117" i="19"/>
  <c r="BZ23" i="21" s="1"/>
  <c r="CE41" i="19"/>
  <c r="CE44" i="19"/>
  <c r="G97" i="25"/>
  <c r="G98" i="25" s="1"/>
  <c r="G102" i="25" s="1"/>
  <c r="H91" i="25"/>
  <c r="H88" i="25"/>
  <c r="H90" i="25" s="1"/>
  <c r="F99" i="25"/>
  <c r="G95" i="25"/>
  <c r="H86" i="25" s="1"/>
  <c r="BX90" i="21" l="1"/>
  <c r="BX93" i="21"/>
  <c r="BY60" i="21"/>
  <c r="BZ57" i="21"/>
  <c r="BZ58" i="21" s="1"/>
  <c r="BZ44" i="21"/>
  <c r="BZ34" i="21"/>
  <c r="BZ31" i="21"/>
  <c r="CE88" i="19"/>
  <c r="CE61" i="19"/>
  <c r="G101" i="25"/>
  <c r="F112" i="25"/>
  <c r="F103" i="25"/>
  <c r="G99" i="25"/>
  <c r="H94" i="25"/>
  <c r="H97" i="25" s="1"/>
  <c r="BX103" i="21" l="1"/>
  <c r="BX94" i="21"/>
  <c r="BY64" i="21"/>
  <c r="BY61" i="21"/>
  <c r="BZ56" i="21" s="1"/>
  <c r="BZ81" i="21"/>
  <c r="BZ82" i="21" s="1"/>
  <c r="BZ35" i="21"/>
  <c r="CE89" i="19"/>
  <c r="CE43" i="19"/>
  <c r="CE64" i="19" s="1"/>
  <c r="CE66" i="19" s="1"/>
  <c r="I91" i="25"/>
  <c r="I88" i="25"/>
  <c r="I90" i="25" s="1"/>
  <c r="H95" i="25"/>
  <c r="I86" i="25" s="1"/>
  <c r="F114" i="25"/>
  <c r="F117" i="25" s="1"/>
  <c r="F121" i="25" s="1"/>
  <c r="F131" i="25" s="1"/>
  <c r="F133" i="25" s="1"/>
  <c r="F113" i="25"/>
  <c r="F116" i="25" s="1"/>
  <c r="G112" i="25"/>
  <c r="G103" i="25"/>
  <c r="H98" i="25"/>
  <c r="H102" i="25" s="1"/>
  <c r="H101" i="25"/>
  <c r="BX105" i="21" l="1"/>
  <c r="BX108" i="21" s="1"/>
  <c r="BX104" i="21"/>
  <c r="BX107" i="21" s="1"/>
  <c r="BX111" i="21" s="1"/>
  <c r="BY63" i="21"/>
  <c r="BY68" i="21"/>
  <c r="CE46" i="19"/>
  <c r="CE83" i="19" s="1"/>
  <c r="CE90" i="19"/>
  <c r="CF87" i="19" s="1"/>
  <c r="BZ36" i="21"/>
  <c r="I94" i="25"/>
  <c r="I97" i="25" s="1"/>
  <c r="I98" i="25" s="1"/>
  <c r="I102" i="25" s="1"/>
  <c r="F118" i="25"/>
  <c r="F122" i="25" s="1"/>
  <c r="F120" i="25"/>
  <c r="F141" i="25" s="1"/>
  <c r="F143" i="25" s="1"/>
  <c r="H99" i="25"/>
  <c r="G114" i="25"/>
  <c r="G117" i="25" s="1"/>
  <c r="G121" i="25" s="1"/>
  <c r="G113" i="25"/>
  <c r="G116" i="25" s="1"/>
  <c r="BX112" i="21" l="1"/>
  <c r="BX122" i="21" s="1"/>
  <c r="BX124" i="21" s="1"/>
  <c r="BX109" i="21"/>
  <c r="BX113" i="21" s="1"/>
  <c r="BY84" i="21"/>
  <c r="BY65" i="21"/>
  <c r="BY67" i="21"/>
  <c r="CF45" i="19"/>
  <c r="CF96" i="19"/>
  <c r="CF97" i="19" s="1"/>
  <c r="CE54" i="19"/>
  <c r="CE55" i="19" s="1"/>
  <c r="CE84" i="19"/>
  <c r="CF80" i="19" s="1"/>
  <c r="BZ39" i="21"/>
  <c r="BZ37" i="21"/>
  <c r="CA33" i="21" s="1"/>
  <c r="I101" i="25"/>
  <c r="J91" i="25"/>
  <c r="I95" i="25"/>
  <c r="J86" i="25" s="1"/>
  <c r="J88" i="25"/>
  <c r="I99" i="25"/>
  <c r="I103" i="25" s="1"/>
  <c r="G118" i="25"/>
  <c r="G122" i="25" s="1"/>
  <c r="G120" i="25"/>
  <c r="G131" i="25"/>
  <c r="G133" i="25" s="1"/>
  <c r="H103" i="25"/>
  <c r="H112" i="25"/>
  <c r="BY69" i="21" l="1"/>
  <c r="BY78" i="21"/>
  <c r="BY85" i="21" s="1"/>
  <c r="CE56" i="19"/>
  <c r="CE113" i="19"/>
  <c r="CF81" i="19"/>
  <c r="BZ40" i="21"/>
  <c r="BZ83" i="21"/>
  <c r="BZ43" i="21"/>
  <c r="BZ45" i="21" s="1"/>
  <c r="CF41" i="19"/>
  <c r="CF44" i="19"/>
  <c r="I112" i="25"/>
  <c r="I113" i="25" s="1"/>
  <c r="I116" i="25" s="1"/>
  <c r="J90" i="25"/>
  <c r="H114" i="25"/>
  <c r="H117" i="25" s="1"/>
  <c r="H121" i="25" s="1"/>
  <c r="H113" i="25"/>
  <c r="H116" i="25" s="1"/>
  <c r="G141" i="25"/>
  <c r="G143" i="25" s="1"/>
  <c r="BY86" i="21" l="1"/>
  <c r="BZ80" i="21" s="1"/>
  <c r="BY88" i="21"/>
  <c r="CE115" i="19"/>
  <c r="CF88" i="19"/>
  <c r="CF61" i="19"/>
  <c r="BZ59" i="21"/>
  <c r="BZ41" i="21"/>
  <c r="BZ54" i="21" s="1"/>
  <c r="I114" i="25"/>
  <c r="I117" i="25" s="1"/>
  <c r="I121" i="25" s="1"/>
  <c r="I131" i="25" s="1"/>
  <c r="I133" i="25" s="1"/>
  <c r="J94" i="25"/>
  <c r="K91" i="25" s="1"/>
  <c r="H131" i="25"/>
  <c r="H133" i="25" s="1"/>
  <c r="H118" i="25"/>
  <c r="H122" i="25" s="1"/>
  <c r="H120" i="25"/>
  <c r="I120" i="25"/>
  <c r="I141" i="25" s="1"/>
  <c r="I143" i="25" s="1"/>
  <c r="BY92" i="21" l="1"/>
  <c r="BY89" i="21"/>
  <c r="CE117" i="19"/>
  <c r="CA23" i="21" s="1"/>
  <c r="CA123" i="21"/>
  <c r="CF89" i="19"/>
  <c r="CF43" i="19"/>
  <c r="CF64" i="19" s="1"/>
  <c r="CF66" i="19" s="1"/>
  <c r="BZ60" i="21"/>
  <c r="I118" i="25"/>
  <c r="I122" i="25" s="1"/>
  <c r="J97" i="25"/>
  <c r="J95" i="25"/>
  <c r="K86" i="25" s="1"/>
  <c r="K88" i="25"/>
  <c r="K90" i="25" s="1"/>
  <c r="H141" i="25"/>
  <c r="H143" i="25" s="1"/>
  <c r="BY93" i="21" l="1"/>
  <c r="BY90" i="21"/>
  <c r="CF46" i="19"/>
  <c r="CF83" i="19" s="1"/>
  <c r="CF90" i="19"/>
  <c r="CG87" i="19" s="1"/>
  <c r="CA44" i="21"/>
  <c r="CA34" i="21"/>
  <c r="CA31" i="21"/>
  <c r="CA57" i="21"/>
  <c r="CA58" i="21" s="1"/>
  <c r="BZ64" i="21"/>
  <c r="BZ61" i="21"/>
  <c r="CA56" i="21" s="1"/>
  <c r="K94" i="25"/>
  <c r="J98" i="25"/>
  <c r="J102" i="25" s="1"/>
  <c r="J101" i="25"/>
  <c r="BY94" i="21" l="1"/>
  <c r="BY103" i="21"/>
  <c r="CG45" i="19"/>
  <c r="CG96" i="19"/>
  <c r="CG97" i="19" s="1"/>
  <c r="CA81" i="21"/>
  <c r="CA82" i="21" s="1"/>
  <c r="CA35" i="21"/>
  <c r="BZ63" i="21"/>
  <c r="BZ68" i="21"/>
  <c r="CF54" i="19"/>
  <c r="CF55" i="19" s="1"/>
  <c r="CF84" i="19"/>
  <c r="CG80" i="19" s="1"/>
  <c r="J99" i="25"/>
  <c r="J103" i="25" s="1"/>
  <c r="K95" i="25"/>
  <c r="L86" i="25" s="1"/>
  <c r="L91" i="25"/>
  <c r="K97" i="25"/>
  <c r="L88" i="25"/>
  <c r="L90" i="25" s="1"/>
  <c r="BY105" i="21" l="1"/>
  <c r="BY108" i="21" s="1"/>
  <c r="BY104" i="21"/>
  <c r="BY107" i="21" s="1"/>
  <c r="BY111" i="21" s="1"/>
  <c r="BZ67" i="21"/>
  <c r="BZ65" i="21"/>
  <c r="BZ84" i="21"/>
  <c r="CF56" i="19"/>
  <c r="CF113" i="19"/>
  <c r="CA36" i="21"/>
  <c r="CG41" i="19"/>
  <c r="CG44" i="19"/>
  <c r="CG81" i="19"/>
  <c r="J112" i="25"/>
  <c r="J114" i="25" s="1"/>
  <c r="J117" i="25" s="1"/>
  <c r="J121" i="25" s="1"/>
  <c r="J131" i="25" s="1"/>
  <c r="J133" i="25" s="1"/>
  <c r="L94" i="25"/>
  <c r="M88" i="25" s="1"/>
  <c r="M90" i="25" s="1"/>
  <c r="K98" i="25"/>
  <c r="K102" i="25" s="1"/>
  <c r="K101" i="25"/>
  <c r="BY112" i="21" l="1"/>
  <c r="BY122" i="21" s="1"/>
  <c r="BY124" i="21" s="1"/>
  <c r="BY109" i="21"/>
  <c r="BY113" i="21" s="1"/>
  <c r="BZ78" i="21"/>
  <c r="BZ69" i="21"/>
  <c r="CG88" i="19"/>
  <c r="CG61" i="19"/>
  <c r="CF115" i="19"/>
  <c r="CA39" i="21"/>
  <c r="CA37" i="21"/>
  <c r="CB33" i="21" s="1"/>
  <c r="J113" i="25"/>
  <c r="J116" i="25" s="1"/>
  <c r="J120" i="25" s="1"/>
  <c r="J141" i="25" s="1"/>
  <c r="J143" i="25" s="1"/>
  <c r="K99" i="25"/>
  <c r="K103" i="25" s="1"/>
  <c r="M91" i="25"/>
  <c r="M94" i="25" s="1"/>
  <c r="M97" i="25" s="1"/>
  <c r="L95" i="25"/>
  <c r="M86" i="25" s="1"/>
  <c r="L97" i="25"/>
  <c r="BZ85" i="21" l="1"/>
  <c r="CG89" i="19"/>
  <c r="CG43" i="19"/>
  <c r="CG64" i="19" s="1"/>
  <c r="CG66" i="19" s="1"/>
  <c r="CF117" i="19"/>
  <c r="CB23" i="21" s="1"/>
  <c r="CB123" i="21"/>
  <c r="CA43" i="21"/>
  <c r="CA45" i="21" s="1"/>
  <c r="CA40" i="21"/>
  <c r="CA83" i="21"/>
  <c r="J118" i="25"/>
  <c r="J122" i="25" s="1"/>
  <c r="K112" i="25"/>
  <c r="K114" i="25" s="1"/>
  <c r="K117" i="25" s="1"/>
  <c r="K121" i="25" s="1"/>
  <c r="K131" i="25" s="1"/>
  <c r="K133" i="25" s="1"/>
  <c r="N91" i="25"/>
  <c r="M98" i="25"/>
  <c r="M102" i="25" s="1"/>
  <c r="M101" i="25"/>
  <c r="L101" i="25"/>
  <c r="L98" i="25"/>
  <c r="L102" i="25" s="1"/>
  <c r="N88" i="25"/>
  <c r="N90" i="25" s="1"/>
  <c r="M95" i="25"/>
  <c r="N86" i="25" s="1"/>
  <c r="CG46" i="19" l="1"/>
  <c r="CG83" i="19" s="1"/>
  <c r="CG90" i="19"/>
  <c r="CH87" i="19" s="1"/>
  <c r="BZ86" i="21"/>
  <c r="CA80" i="21" s="1"/>
  <c r="BZ88" i="21"/>
  <c r="CB34" i="21"/>
  <c r="CB57" i="21"/>
  <c r="CB58" i="21" s="1"/>
  <c r="CB31" i="21"/>
  <c r="CB44" i="21"/>
  <c r="CA59" i="21"/>
  <c r="CA41" i="21"/>
  <c r="CA54" i="21" s="1"/>
  <c r="M99" i="25"/>
  <c r="K113" i="25"/>
  <c r="K116" i="25" s="1"/>
  <c r="K118" i="25" s="1"/>
  <c r="K122" i="25" s="1"/>
  <c r="L99" i="25"/>
  <c r="L103" i="25" s="1"/>
  <c r="N94" i="25"/>
  <c r="O91" i="25" s="1"/>
  <c r="CH45" i="19" l="1"/>
  <c r="CH96" i="19"/>
  <c r="CH97" i="19" s="1"/>
  <c r="BZ92" i="21"/>
  <c r="BZ89" i="21"/>
  <c r="CB81" i="21"/>
  <c r="CB82" i="21" s="1"/>
  <c r="CB35" i="21"/>
  <c r="CG54" i="19"/>
  <c r="CG55" i="19" s="1"/>
  <c r="CG84" i="19"/>
  <c r="CH80" i="19" s="1"/>
  <c r="CH81" i="19" s="1"/>
  <c r="CA60" i="21"/>
  <c r="M112" i="25"/>
  <c r="M103" i="25"/>
  <c r="L112" i="25"/>
  <c r="L113" i="25" s="1"/>
  <c r="L116" i="25" s="1"/>
  <c r="K120" i="25"/>
  <c r="K141" i="25" s="1"/>
  <c r="K143" i="25" s="1"/>
  <c r="N95" i="25"/>
  <c r="O86" i="25" s="1"/>
  <c r="N97" i="25"/>
  <c r="O88" i="25"/>
  <c r="O90" i="25" s="1"/>
  <c r="CB36" i="21" l="1"/>
  <c r="CG56" i="19"/>
  <c r="CG115" i="19" s="1"/>
  <c r="CC123" i="21" s="1"/>
  <c r="CG113" i="19"/>
  <c r="BZ93" i="21"/>
  <c r="BZ90" i="21"/>
  <c r="CH41" i="19"/>
  <c r="CH44" i="19"/>
  <c r="CA64" i="21"/>
  <c r="CA61" i="21"/>
  <c r="CB56" i="21" s="1"/>
  <c r="M113" i="25"/>
  <c r="M116" i="25" s="1"/>
  <c r="M114" i="25"/>
  <c r="M117" i="25" s="1"/>
  <c r="M121" i="25" s="1"/>
  <c r="M131" i="25" s="1"/>
  <c r="M133" i="25" s="1"/>
  <c r="L114" i="25"/>
  <c r="L117" i="25" s="1"/>
  <c r="L121" i="25" s="1"/>
  <c r="L131" i="25" s="1"/>
  <c r="L133" i="25" s="1"/>
  <c r="O94" i="25"/>
  <c r="P91" i="25" s="1"/>
  <c r="N98" i="25"/>
  <c r="N102" i="25" s="1"/>
  <c r="N101" i="25"/>
  <c r="L120" i="25"/>
  <c r="L141" i="25" s="1"/>
  <c r="L143" i="25" s="1"/>
  <c r="CB39" i="21" l="1"/>
  <c r="CB37" i="21"/>
  <c r="CC33" i="21" s="1"/>
  <c r="BZ94" i="21"/>
  <c r="BZ103" i="21"/>
  <c r="CH88" i="19"/>
  <c r="CH61" i="19"/>
  <c r="CA68" i="21"/>
  <c r="CA63" i="21"/>
  <c r="CG117" i="19"/>
  <c r="CC23" i="21" s="1"/>
  <c r="M120" i="25"/>
  <c r="M141" i="25" s="1"/>
  <c r="M143" i="25" s="1"/>
  <c r="M118" i="25"/>
  <c r="M122" i="25" s="1"/>
  <c r="L118" i="25"/>
  <c r="L122" i="25" s="1"/>
  <c r="N99" i="25"/>
  <c r="N112" i="25" s="1"/>
  <c r="P88" i="25"/>
  <c r="P90" i="25" s="1"/>
  <c r="O97" i="25"/>
  <c r="O95" i="25"/>
  <c r="P86" i="25" s="1"/>
  <c r="CB83" i="21" l="1"/>
  <c r="CB40" i="21"/>
  <c r="CB43" i="21"/>
  <c r="CB45" i="21" s="1"/>
  <c r="BZ104" i="21"/>
  <c r="BZ107" i="21" s="1"/>
  <c r="BZ105" i="21"/>
  <c r="BZ108" i="21" s="1"/>
  <c r="BZ112" i="21" s="1"/>
  <c r="BZ122" i="21" s="1"/>
  <c r="BZ124" i="21" s="1"/>
  <c r="CH43" i="19"/>
  <c r="CH64" i="19" s="1"/>
  <c r="CH66" i="19" s="1"/>
  <c r="CH89" i="19"/>
  <c r="CA67" i="21"/>
  <c r="CA65" i="21"/>
  <c r="CA84" i="21"/>
  <c r="CC31" i="21"/>
  <c r="CC34" i="21"/>
  <c r="CC57" i="21"/>
  <c r="CC58" i="21" s="1"/>
  <c r="CC44" i="21"/>
  <c r="N103" i="25"/>
  <c r="O101" i="25"/>
  <c r="O98" i="25"/>
  <c r="P94" i="25"/>
  <c r="Q91" i="25" s="1"/>
  <c r="N114" i="25"/>
  <c r="N117" i="25" s="1"/>
  <c r="N121" i="25" s="1"/>
  <c r="N131" i="25" s="1"/>
  <c r="N133" i="25" s="1"/>
  <c r="N113" i="25"/>
  <c r="N116" i="25" s="1"/>
  <c r="CB41" i="21" l="1"/>
  <c r="CB54" i="21" s="1"/>
  <c r="CB59" i="21"/>
  <c r="BZ111" i="21"/>
  <c r="BZ109" i="21"/>
  <c r="BZ113" i="21" s="1"/>
  <c r="CA78" i="21"/>
  <c r="CA69" i="21"/>
  <c r="CC81" i="21"/>
  <c r="CC82" i="21" s="1"/>
  <c r="CC35" i="21"/>
  <c r="CH46" i="19"/>
  <c r="CH83" i="19" s="1"/>
  <c r="CH90" i="19"/>
  <c r="CI87" i="19" s="1"/>
  <c r="P95" i="25"/>
  <c r="Q86" i="25" s="1"/>
  <c r="Q88" i="25"/>
  <c r="Q90" i="25" s="1"/>
  <c r="P97" i="25"/>
  <c r="N120" i="25"/>
  <c r="N141" i="25" s="1"/>
  <c r="N143" i="25" s="1"/>
  <c r="N118" i="25"/>
  <c r="N122" i="25" s="1"/>
  <c r="O102" i="25"/>
  <c r="O99" i="25"/>
  <c r="CB60" i="21" l="1"/>
  <c r="CA85" i="21"/>
  <c r="CH54" i="19"/>
  <c r="CH55" i="19" s="1"/>
  <c r="CH84" i="19"/>
  <c r="CI80" i="19" s="1"/>
  <c r="CI81" i="19" s="1"/>
  <c r="CI96" i="19"/>
  <c r="CI45" i="19"/>
  <c r="CC36" i="21"/>
  <c r="O103" i="25"/>
  <c r="O112" i="25"/>
  <c r="P98" i="25"/>
  <c r="P101" i="25"/>
  <c r="Q94" i="25"/>
  <c r="R91" i="25" s="1"/>
  <c r="CB64" i="21" l="1"/>
  <c r="CB61" i="21"/>
  <c r="CC56" i="21" s="1"/>
  <c r="CA86" i="21"/>
  <c r="CB80" i="21" s="1"/>
  <c r="CA88" i="21"/>
  <c r="CH113" i="19"/>
  <c r="CH56" i="19"/>
  <c r="CH115" i="19" s="1"/>
  <c r="CD123" i="21" s="1"/>
  <c r="CI97" i="19"/>
  <c r="CC39" i="21"/>
  <c r="CC37" i="21"/>
  <c r="CD33" i="21" s="1"/>
  <c r="P102" i="25"/>
  <c r="P99" i="25"/>
  <c r="Q97" i="25"/>
  <c r="R88" i="25"/>
  <c r="R90" i="25" s="1"/>
  <c r="Q95" i="25"/>
  <c r="R86" i="25" s="1"/>
  <c r="O113" i="25"/>
  <c r="O116" i="25" s="1"/>
  <c r="O114" i="25"/>
  <c r="O117" i="25" s="1"/>
  <c r="O121" i="25" s="1"/>
  <c r="O131" i="25" s="1"/>
  <c r="O133" i="25" s="1"/>
  <c r="CB63" i="21" l="1"/>
  <c r="CB68" i="21"/>
  <c r="CA92" i="21"/>
  <c r="CA89" i="21"/>
  <c r="CC43" i="21"/>
  <c r="CC45" i="21" s="1"/>
  <c r="CC83" i="21"/>
  <c r="CC40" i="21"/>
  <c r="CH117" i="19"/>
  <c r="CD23" i="21" s="1"/>
  <c r="CI41" i="19"/>
  <c r="CI44" i="19"/>
  <c r="O120" i="25"/>
  <c r="O141" i="25" s="1"/>
  <c r="O143" i="25" s="1"/>
  <c r="O118" i="25"/>
  <c r="O122" i="25" s="1"/>
  <c r="P103" i="25"/>
  <c r="P112" i="25"/>
  <c r="R94" i="25"/>
  <c r="S91" i="25" s="1"/>
  <c r="Q98" i="25"/>
  <c r="Q102" i="25" s="1"/>
  <c r="Q101" i="25"/>
  <c r="CB65" i="21" l="1"/>
  <c r="CB67" i="21"/>
  <c r="CB84" i="21"/>
  <c r="CC59" i="21"/>
  <c r="CC41" i="21"/>
  <c r="CC54" i="21" s="1"/>
  <c r="CD34" i="21"/>
  <c r="CD31" i="21"/>
  <c r="CD57" i="21"/>
  <c r="CD58" i="21" s="1"/>
  <c r="CD44" i="21"/>
  <c r="CI88" i="19"/>
  <c r="CI61" i="19"/>
  <c r="CA93" i="21"/>
  <c r="CA90" i="21"/>
  <c r="P113" i="25"/>
  <c r="P116" i="25" s="1"/>
  <c r="P114" i="25"/>
  <c r="P117" i="25" s="1"/>
  <c r="P121" i="25" s="1"/>
  <c r="P131" i="25" s="1"/>
  <c r="P133" i="25" s="1"/>
  <c r="S88" i="25"/>
  <c r="S90" i="25" s="1"/>
  <c r="R97" i="25"/>
  <c r="R95" i="25"/>
  <c r="S86" i="25" s="1"/>
  <c r="Q99" i="25"/>
  <c r="CC60" i="21" l="1"/>
  <c r="CB69" i="21"/>
  <c r="CB78" i="21"/>
  <c r="CB85" i="21" s="1"/>
  <c r="CD35" i="21"/>
  <c r="CD36" i="21" s="1"/>
  <c r="CD39" i="21" s="1"/>
  <c r="CD81" i="21"/>
  <c r="CD82" i="21" s="1"/>
  <c r="CI43" i="19"/>
  <c r="CI64" i="19" s="1"/>
  <c r="CI66" i="19" s="1"/>
  <c r="CI89" i="19"/>
  <c r="CA94" i="21"/>
  <c r="CA103" i="21"/>
  <c r="R101" i="25"/>
  <c r="R98" i="25"/>
  <c r="Q112" i="25"/>
  <c r="Q103" i="25"/>
  <c r="S94" i="25"/>
  <c r="T91" i="25" s="1"/>
  <c r="P118" i="25"/>
  <c r="P122" i="25" s="1"/>
  <c r="P120" i="25"/>
  <c r="P141" i="25" s="1"/>
  <c r="P143" i="25" s="1"/>
  <c r="CC64" i="21" l="1"/>
  <c r="CC61" i="21"/>
  <c r="CD56" i="21" s="1"/>
  <c r="CB86" i="21"/>
  <c r="CC80" i="21" s="1"/>
  <c r="CB88" i="21"/>
  <c r="CA105" i="21"/>
  <c r="CA108" i="21" s="1"/>
  <c r="CA112" i="21" s="1"/>
  <c r="CA122" i="21" s="1"/>
  <c r="CA124" i="21" s="1"/>
  <c r="CA104" i="21"/>
  <c r="CA107" i="21" s="1"/>
  <c r="CD37" i="21"/>
  <c r="CE33" i="21" s="1"/>
  <c r="CD43" i="21"/>
  <c r="CD45" i="21" s="1"/>
  <c r="CD83" i="21"/>
  <c r="CD40" i="21"/>
  <c r="CI46" i="19"/>
  <c r="CI83" i="19" s="1"/>
  <c r="CI90" i="19"/>
  <c r="CJ87" i="19" s="1"/>
  <c r="S97" i="25"/>
  <c r="T88" i="25"/>
  <c r="T90" i="25" s="1"/>
  <c r="S95" i="25"/>
  <c r="T86" i="25" s="1"/>
  <c r="Q113" i="25"/>
  <c r="Q116" i="25" s="1"/>
  <c r="Q114" i="25"/>
  <c r="Q117" i="25" s="1"/>
  <c r="Q121" i="25" s="1"/>
  <c r="Q131" i="25" s="1"/>
  <c r="Q133" i="25" s="1"/>
  <c r="R102" i="25"/>
  <c r="R99" i="25"/>
  <c r="CB89" i="21" l="1"/>
  <c r="CB92" i="21"/>
  <c r="CC68" i="21"/>
  <c r="CC63" i="21"/>
  <c r="CA109" i="21"/>
  <c r="CA113" i="21" s="1"/>
  <c r="CA111" i="21"/>
  <c r="CI84" i="19"/>
  <c r="CJ80" i="19" s="1"/>
  <c r="CJ81" i="19" s="1"/>
  <c r="CI54" i="19"/>
  <c r="CI55" i="19" s="1"/>
  <c r="CJ45" i="19"/>
  <c r="CJ96" i="19"/>
  <c r="CD59" i="21"/>
  <c r="CD41" i="21"/>
  <c r="CD54" i="21" s="1"/>
  <c r="Q118" i="25"/>
  <c r="Q122" i="25" s="1"/>
  <c r="Q120" i="25"/>
  <c r="Q141" i="25" s="1"/>
  <c r="Q143" i="25" s="1"/>
  <c r="R103" i="25"/>
  <c r="R112" i="25"/>
  <c r="T94" i="25"/>
  <c r="U91" i="25" s="1"/>
  <c r="S101" i="25"/>
  <c r="S98" i="25"/>
  <c r="S102" i="25" s="1"/>
  <c r="CB93" i="21" l="1"/>
  <c r="CB90" i="21"/>
  <c r="CC84" i="21"/>
  <c r="CC65" i="21"/>
  <c r="CC67" i="21"/>
  <c r="CD60" i="21"/>
  <c r="CI113" i="19"/>
  <c r="CI56" i="19"/>
  <c r="CI115" i="19" s="1"/>
  <c r="CE123" i="21" s="1"/>
  <c r="CJ97" i="19"/>
  <c r="S99" i="25"/>
  <c r="T95" i="25"/>
  <c r="U86" i="25" s="1"/>
  <c r="T97" i="25"/>
  <c r="U88" i="25"/>
  <c r="U90" i="25" s="1"/>
  <c r="R114" i="25"/>
  <c r="R117" i="25" s="1"/>
  <c r="R121" i="25" s="1"/>
  <c r="R131" i="25" s="1"/>
  <c r="R133" i="25" s="1"/>
  <c r="R113" i="25"/>
  <c r="R116" i="25" s="1"/>
  <c r="CB94" i="21" l="1"/>
  <c r="CB103" i="21"/>
  <c r="CC69" i="21"/>
  <c r="CC78" i="21"/>
  <c r="CC85" i="21" s="1"/>
  <c r="CD61" i="21"/>
  <c r="CE56" i="21" s="1"/>
  <c r="CD64" i="21"/>
  <c r="CJ41" i="19"/>
  <c r="CJ44" i="19"/>
  <c r="CI117" i="19"/>
  <c r="CE23" i="21" s="1"/>
  <c r="R120" i="25"/>
  <c r="R141" i="25" s="1"/>
  <c r="R143" i="25" s="1"/>
  <c r="R118" i="25"/>
  <c r="R122" i="25" s="1"/>
  <c r="U94" i="25"/>
  <c r="V91" i="25" s="1"/>
  <c r="T98" i="25"/>
  <c r="T101" i="25"/>
  <c r="S112" i="25"/>
  <c r="S103" i="25"/>
  <c r="CB104" i="21" l="1"/>
  <c r="CB107" i="21" s="1"/>
  <c r="CB111" i="21" s="1"/>
  <c r="CB105" i="21"/>
  <c r="CB108" i="21" s="1"/>
  <c r="CB112" i="21" s="1"/>
  <c r="CB122" i="21" s="1"/>
  <c r="CB124" i="21" s="1"/>
  <c r="CC86" i="21"/>
  <c r="CD80" i="21" s="1"/>
  <c r="CC88" i="21"/>
  <c r="CD68" i="21"/>
  <c r="CD63" i="21"/>
  <c r="CD65" i="21" s="1"/>
  <c r="CJ88" i="19"/>
  <c r="CJ61" i="19"/>
  <c r="CE34" i="21"/>
  <c r="CE31" i="21"/>
  <c r="CE57" i="21"/>
  <c r="CE58" i="21" s="1"/>
  <c r="CE44" i="21"/>
  <c r="U97" i="25"/>
  <c r="U95" i="25"/>
  <c r="V86" i="25" s="1"/>
  <c r="V88" i="25"/>
  <c r="V90" i="25" s="1"/>
  <c r="S114" i="25"/>
  <c r="S117" i="25" s="1"/>
  <c r="S121" i="25" s="1"/>
  <c r="S131" i="25" s="1"/>
  <c r="S133" i="25" s="1"/>
  <c r="S113" i="25"/>
  <c r="S116" i="25" s="1"/>
  <c r="T102" i="25"/>
  <c r="T99" i="25"/>
  <c r="CB109" i="21" l="1"/>
  <c r="CB113" i="21" s="1"/>
  <c r="CC89" i="21"/>
  <c r="CC92" i="21"/>
  <c r="CD84" i="21"/>
  <c r="CD67" i="21"/>
  <c r="CJ43" i="19"/>
  <c r="CJ64" i="19" s="1"/>
  <c r="CJ66" i="19" s="1"/>
  <c r="CJ89" i="19"/>
  <c r="CE81" i="21"/>
  <c r="CE82" i="21" s="1"/>
  <c r="CE35" i="21"/>
  <c r="CE36" i="21" s="1"/>
  <c r="CD78" i="21"/>
  <c r="CD69" i="21"/>
  <c r="S120" i="25"/>
  <c r="S141" i="25" s="1"/>
  <c r="S143" i="25" s="1"/>
  <c r="S118" i="25"/>
  <c r="S122" i="25" s="1"/>
  <c r="T103" i="25"/>
  <c r="T112" i="25"/>
  <c r="V94" i="25"/>
  <c r="W91" i="25" s="1"/>
  <c r="U101" i="25"/>
  <c r="U98" i="25"/>
  <c r="CC93" i="21" l="1"/>
  <c r="CC90" i="21"/>
  <c r="CD85" i="21"/>
  <c r="CJ46" i="19"/>
  <c r="CJ83" i="19" s="1"/>
  <c r="CJ90" i="19"/>
  <c r="CK87" i="19" s="1"/>
  <c r="CE39" i="21"/>
  <c r="CE37" i="21"/>
  <c r="CF33" i="21" s="1"/>
  <c r="U102" i="25"/>
  <c r="U99" i="25"/>
  <c r="T113" i="25"/>
  <c r="T116" i="25" s="1"/>
  <c r="T114" i="25"/>
  <c r="T117" i="25" s="1"/>
  <c r="T121" i="25" s="1"/>
  <c r="T131" i="25" s="1"/>
  <c r="T133" i="25" s="1"/>
  <c r="V95" i="25"/>
  <c r="W86" i="25" s="1"/>
  <c r="V97" i="25"/>
  <c r="W88" i="25"/>
  <c r="W90" i="25" s="1"/>
  <c r="CC94" i="21" l="1"/>
  <c r="CC103" i="21"/>
  <c r="CD86" i="21"/>
  <c r="CE80" i="21" s="1"/>
  <c r="CD88" i="21"/>
  <c r="CK45" i="19"/>
  <c r="CK96" i="19"/>
  <c r="CK97" i="19" s="1"/>
  <c r="CJ54" i="19"/>
  <c r="CJ55" i="19" s="1"/>
  <c r="CJ84" i="19"/>
  <c r="CK80" i="19" s="1"/>
  <c r="CK81" i="19" s="1"/>
  <c r="CE40" i="21"/>
  <c r="CE83" i="21"/>
  <c r="CE43" i="21"/>
  <c r="CE45" i="21" s="1"/>
  <c r="V101" i="25"/>
  <c r="V98" i="25"/>
  <c r="T118" i="25"/>
  <c r="T122" i="25" s="1"/>
  <c r="T120" i="25"/>
  <c r="T141" i="25" s="1"/>
  <c r="T143" i="25" s="1"/>
  <c r="W94" i="25"/>
  <c r="X91" i="25" s="1"/>
  <c r="U103" i="25"/>
  <c r="U112" i="25"/>
  <c r="CC104" i="21" l="1"/>
  <c r="CC107" i="21" s="1"/>
  <c r="CC111" i="21" s="1"/>
  <c r="CC105" i="21"/>
  <c r="CC108" i="21" s="1"/>
  <c r="CD92" i="21"/>
  <c r="CD89" i="21"/>
  <c r="CJ113" i="19"/>
  <c r="CJ56" i="19"/>
  <c r="CJ115" i="19" s="1"/>
  <c r="CK41" i="19"/>
  <c r="CK44" i="19"/>
  <c r="CE59" i="21"/>
  <c r="CE41" i="21"/>
  <c r="CE54" i="21" s="1"/>
  <c r="X88" i="25"/>
  <c r="X90" i="25" s="1"/>
  <c r="W97" i="25"/>
  <c r="W95" i="25"/>
  <c r="X86" i="25" s="1"/>
  <c r="U114" i="25"/>
  <c r="U117" i="25" s="1"/>
  <c r="U121" i="25" s="1"/>
  <c r="U131" i="25" s="1"/>
  <c r="U133" i="25" s="1"/>
  <c r="U113" i="25"/>
  <c r="U116" i="25" s="1"/>
  <c r="V102" i="25"/>
  <c r="V99" i="25"/>
  <c r="CC112" i="21" l="1"/>
  <c r="CC122" i="21" s="1"/>
  <c r="CC124" i="21" s="1"/>
  <c r="CC109" i="21"/>
  <c r="CC113" i="21" s="1"/>
  <c r="CD93" i="21"/>
  <c r="CD90" i="21"/>
  <c r="CF123" i="21"/>
  <c r="CJ117" i="19"/>
  <c r="CF23" i="21" s="1"/>
  <c r="CF31" i="21" s="1"/>
  <c r="CE60" i="21"/>
  <c r="CK88" i="19"/>
  <c r="CK61" i="19"/>
  <c r="U118" i="25"/>
  <c r="U122" i="25" s="1"/>
  <c r="U120" i="25"/>
  <c r="U141" i="25" s="1"/>
  <c r="U143" i="25" s="1"/>
  <c r="W98" i="25"/>
  <c r="W101" i="25"/>
  <c r="V112" i="25"/>
  <c r="V103" i="25"/>
  <c r="X94" i="25"/>
  <c r="Y91" i="25" s="1"/>
  <c r="CD94" i="21" l="1"/>
  <c r="CD103" i="21"/>
  <c r="CF44" i="21"/>
  <c r="CF34" i="21"/>
  <c r="CF57" i="21"/>
  <c r="CF58" i="21" s="1"/>
  <c r="CE61" i="21"/>
  <c r="CF56" i="21" s="1"/>
  <c r="CE64" i="21"/>
  <c r="CK43" i="19"/>
  <c r="CK64" i="19" s="1"/>
  <c r="CK66" i="19" s="1"/>
  <c r="CK89" i="19"/>
  <c r="X97" i="25"/>
  <c r="Y88" i="25"/>
  <c r="Y90" i="25" s="1"/>
  <c r="V113" i="25"/>
  <c r="V116" i="25" s="1"/>
  <c r="V114" i="25"/>
  <c r="V117" i="25" s="1"/>
  <c r="V121" i="25" s="1"/>
  <c r="V131" i="25" s="1"/>
  <c r="V133" i="25" s="1"/>
  <c r="W102" i="25"/>
  <c r="W99" i="25"/>
  <c r="X95" i="25"/>
  <c r="Y86" i="25" s="1"/>
  <c r="CD104" i="21" l="1"/>
  <c r="CD107" i="21" s="1"/>
  <c r="CD111" i="21" s="1"/>
  <c r="CD105" i="21"/>
  <c r="CD108" i="21" s="1"/>
  <c r="CF81" i="21"/>
  <c r="CF82" i="21" s="1"/>
  <c r="CF35" i="21"/>
  <c r="CF36" i="21" s="1"/>
  <c r="CE63" i="21"/>
  <c r="CE67" i="21" s="1"/>
  <c r="CE68" i="21"/>
  <c r="CK46" i="19"/>
  <c r="CK83" i="19" s="1"/>
  <c r="CK90" i="19"/>
  <c r="CL87" i="19" s="1"/>
  <c r="W103" i="25"/>
  <c r="W112" i="25"/>
  <c r="Y94" i="25"/>
  <c r="Z91" i="25" s="1"/>
  <c r="V120" i="25"/>
  <c r="V141" i="25" s="1"/>
  <c r="V143" i="25" s="1"/>
  <c r="V118" i="25"/>
  <c r="V122" i="25" s="1"/>
  <c r="X98" i="25"/>
  <c r="X102" i="25" s="1"/>
  <c r="X101" i="25"/>
  <c r="CD112" i="21" l="1"/>
  <c r="CD122" i="21" s="1"/>
  <c r="CD124" i="21" s="1"/>
  <c r="CD109" i="21"/>
  <c r="CD113" i="21" s="1"/>
  <c r="CE84" i="21"/>
  <c r="CE65" i="21"/>
  <c r="CK54" i="19"/>
  <c r="CK55" i="19" s="1"/>
  <c r="CK84" i="19"/>
  <c r="CL80" i="19" s="1"/>
  <c r="CL81" i="19" s="1"/>
  <c r="CL96" i="19"/>
  <c r="CL45" i="19"/>
  <c r="CF39" i="21"/>
  <c r="CF37" i="21"/>
  <c r="CG33" i="21" s="1"/>
  <c r="Y95" i="25"/>
  <c r="Z86" i="25" s="1"/>
  <c r="X99" i="25"/>
  <c r="Z88" i="25"/>
  <c r="Z90" i="25" s="1"/>
  <c r="Y97" i="25"/>
  <c r="W113" i="25"/>
  <c r="W116" i="25" s="1"/>
  <c r="W114" i="25"/>
  <c r="W117" i="25" s="1"/>
  <c r="W121" i="25" s="1"/>
  <c r="W131" i="25" s="1"/>
  <c r="W133" i="25" s="1"/>
  <c r="CE69" i="21" l="1"/>
  <c r="CE78" i="21"/>
  <c r="CE85" i="21" s="1"/>
  <c r="CK113" i="19"/>
  <c r="CK56" i="19"/>
  <c r="CK115" i="19" s="1"/>
  <c r="CG123" i="21" s="1"/>
  <c r="CL97" i="19"/>
  <c r="CF83" i="21"/>
  <c r="CF40" i="21"/>
  <c r="CF43" i="21"/>
  <c r="CF45" i="21" s="1"/>
  <c r="Y98" i="25"/>
  <c r="Y101" i="25"/>
  <c r="W120" i="25"/>
  <c r="W141" i="25" s="1"/>
  <c r="W143" i="25" s="1"/>
  <c r="W118" i="25"/>
  <c r="W122" i="25" s="1"/>
  <c r="X103" i="25"/>
  <c r="X112" i="25"/>
  <c r="Z94" i="25"/>
  <c r="AA91" i="25" s="1"/>
  <c r="CE88" i="21" l="1"/>
  <c r="CE86" i="21"/>
  <c r="CF80" i="21" s="1"/>
  <c r="CF59" i="21"/>
  <c r="CF41" i="21"/>
  <c r="CF54" i="21" s="1"/>
  <c r="CK117" i="19"/>
  <c r="CG23" i="21" s="1"/>
  <c r="CL41" i="19"/>
  <c r="CL44" i="19"/>
  <c r="X113" i="25"/>
  <c r="X116" i="25" s="1"/>
  <c r="X114" i="25"/>
  <c r="X117" i="25" s="1"/>
  <c r="X121" i="25" s="1"/>
  <c r="X131" i="25" s="1"/>
  <c r="X133" i="25" s="1"/>
  <c r="Z95" i="25"/>
  <c r="AA86" i="25" s="1"/>
  <c r="AA88" i="25"/>
  <c r="AA90" i="25" s="1"/>
  <c r="Z97" i="25"/>
  <c r="Y102" i="25"/>
  <c r="Y99" i="25"/>
  <c r="CF60" i="21" l="1"/>
  <c r="CE92" i="21"/>
  <c r="CE89" i="21"/>
  <c r="CG57" i="21"/>
  <c r="CG58" i="21" s="1"/>
  <c r="CG31" i="21"/>
  <c r="CG34" i="21"/>
  <c r="CG44" i="21"/>
  <c r="CL61" i="19"/>
  <c r="CL88" i="19"/>
  <c r="Y103" i="25"/>
  <c r="Y112" i="25"/>
  <c r="AA94" i="25"/>
  <c r="AB91" i="25" s="1"/>
  <c r="Z101" i="25"/>
  <c r="Z98" i="25"/>
  <c r="Z102" i="25" s="1"/>
  <c r="X118" i="25"/>
  <c r="X122" i="25" s="1"/>
  <c r="X120" i="25"/>
  <c r="X141" i="25" s="1"/>
  <c r="X143" i="25" s="1"/>
  <c r="CE90" i="21" l="1"/>
  <c r="CE93" i="21"/>
  <c r="CF61" i="21"/>
  <c r="CG56" i="21" s="1"/>
  <c r="CF64" i="21"/>
  <c r="CG35" i="21"/>
  <c r="CG36" i="21" s="1"/>
  <c r="CG81" i="21"/>
  <c r="CG82" i="21" s="1"/>
  <c r="CL43" i="19"/>
  <c r="CL64" i="19" s="1"/>
  <c r="CL66" i="19" s="1"/>
  <c r="CL89" i="19"/>
  <c r="Z99" i="25"/>
  <c r="AA97" i="25"/>
  <c r="AB88" i="25"/>
  <c r="AB90" i="25" s="1"/>
  <c r="AA95" i="25"/>
  <c r="AB86" i="25" s="1"/>
  <c r="Y114" i="25"/>
  <c r="Y117" i="25" s="1"/>
  <c r="Y121" i="25" s="1"/>
  <c r="Y131" i="25" s="1"/>
  <c r="Y133" i="25" s="1"/>
  <c r="Y113" i="25"/>
  <c r="Y116" i="25" s="1"/>
  <c r="CE103" i="21" l="1"/>
  <c r="CE94" i="21"/>
  <c r="CF63" i="21"/>
  <c r="CF68" i="21"/>
  <c r="CG39" i="21"/>
  <c r="CG43" i="21" s="1"/>
  <c r="CG45" i="21" s="1"/>
  <c r="CG37" i="21"/>
  <c r="CH33" i="21" s="1"/>
  <c r="CL46" i="19"/>
  <c r="CL83" i="19" s="1"/>
  <c r="CL90" i="19"/>
  <c r="CM87" i="19" s="1"/>
  <c r="AA98" i="25"/>
  <c r="AA102" i="25" s="1"/>
  <c r="AA101" i="25"/>
  <c r="Y118" i="25"/>
  <c r="Y122" i="25" s="1"/>
  <c r="Y120" i="25"/>
  <c r="Y141" i="25" s="1"/>
  <c r="Y143" i="25" s="1"/>
  <c r="AB94" i="25"/>
  <c r="AB95" i="25" s="1"/>
  <c r="AC86" i="25" s="1"/>
  <c r="Z112" i="25"/>
  <c r="Z103" i="25"/>
  <c r="CE105" i="21" l="1"/>
  <c r="CE108" i="21" s="1"/>
  <c r="CE112" i="21" s="1"/>
  <c r="CE122" i="21" s="1"/>
  <c r="CE124" i="21" s="1"/>
  <c r="CE104" i="21"/>
  <c r="CE107" i="21" s="1"/>
  <c r="CF84" i="21"/>
  <c r="CF67" i="21"/>
  <c r="CF65" i="21"/>
  <c r="CG83" i="21"/>
  <c r="CG40" i="21"/>
  <c r="CL54" i="19"/>
  <c r="CL55" i="19" s="1"/>
  <c r="CL84" i="19"/>
  <c r="CM80" i="19" s="1"/>
  <c r="CM81" i="19" s="1"/>
  <c r="CM96" i="19"/>
  <c r="CM45" i="19"/>
  <c r="AA99" i="25"/>
  <c r="AA103" i="25" s="1"/>
  <c r="AB97" i="25"/>
  <c r="AC91" i="25"/>
  <c r="Z114" i="25"/>
  <c r="Z117" i="25" s="1"/>
  <c r="Z121" i="25" s="1"/>
  <c r="Z131" i="25" s="1"/>
  <c r="Z133" i="25" s="1"/>
  <c r="Z113" i="25"/>
  <c r="Z116" i="25" s="1"/>
  <c r="AC88" i="25"/>
  <c r="AC90" i="25" s="1"/>
  <c r="CE111" i="21" l="1"/>
  <c r="CE109" i="21"/>
  <c r="CE113" i="21" s="1"/>
  <c r="CF69" i="21"/>
  <c r="CF78" i="21"/>
  <c r="CF85" i="21" s="1"/>
  <c r="CG59" i="21"/>
  <c r="CG41" i="21"/>
  <c r="CG54" i="21" s="1"/>
  <c r="CG60" i="21" s="1"/>
  <c r="CL113" i="19"/>
  <c r="CL56" i="19"/>
  <c r="CL115" i="19" s="1"/>
  <c r="CH123" i="21" s="1"/>
  <c r="CM97" i="19"/>
  <c r="AB101" i="25"/>
  <c r="AB98" i="25"/>
  <c r="AA112" i="25"/>
  <c r="AA113" i="25" s="1"/>
  <c r="AA116" i="25" s="1"/>
  <c r="AC94" i="25"/>
  <c r="AC97" i="25" s="1"/>
  <c r="Z118" i="25"/>
  <c r="Z122" i="25" s="1"/>
  <c r="Z120" i="25"/>
  <c r="Z141" i="25" s="1"/>
  <c r="Z143" i="25" s="1"/>
  <c r="CF88" i="21" l="1"/>
  <c r="CF86" i="21"/>
  <c r="CG80" i="21" s="1"/>
  <c r="CL117" i="19"/>
  <c r="CH23" i="21" s="1"/>
  <c r="CM41" i="19"/>
  <c r="CM44" i="19"/>
  <c r="CG64" i="21"/>
  <c r="CG61" i="21"/>
  <c r="CH56" i="21" s="1"/>
  <c r="AB102" i="25"/>
  <c r="AB99" i="25"/>
  <c r="AA114" i="25"/>
  <c r="AA117" i="25" s="1"/>
  <c r="AA121" i="25" s="1"/>
  <c r="AA131" i="25" s="1"/>
  <c r="AA133" i="25" s="1"/>
  <c r="AC95" i="25"/>
  <c r="AD86" i="25" s="1"/>
  <c r="AD91" i="25"/>
  <c r="AA120" i="25"/>
  <c r="AA141" i="25" s="1"/>
  <c r="AA143" i="25" s="1"/>
  <c r="AD88" i="25"/>
  <c r="AD90" i="25" s="1"/>
  <c r="AC101" i="25"/>
  <c r="AC98" i="25"/>
  <c r="AC102" i="25" s="1"/>
  <c r="CF89" i="21" l="1"/>
  <c r="CF92" i="21"/>
  <c r="CH44" i="21"/>
  <c r="CH57" i="21"/>
  <c r="CH58" i="21" s="1"/>
  <c r="CH34" i="21"/>
  <c r="CH31" i="21"/>
  <c r="CM88" i="19"/>
  <c r="CM61" i="19"/>
  <c r="CG63" i="21"/>
  <c r="CG68" i="21"/>
  <c r="AB103" i="25"/>
  <c r="AB112" i="25"/>
  <c r="AA118" i="25"/>
  <c r="AA122" i="25" s="1"/>
  <c r="AC99" i="25"/>
  <c r="AC103" i="25" s="1"/>
  <c r="AD94" i="25"/>
  <c r="AE91" i="25" s="1"/>
  <c r="CF93" i="21" l="1"/>
  <c r="CF90" i="21"/>
  <c r="CH35" i="21"/>
  <c r="CH81" i="21"/>
  <c r="CH82" i="21" s="1"/>
  <c r="CM43" i="19"/>
  <c r="CM64" i="19" s="1"/>
  <c r="CM66" i="19" s="1"/>
  <c r="CM89" i="19"/>
  <c r="CG65" i="21"/>
  <c r="CG67" i="21"/>
  <c r="CG84" i="21"/>
  <c r="AB113" i="25"/>
  <c r="AB116" i="25" s="1"/>
  <c r="AB120" i="25" s="1"/>
  <c r="AB141" i="25" s="1"/>
  <c r="AB143" i="25" s="1"/>
  <c r="AB114" i="25"/>
  <c r="AB117" i="25" s="1"/>
  <c r="AC112" i="25"/>
  <c r="AC113" i="25" s="1"/>
  <c r="AC116" i="25" s="1"/>
  <c r="AE88" i="25"/>
  <c r="AE90" i="25" s="1"/>
  <c r="AD97" i="25"/>
  <c r="AD95" i="25"/>
  <c r="AE86" i="25" s="1"/>
  <c r="CF103" i="21" l="1"/>
  <c r="CF94" i="21"/>
  <c r="CH36" i="21"/>
  <c r="CM46" i="19"/>
  <c r="CM83" i="19" s="1"/>
  <c r="CM90" i="19"/>
  <c r="CN87" i="19" s="1"/>
  <c r="CG78" i="21"/>
  <c r="CG85" i="21" s="1"/>
  <c r="CG69" i="21"/>
  <c r="AB121" i="25"/>
  <c r="AB131" i="25" s="1"/>
  <c r="AB133" i="25" s="1"/>
  <c r="AB118" i="25"/>
  <c r="AB122" i="25" s="1"/>
  <c r="AC114" i="25"/>
  <c r="AC117" i="25" s="1"/>
  <c r="AC121" i="25" s="1"/>
  <c r="AC131" i="25" s="1"/>
  <c r="AC133" i="25" s="1"/>
  <c r="AC120" i="25"/>
  <c r="AC141" i="25" s="1"/>
  <c r="AC143" i="25" s="1"/>
  <c r="AD101" i="25"/>
  <c r="AD98" i="25"/>
  <c r="AD102" i="25" s="1"/>
  <c r="AE94" i="25"/>
  <c r="CF105" i="21" l="1"/>
  <c r="CF108" i="21" s="1"/>
  <c r="CF104" i="21"/>
  <c r="CF107" i="21" s="1"/>
  <c r="CF111" i="21" s="1"/>
  <c r="CH39" i="21"/>
  <c r="CH37" i="21"/>
  <c r="CI33" i="21" s="1"/>
  <c r="CM84" i="19"/>
  <c r="CN80" i="19" s="1"/>
  <c r="CN81" i="19" s="1"/>
  <c r="CM54" i="19"/>
  <c r="CM55" i="19" s="1"/>
  <c r="CN96" i="19"/>
  <c r="CN45" i="19"/>
  <c r="CG88" i="21"/>
  <c r="CG86" i="21"/>
  <c r="CH80" i="21" s="1"/>
  <c r="AC118" i="25"/>
  <c r="AC122" i="25" s="1"/>
  <c r="AD99" i="25"/>
  <c r="AD112" i="25" s="1"/>
  <c r="AE97" i="25"/>
  <c r="AE101" i="25" s="1"/>
  <c r="AF91" i="25"/>
  <c r="AE95" i="25"/>
  <c r="AF86" i="25" s="1"/>
  <c r="AF88" i="25"/>
  <c r="AF90" i="25" s="1"/>
  <c r="CF112" i="21" l="1"/>
  <c r="CF122" i="21" s="1"/>
  <c r="CF124" i="21" s="1"/>
  <c r="CF109" i="21"/>
  <c r="CF113" i="21" s="1"/>
  <c r="CH40" i="21"/>
  <c r="CH83" i="21"/>
  <c r="CH43" i="21"/>
  <c r="CH45" i="21" s="1"/>
  <c r="CM113" i="19"/>
  <c r="CM56" i="19"/>
  <c r="CM115" i="19" s="1"/>
  <c r="CI123" i="21" s="1"/>
  <c r="CN97" i="19"/>
  <c r="CG92" i="21"/>
  <c r="CG89" i="21"/>
  <c r="AE98" i="25"/>
  <c r="AE102" i="25" s="1"/>
  <c r="AD103" i="25"/>
  <c r="AD113" i="25"/>
  <c r="AD116" i="25" s="1"/>
  <c r="AD114" i="25"/>
  <c r="AD117" i="25" s="1"/>
  <c r="AD121" i="25" s="1"/>
  <c r="AD131" i="25" s="1"/>
  <c r="AD133" i="25" s="1"/>
  <c r="AF94" i="25"/>
  <c r="AG88" i="25" s="1"/>
  <c r="AG90" i="25" s="1"/>
  <c r="CH41" i="21" l="1"/>
  <c r="CH54" i="21" s="1"/>
  <c r="CH59" i="21"/>
  <c r="CM117" i="19"/>
  <c r="CI23" i="21" s="1"/>
  <c r="CN41" i="19"/>
  <c r="CN44" i="19"/>
  <c r="CG93" i="21"/>
  <c r="CG90" i="21"/>
  <c r="AE99" i="25"/>
  <c r="AG91" i="25"/>
  <c r="AD118" i="25"/>
  <c r="AD122" i="25" s="1"/>
  <c r="AD120" i="25"/>
  <c r="AD141" i="25" s="1"/>
  <c r="AD143" i="25" s="1"/>
  <c r="AF95" i="25"/>
  <c r="AG86" i="25" s="1"/>
  <c r="AF97" i="25"/>
  <c r="CH60" i="21" l="1"/>
  <c r="CI44" i="21"/>
  <c r="CI34" i="21"/>
  <c r="CI57" i="21"/>
  <c r="CI58" i="21" s="1"/>
  <c r="CI31" i="21"/>
  <c r="CN61" i="19"/>
  <c r="CN88" i="19"/>
  <c r="CG94" i="21"/>
  <c r="CG103" i="21"/>
  <c r="AE112" i="25"/>
  <c r="AE103" i="25"/>
  <c r="AF101" i="25"/>
  <c r="AF98" i="25"/>
  <c r="AF102" i="25" s="1"/>
  <c r="AG94" i="25"/>
  <c r="AH91" i="25" s="1"/>
  <c r="CH64" i="21" l="1"/>
  <c r="CH61" i="21"/>
  <c r="CI56" i="21" s="1"/>
  <c r="CI81" i="21"/>
  <c r="CI82" i="21" s="1"/>
  <c r="CI35" i="21"/>
  <c r="CN89" i="19"/>
  <c r="CN43" i="19"/>
  <c r="CG104" i="21"/>
  <c r="CG107" i="21" s="1"/>
  <c r="CG105" i="21"/>
  <c r="CG108" i="21" s="1"/>
  <c r="CG112" i="21" s="1"/>
  <c r="CG122" i="21" s="1"/>
  <c r="CG124" i="21" s="1"/>
  <c r="AE114" i="25"/>
  <c r="AE117" i="25" s="1"/>
  <c r="AE121" i="25" s="1"/>
  <c r="AE131" i="25" s="1"/>
  <c r="AE133" i="25" s="1"/>
  <c r="AE113" i="25"/>
  <c r="AE116" i="25" s="1"/>
  <c r="AH88" i="25"/>
  <c r="AH90" i="25" s="1"/>
  <c r="AG97" i="25"/>
  <c r="AG95" i="25"/>
  <c r="AH86" i="25" s="1"/>
  <c r="AF99" i="25"/>
  <c r="CH68" i="21" l="1"/>
  <c r="CH63" i="21"/>
  <c r="CN64" i="19"/>
  <c r="CN66" i="19" s="1"/>
  <c r="CI36" i="21"/>
  <c r="CN46" i="19"/>
  <c r="CN83" i="19" s="1"/>
  <c r="CN90" i="19"/>
  <c r="CO87" i="19" s="1"/>
  <c r="CG109" i="21"/>
  <c r="CG113" i="21" s="1"/>
  <c r="CG111" i="21"/>
  <c r="AE118" i="25"/>
  <c r="AE122" i="25" s="1"/>
  <c r="AE120" i="25"/>
  <c r="AE141" i="25" s="1"/>
  <c r="AE143" i="25" s="1"/>
  <c r="AF112" i="25"/>
  <c r="AF103" i="25"/>
  <c r="AG98" i="25"/>
  <c r="AG102" i="25" s="1"/>
  <c r="AG101" i="25"/>
  <c r="AH94" i="25"/>
  <c r="CH67" i="21" l="1"/>
  <c r="CH84" i="21"/>
  <c r="CH65" i="21"/>
  <c r="CI39" i="21"/>
  <c r="CI37" i="21"/>
  <c r="CJ33" i="21" s="1"/>
  <c r="CN54" i="19"/>
  <c r="CN55" i="19" s="1"/>
  <c r="CN84" i="19"/>
  <c r="CO80" i="19" s="1"/>
  <c r="CO81" i="19" s="1"/>
  <c r="B81" i="19" s="1"/>
  <c r="CO96" i="19"/>
  <c r="CO45" i="19"/>
  <c r="B45" i="19" s="1"/>
  <c r="AH97" i="25"/>
  <c r="AH98" i="25" s="1"/>
  <c r="AH102" i="25" s="1"/>
  <c r="AI91" i="25"/>
  <c r="AG99" i="25"/>
  <c r="AG112" i="25" s="1"/>
  <c r="AI88" i="25"/>
  <c r="AI90" i="25" s="1"/>
  <c r="AH95" i="25"/>
  <c r="AI86" i="25" s="1"/>
  <c r="AF113" i="25"/>
  <c r="AF116" i="25" s="1"/>
  <c r="AF114" i="25"/>
  <c r="AF117" i="25" s="1"/>
  <c r="AF121" i="25" s="1"/>
  <c r="AF131" i="25" s="1"/>
  <c r="AF133" i="25" s="1"/>
  <c r="CI83" i="21" l="1"/>
  <c r="CI40" i="21"/>
  <c r="CH69" i="21"/>
  <c r="CH78" i="21"/>
  <c r="CH85" i="21" s="1"/>
  <c r="CI43" i="21"/>
  <c r="CI45" i="21" s="1"/>
  <c r="CN113" i="19"/>
  <c r="CN56" i="19"/>
  <c r="CN115" i="19" s="1"/>
  <c r="CJ123" i="21" s="1"/>
  <c r="CO97" i="19"/>
  <c r="B96" i="19"/>
  <c r="AG103" i="25"/>
  <c r="AH101" i="25"/>
  <c r="AH99" i="25"/>
  <c r="AH103" i="25" s="1"/>
  <c r="AF118" i="25"/>
  <c r="AF122" i="25" s="1"/>
  <c r="AF120" i="25"/>
  <c r="AF141" i="25" s="1"/>
  <c r="AF143" i="25" s="1"/>
  <c r="AG114" i="25"/>
  <c r="AG117" i="25" s="1"/>
  <c r="AG121" i="25" s="1"/>
  <c r="AG131" i="25" s="1"/>
  <c r="AG133" i="25" s="1"/>
  <c r="AG113" i="25"/>
  <c r="AG116" i="25" s="1"/>
  <c r="AI94" i="25"/>
  <c r="AJ88" i="25" s="1"/>
  <c r="AJ90" i="25" s="1"/>
  <c r="CI59" i="21" l="1"/>
  <c r="CI41" i="21"/>
  <c r="CI54" i="21" s="1"/>
  <c r="CI60" i="21" s="1"/>
  <c r="CH86" i="21"/>
  <c r="CI80" i="21" s="1"/>
  <c r="CH88" i="21"/>
  <c r="CO41" i="19"/>
  <c r="B97" i="19"/>
  <c r="CO44" i="19"/>
  <c r="B44" i="19" s="1"/>
  <c r="CN117" i="19"/>
  <c r="CJ23" i="21" s="1"/>
  <c r="AH112" i="25"/>
  <c r="AH113" i="25" s="1"/>
  <c r="AH116" i="25" s="1"/>
  <c r="AJ91" i="25"/>
  <c r="AI95" i="25"/>
  <c r="AJ86" i="25" s="1"/>
  <c r="AI97" i="25"/>
  <c r="AG118" i="25"/>
  <c r="AG122" i="25" s="1"/>
  <c r="AG120" i="25"/>
  <c r="AG141" i="25" s="1"/>
  <c r="AG143" i="25" s="1"/>
  <c r="CI61" i="21" l="1"/>
  <c r="CJ56" i="21" s="1"/>
  <c r="CI64" i="21"/>
  <c r="CH89" i="21"/>
  <c r="CH92" i="21"/>
  <c r="CO61" i="19"/>
  <c r="CO88" i="19"/>
  <c r="B41" i="19"/>
  <c r="CJ31" i="21"/>
  <c r="CJ44" i="21"/>
  <c r="CJ34" i="21"/>
  <c r="CJ57" i="21"/>
  <c r="CJ58" i="21" s="1"/>
  <c r="AH114" i="25"/>
  <c r="AH117" i="25" s="1"/>
  <c r="AH121" i="25" s="1"/>
  <c r="AH131" i="25" s="1"/>
  <c r="AH133" i="25" s="1"/>
  <c r="AH120" i="25"/>
  <c r="AH141" i="25" s="1"/>
  <c r="AH143" i="25" s="1"/>
  <c r="AI98" i="25"/>
  <c r="AI102" i="25" s="1"/>
  <c r="AI101" i="25"/>
  <c r="AJ94" i="25"/>
  <c r="AK91" i="25" s="1"/>
  <c r="CI68" i="21" l="1"/>
  <c r="CI63" i="21"/>
  <c r="CI65" i="21" s="1"/>
  <c r="CH90" i="21"/>
  <c r="CH93" i="21"/>
  <c r="B61" i="19"/>
  <c r="B88" i="19"/>
  <c r="CO43" i="19"/>
  <c r="CO89" i="19"/>
  <c r="CO90" i="19" s="1"/>
  <c r="CJ81" i="21"/>
  <c r="CJ82" i="21" s="1"/>
  <c r="CJ35" i="21"/>
  <c r="CJ36" i="21" s="1"/>
  <c r="AH118" i="25"/>
  <c r="AH122" i="25" s="1"/>
  <c r="AI99" i="25"/>
  <c r="AI103" i="25" s="1"/>
  <c r="AJ97" i="25"/>
  <c r="AK88" i="25"/>
  <c r="AK90" i="25" s="1"/>
  <c r="AJ95" i="25"/>
  <c r="AK86" i="25" s="1"/>
  <c r="CI84" i="21" l="1"/>
  <c r="CI67" i="21"/>
  <c r="CH103" i="21"/>
  <c r="CH94" i="21"/>
  <c r="CJ39" i="21"/>
  <c r="CJ83" i="21" s="1"/>
  <c r="CJ37" i="21"/>
  <c r="CK33" i="21" s="1"/>
  <c r="CO64" i="19"/>
  <c r="B43" i="19"/>
  <c r="CO46" i="19"/>
  <c r="B89" i="19"/>
  <c r="CI69" i="21"/>
  <c r="CI78" i="21"/>
  <c r="AI112" i="25"/>
  <c r="AI114" i="25" s="1"/>
  <c r="AI117" i="25" s="1"/>
  <c r="AI121" i="25" s="1"/>
  <c r="AI131" i="25" s="1"/>
  <c r="AI133" i="25" s="1"/>
  <c r="AK94" i="25"/>
  <c r="AJ98" i="25"/>
  <c r="AJ102" i="25" s="1"/>
  <c r="AJ101" i="25"/>
  <c r="CI85" i="21" l="1"/>
  <c r="CH104" i="21"/>
  <c r="CH107" i="21" s="1"/>
  <c r="CH105" i="21"/>
  <c r="CH108" i="21" s="1"/>
  <c r="CH112" i="21" s="1"/>
  <c r="CH122" i="21" s="1"/>
  <c r="CH124" i="21" s="1"/>
  <c r="CJ40" i="21"/>
  <c r="CJ43" i="21"/>
  <c r="CJ45" i="21" s="1"/>
  <c r="CO66" i="19"/>
  <c r="B66" i="19" s="1"/>
  <c r="B64" i="19"/>
  <c r="B46" i="19"/>
  <c r="CO83" i="19"/>
  <c r="AI113" i="25"/>
  <c r="AI116" i="25" s="1"/>
  <c r="AI118" i="25" s="1"/>
  <c r="AI122" i="25" s="1"/>
  <c r="AJ99" i="25"/>
  <c r="AJ112" i="25" s="1"/>
  <c r="AK97" i="25"/>
  <c r="AK101" i="25" s="1"/>
  <c r="AL91" i="25"/>
  <c r="AL88" i="25"/>
  <c r="AL90" i="25" s="1"/>
  <c r="AK95" i="25"/>
  <c r="AL86" i="25" s="1"/>
  <c r="CI86" i="21" l="1"/>
  <c r="CJ80" i="21" s="1"/>
  <c r="CI88" i="21"/>
  <c r="CH109" i="21"/>
  <c r="CH113" i="21" s="1"/>
  <c r="CH111" i="21"/>
  <c r="CJ59" i="21"/>
  <c r="CJ41" i="21"/>
  <c r="CJ54" i="21" s="1"/>
  <c r="B83" i="19"/>
  <c r="B84" i="19" s="1"/>
  <c r="CO54" i="19"/>
  <c r="CO84" i="19"/>
  <c r="AI120" i="25"/>
  <c r="AI141" i="25" s="1"/>
  <c r="AI143" i="25" s="1"/>
  <c r="AK98" i="25"/>
  <c r="AK102" i="25" s="1"/>
  <c r="AJ103" i="25"/>
  <c r="AJ114" i="25"/>
  <c r="AJ117" i="25" s="1"/>
  <c r="AJ121" i="25" s="1"/>
  <c r="AJ131" i="25" s="1"/>
  <c r="AJ133" i="25" s="1"/>
  <c r="AJ113" i="25"/>
  <c r="AJ116" i="25" s="1"/>
  <c r="AL94" i="25"/>
  <c r="AM88" i="25" s="1"/>
  <c r="AM90" i="25" s="1"/>
  <c r="CJ60" i="21" l="1"/>
  <c r="CI92" i="21"/>
  <c r="CI89" i="21"/>
  <c r="CO55" i="19"/>
  <c r="B54" i="19"/>
  <c r="AK99" i="25"/>
  <c r="AK103" i="25" s="1"/>
  <c r="AM91" i="25"/>
  <c r="AM94" i="25" s="1"/>
  <c r="AJ118" i="25"/>
  <c r="AJ122" i="25" s="1"/>
  <c r="AJ120" i="25"/>
  <c r="AJ141" i="25" s="1"/>
  <c r="AJ143" i="25" s="1"/>
  <c r="AL95" i="25"/>
  <c r="AM86" i="25" s="1"/>
  <c r="AL97" i="25"/>
  <c r="CI90" i="21" l="1"/>
  <c r="CI93" i="21"/>
  <c r="CJ61" i="21"/>
  <c r="CK56" i="21" s="1"/>
  <c r="CJ64" i="21"/>
  <c r="CO56" i="19"/>
  <c r="CO115" i="19" s="1"/>
  <c r="I70" i="19"/>
  <c r="CO113" i="19"/>
  <c r="B55" i="19"/>
  <c r="I68" i="19"/>
  <c r="I69" i="19"/>
  <c r="AK112" i="25"/>
  <c r="AK114" i="25" s="1"/>
  <c r="AK117" i="25" s="1"/>
  <c r="AK121" i="25" s="1"/>
  <c r="AK131" i="25" s="1"/>
  <c r="AK133" i="25" s="1"/>
  <c r="AN91" i="25"/>
  <c r="AM97" i="25"/>
  <c r="AN88" i="25"/>
  <c r="AN90" i="25" s="1"/>
  <c r="AL101" i="25"/>
  <c r="AL98" i="25"/>
  <c r="AL102" i="25" s="1"/>
  <c r="AM95" i="25"/>
  <c r="AN86" i="25" s="1"/>
  <c r="CI103" i="21" l="1"/>
  <c r="CI94" i="21"/>
  <c r="CJ68" i="21"/>
  <c r="CJ63" i="21"/>
  <c r="CK123" i="21"/>
  <c r="B115" i="19"/>
  <c r="I119" i="19"/>
  <c r="CO117" i="19"/>
  <c r="B113" i="19"/>
  <c r="AK113" i="25"/>
  <c r="AK116" i="25" s="1"/>
  <c r="AK120" i="25" s="1"/>
  <c r="AK141" i="25" s="1"/>
  <c r="AK143" i="25" s="1"/>
  <c r="AL99" i="25"/>
  <c r="AL112" i="25" s="1"/>
  <c r="AN94" i="25"/>
  <c r="AN95" i="25" s="1"/>
  <c r="AO86" i="25" s="1"/>
  <c r="AM98" i="25"/>
  <c r="AM102" i="25" s="1"/>
  <c r="AM101" i="25"/>
  <c r="CI104" i="21" l="1"/>
  <c r="CI107" i="21" s="1"/>
  <c r="CI105" i="21"/>
  <c r="CI108" i="21" s="1"/>
  <c r="CI112" i="21" s="1"/>
  <c r="CI122" i="21" s="1"/>
  <c r="CI124" i="21" s="1"/>
  <c r="CJ67" i="21"/>
  <c r="CJ65" i="21"/>
  <c r="CJ84" i="21"/>
  <c r="I122" i="19"/>
  <c r="D16" i="23" s="1"/>
  <c r="D17" i="23" s="1"/>
  <c r="CK23" i="21"/>
  <c r="I123" i="19"/>
  <c r="E16" i="23" s="1"/>
  <c r="I121" i="19"/>
  <c r="C16" i="23" s="1"/>
  <c r="AK118" i="25"/>
  <c r="AK122" i="25" s="1"/>
  <c r="AL103" i="25"/>
  <c r="AO91" i="25"/>
  <c r="AM99" i="25"/>
  <c r="AM112" i="25" s="1"/>
  <c r="AL114" i="25"/>
  <c r="AL117" i="25" s="1"/>
  <c r="AL121" i="25" s="1"/>
  <c r="AL131" i="25" s="1"/>
  <c r="AL133" i="25" s="1"/>
  <c r="AL113" i="25"/>
  <c r="AL116" i="25" s="1"/>
  <c r="AO88" i="25"/>
  <c r="AO90" i="25" s="1"/>
  <c r="AN97" i="25"/>
  <c r="CI109" i="21" l="1"/>
  <c r="CI113" i="21" s="1"/>
  <c r="CI111" i="21"/>
  <c r="CJ78" i="21"/>
  <c r="CJ85" i="21" s="1"/>
  <c r="CJ69" i="21"/>
  <c r="E26" i="21"/>
  <c r="CK57" i="21"/>
  <c r="CK31" i="21"/>
  <c r="CK44" i="21"/>
  <c r="E25" i="21"/>
  <c r="CK34" i="21"/>
  <c r="E27" i="21"/>
  <c r="AM103" i="25"/>
  <c r="AO94" i="25"/>
  <c r="AO97" i="25" s="1"/>
  <c r="AN98" i="25"/>
  <c r="AN101" i="25"/>
  <c r="AL118" i="25"/>
  <c r="AL122" i="25" s="1"/>
  <c r="AL120" i="25"/>
  <c r="AL141" i="25" s="1"/>
  <c r="AL143" i="25" s="1"/>
  <c r="AM113" i="25"/>
  <c r="AM116" i="25" s="1"/>
  <c r="AM114" i="25"/>
  <c r="AM117" i="25" s="1"/>
  <c r="AM121" i="25" s="1"/>
  <c r="AM131" i="25" s="1"/>
  <c r="AM133" i="25" s="1"/>
  <c r="CJ86" i="21" l="1"/>
  <c r="CK80" i="21" s="1"/>
  <c r="CJ88" i="21"/>
  <c r="F49" i="21"/>
  <c r="F48" i="21"/>
  <c r="F50" i="21"/>
  <c r="CK81" i="21"/>
  <c r="CK82" i="21" s="1"/>
  <c r="CK35" i="21"/>
  <c r="CK58" i="21"/>
  <c r="AP91" i="25"/>
  <c r="AO101" i="25"/>
  <c r="AO98" i="25"/>
  <c r="AO102" i="25" s="1"/>
  <c r="AM118" i="25"/>
  <c r="AM122" i="25" s="1"/>
  <c r="AM120" i="25"/>
  <c r="AM141" i="25" s="1"/>
  <c r="AM143" i="25" s="1"/>
  <c r="AP88" i="25"/>
  <c r="AP90" i="25" s="1"/>
  <c r="AO95" i="25"/>
  <c r="AP86" i="25" s="1"/>
  <c r="AN102" i="25"/>
  <c r="AN99" i="25"/>
  <c r="CJ89" i="21" l="1"/>
  <c r="CJ92" i="21"/>
  <c r="CK36" i="21"/>
  <c r="AO99" i="25"/>
  <c r="AO103" i="25" s="1"/>
  <c r="AN103" i="25"/>
  <c r="AN112" i="25"/>
  <c r="AP94" i="25"/>
  <c r="AQ91" i="25" s="1"/>
  <c r="CJ93" i="21" l="1"/>
  <c r="CJ90" i="21"/>
  <c r="CK39" i="21"/>
  <c r="CK37" i="21"/>
  <c r="AO112" i="25"/>
  <c r="AO114" i="25" s="1"/>
  <c r="AO117" i="25" s="1"/>
  <c r="AO121" i="25" s="1"/>
  <c r="AO131" i="25" s="1"/>
  <c r="AO133" i="25" s="1"/>
  <c r="AQ88" i="25"/>
  <c r="AQ90" i="25" s="1"/>
  <c r="AP97" i="25"/>
  <c r="AP95" i="25"/>
  <c r="AQ86" i="25" s="1"/>
  <c r="AN113" i="25"/>
  <c r="AN116" i="25" s="1"/>
  <c r="AN114" i="25"/>
  <c r="AN117" i="25" s="1"/>
  <c r="AN121" i="25" s="1"/>
  <c r="AN131" i="25" s="1"/>
  <c r="AN133" i="25" s="1"/>
  <c r="CJ94" i="21" l="1"/>
  <c r="CJ103" i="21"/>
  <c r="CK43" i="21"/>
  <c r="CK40" i="21"/>
  <c r="CK83" i="21"/>
  <c r="AO113" i="25"/>
  <c r="AO116" i="25" s="1"/>
  <c r="AO118" i="25" s="1"/>
  <c r="AO122" i="25" s="1"/>
  <c r="AN118" i="25"/>
  <c r="AN122" i="25" s="1"/>
  <c r="AN120" i="25"/>
  <c r="AN141" i="25" s="1"/>
  <c r="AN143" i="25" s="1"/>
  <c r="AP98" i="25"/>
  <c r="AP102" i="25" s="1"/>
  <c r="AP101" i="25"/>
  <c r="AQ94" i="25"/>
  <c r="AQ95" i="25" s="1"/>
  <c r="AR86" i="25" s="1"/>
  <c r="CJ105" i="21" l="1"/>
  <c r="CJ108" i="21" s="1"/>
  <c r="CJ112" i="21" s="1"/>
  <c r="CJ122" i="21" s="1"/>
  <c r="CJ124" i="21" s="1"/>
  <c r="CJ104" i="21"/>
  <c r="CJ107" i="21" s="1"/>
  <c r="E48" i="21"/>
  <c r="E49" i="21"/>
  <c r="E50" i="21"/>
  <c r="CK45" i="21"/>
  <c r="CK59" i="21"/>
  <c r="CK41" i="21"/>
  <c r="CK54" i="21" s="1"/>
  <c r="AO120" i="25"/>
  <c r="AO141" i="25" s="1"/>
  <c r="AO143" i="25" s="1"/>
  <c r="AP99" i="25"/>
  <c r="AP112" i="25" s="1"/>
  <c r="AQ97" i="25"/>
  <c r="AQ98" i="25" s="1"/>
  <c r="AQ102" i="25" s="1"/>
  <c r="AR91" i="25"/>
  <c r="AR88" i="25"/>
  <c r="AR90" i="25" s="1"/>
  <c r="CJ111" i="21" l="1"/>
  <c r="CJ109" i="21"/>
  <c r="CJ113" i="21" s="1"/>
  <c r="G49" i="21"/>
  <c r="G50" i="21"/>
  <c r="G48" i="21"/>
  <c r="CK60" i="21"/>
  <c r="AQ99" i="25"/>
  <c r="AQ112" i="25" s="1"/>
  <c r="AP103" i="25"/>
  <c r="AQ101" i="25"/>
  <c r="AP114" i="25"/>
  <c r="AP117" i="25" s="1"/>
  <c r="AP121" i="25" s="1"/>
  <c r="AP131" i="25" s="1"/>
  <c r="AP133" i="25" s="1"/>
  <c r="AP113" i="25"/>
  <c r="AP116" i="25" s="1"/>
  <c r="AR94" i="25"/>
  <c r="AR95" i="25" s="1"/>
  <c r="AS86" i="25" s="1"/>
  <c r="CK61" i="21" l="1"/>
  <c r="CK64" i="21"/>
  <c r="AQ103" i="25"/>
  <c r="AS91" i="25"/>
  <c r="AR97" i="25"/>
  <c r="AS88" i="25"/>
  <c r="AS90" i="25" s="1"/>
  <c r="AP118" i="25"/>
  <c r="AP122" i="25" s="1"/>
  <c r="AP120" i="25"/>
  <c r="AP141" i="25" s="1"/>
  <c r="AP143" i="25" s="1"/>
  <c r="AQ114" i="25"/>
  <c r="AQ117" i="25" s="1"/>
  <c r="AQ121" i="25" s="1"/>
  <c r="AQ131" i="25" s="1"/>
  <c r="AQ133" i="25" s="1"/>
  <c r="AQ113" i="25"/>
  <c r="AQ116" i="25" s="1"/>
  <c r="CK68" i="21" l="1"/>
  <c r="CK63" i="21"/>
  <c r="AQ118" i="25"/>
  <c r="AQ122" i="25" s="1"/>
  <c r="AQ120" i="25"/>
  <c r="AQ141" i="25" s="1"/>
  <c r="AQ143" i="25" s="1"/>
  <c r="AS94" i="25"/>
  <c r="AS97" i="25" s="1"/>
  <c r="AR98" i="25"/>
  <c r="AR102" i="25" s="1"/>
  <c r="AR101" i="25"/>
  <c r="F74" i="21" l="1"/>
  <c r="F73" i="21"/>
  <c r="F72" i="21"/>
  <c r="CK67" i="21"/>
  <c r="CK65" i="21"/>
  <c r="CK84" i="21"/>
  <c r="AT91" i="25"/>
  <c r="AT88" i="25"/>
  <c r="AT90" i="25" s="1"/>
  <c r="AS98" i="25"/>
  <c r="AS101" i="25"/>
  <c r="AR99" i="25"/>
  <c r="AS95" i="25"/>
  <c r="AT86" i="25" s="1"/>
  <c r="E73" i="21" l="1"/>
  <c r="E74" i="21"/>
  <c r="E72" i="21"/>
  <c r="CK78" i="21"/>
  <c r="CK85" i="21" s="1"/>
  <c r="CK69" i="21"/>
  <c r="AS99" i="25"/>
  <c r="AS102" i="25"/>
  <c r="AT94" i="25"/>
  <c r="AT95" i="25" s="1"/>
  <c r="AU86" i="25" s="1"/>
  <c r="AR112" i="25"/>
  <c r="AR103" i="25"/>
  <c r="CK86" i="21" l="1"/>
  <c r="CK88" i="21"/>
  <c r="G74" i="21"/>
  <c r="G73" i="21"/>
  <c r="G72" i="21"/>
  <c r="AU88" i="25"/>
  <c r="AU90" i="25" s="1"/>
  <c r="AU91" i="25"/>
  <c r="AR113" i="25"/>
  <c r="AR116" i="25" s="1"/>
  <c r="AR114" i="25"/>
  <c r="AR117" i="25" s="1"/>
  <c r="AR121" i="25" s="1"/>
  <c r="AR131" i="25" s="1"/>
  <c r="AR133" i="25" s="1"/>
  <c r="AT97" i="25"/>
  <c r="AS103" i="25"/>
  <c r="AS112" i="25"/>
  <c r="CK92" i="21" l="1"/>
  <c r="CK89" i="21"/>
  <c r="AT101" i="25"/>
  <c r="AT98" i="25"/>
  <c r="AT102" i="25" s="1"/>
  <c r="AS113" i="25"/>
  <c r="AS116" i="25" s="1"/>
  <c r="AS114" i="25"/>
  <c r="AS117" i="25" s="1"/>
  <c r="AS121" i="25" s="1"/>
  <c r="AS131" i="25" s="1"/>
  <c r="AS133" i="25" s="1"/>
  <c r="AR118" i="25"/>
  <c r="AR122" i="25" s="1"/>
  <c r="AR120" i="25"/>
  <c r="AR141" i="25" s="1"/>
  <c r="AR143" i="25" s="1"/>
  <c r="AU94" i="25"/>
  <c r="AV91" i="25" s="1"/>
  <c r="E97" i="21" l="1"/>
  <c r="E98" i="21"/>
  <c r="E99" i="21"/>
  <c r="CK93" i="21"/>
  <c r="CK90" i="21"/>
  <c r="AU97" i="25"/>
  <c r="AV88" i="25"/>
  <c r="AV90" i="25" s="1"/>
  <c r="AS118" i="25"/>
  <c r="AS122" i="25" s="1"/>
  <c r="AS120" i="25"/>
  <c r="AS141" i="25" s="1"/>
  <c r="AS143" i="25" s="1"/>
  <c r="AU95" i="25"/>
  <c r="AV86" i="25" s="1"/>
  <c r="AT99" i="25"/>
  <c r="F97" i="21" l="1"/>
  <c r="F98" i="21"/>
  <c r="F99" i="21"/>
  <c r="CK94" i="21"/>
  <c r="CK103" i="21"/>
  <c r="AT103" i="25"/>
  <c r="AT112" i="25"/>
  <c r="AV94" i="25"/>
  <c r="AW88" i="25" s="1"/>
  <c r="AW90" i="25" s="1"/>
  <c r="AU98" i="25"/>
  <c r="AU102" i="25" s="1"/>
  <c r="AU101" i="25"/>
  <c r="G98" i="21" l="1"/>
  <c r="G97" i="21"/>
  <c r="G99" i="21"/>
  <c r="CK105" i="21"/>
  <c r="CK108" i="21" s="1"/>
  <c r="CK112" i="21" s="1"/>
  <c r="CK104" i="21"/>
  <c r="CK107" i="21" s="1"/>
  <c r="AV97" i="25"/>
  <c r="AV101" i="25" s="1"/>
  <c r="AW91" i="25"/>
  <c r="AV95" i="25"/>
  <c r="AW86" i="25" s="1"/>
  <c r="AT113" i="25"/>
  <c r="AT116" i="25" s="1"/>
  <c r="AT114" i="25"/>
  <c r="AT117" i="25" s="1"/>
  <c r="AT121" i="25" s="1"/>
  <c r="AT131" i="25" s="1"/>
  <c r="AT133" i="25" s="1"/>
  <c r="AU99" i="25"/>
  <c r="F116" i="21" l="1"/>
  <c r="F118" i="21"/>
  <c r="CK122" i="21"/>
  <c r="CK124" i="21" s="1"/>
  <c r="F117" i="21"/>
  <c r="CK109" i="21"/>
  <c r="CK113" i="21" s="1"/>
  <c r="CK111" i="21"/>
  <c r="AV98" i="25"/>
  <c r="AV102" i="25" s="1"/>
  <c r="AU112" i="25"/>
  <c r="AU103" i="25"/>
  <c r="AT118" i="25"/>
  <c r="AT122" i="25" s="1"/>
  <c r="AT120" i="25"/>
  <c r="AT141" i="25" s="1"/>
  <c r="AT143" i="25" s="1"/>
  <c r="AW94" i="25"/>
  <c r="AW95" i="25" s="1"/>
  <c r="AX86" i="25" s="1"/>
  <c r="E126" i="21" l="1"/>
  <c r="I16" i="23" s="1"/>
  <c r="E127" i="21"/>
  <c r="J16" i="23" s="1"/>
  <c r="E128" i="21"/>
  <c r="K16" i="23" s="1"/>
  <c r="G116" i="21"/>
  <c r="G118" i="21"/>
  <c r="G117" i="21"/>
  <c r="E117" i="21"/>
  <c r="G16" i="23" s="1"/>
  <c r="E118" i="21"/>
  <c r="H16" i="23" s="1"/>
  <c r="E116" i="21"/>
  <c r="F16" i="23" s="1"/>
  <c r="AV99" i="25"/>
  <c r="AV103" i="25" s="1"/>
  <c r="AX91" i="25"/>
  <c r="AW97" i="25"/>
  <c r="AX88" i="25"/>
  <c r="AX90" i="25" s="1"/>
  <c r="AU114" i="25"/>
  <c r="AU117" i="25" s="1"/>
  <c r="AU121" i="25" s="1"/>
  <c r="AU131" i="25" s="1"/>
  <c r="AU133" i="25" s="1"/>
  <c r="AU113" i="25"/>
  <c r="AU116" i="25" s="1"/>
  <c r="AV112" i="25" l="1"/>
  <c r="AV114" i="25" s="1"/>
  <c r="AV117" i="25" s="1"/>
  <c r="AV121" i="25" s="1"/>
  <c r="AV131" i="25" s="1"/>
  <c r="AV133" i="25" s="1"/>
  <c r="AU118" i="25"/>
  <c r="AU122" i="25" s="1"/>
  <c r="AU120" i="25"/>
  <c r="AU141" i="25" s="1"/>
  <c r="AU143" i="25" s="1"/>
  <c r="AX94" i="25"/>
  <c r="AY88" i="25" s="1"/>
  <c r="AY90" i="25" s="1"/>
  <c r="AW101" i="25"/>
  <c r="AW98" i="25"/>
  <c r="AW102" i="25" s="1"/>
  <c r="AV113" i="25" l="1"/>
  <c r="AV116" i="25" s="1"/>
  <c r="AV120" i="25" s="1"/>
  <c r="AV141" i="25" s="1"/>
  <c r="AV143" i="25" s="1"/>
  <c r="AW99" i="25"/>
  <c r="AW103" i="25" s="1"/>
  <c r="AY91" i="25"/>
  <c r="AX95" i="25"/>
  <c r="AY86" i="25" s="1"/>
  <c r="AX97" i="25"/>
  <c r="AV118" i="25" l="1"/>
  <c r="AV122" i="25" s="1"/>
  <c r="AW112" i="25"/>
  <c r="AW114" i="25" s="1"/>
  <c r="AW117" i="25" s="1"/>
  <c r="AW121" i="25" s="1"/>
  <c r="AW131" i="25" s="1"/>
  <c r="AW133" i="25" s="1"/>
  <c r="AY94" i="25"/>
  <c r="AY95" i="25" s="1"/>
  <c r="AZ86" i="25" s="1"/>
  <c r="AX98" i="25"/>
  <c r="AX102" i="25" s="1"/>
  <c r="AX101" i="25"/>
  <c r="AW113" i="25" l="1"/>
  <c r="AW116" i="25" s="1"/>
  <c r="AW118" i="25" s="1"/>
  <c r="AW122" i="25" s="1"/>
  <c r="AX99" i="25"/>
  <c r="AX103" i="25" s="1"/>
  <c r="AZ91" i="25"/>
  <c r="AY97" i="25"/>
  <c r="AZ88" i="25"/>
  <c r="AZ90" i="25" s="1"/>
  <c r="AW120" i="25" l="1"/>
  <c r="AW141" i="25" s="1"/>
  <c r="AW143" i="25" s="1"/>
  <c r="AX112" i="25"/>
  <c r="AX113" i="25" s="1"/>
  <c r="AX116" i="25" s="1"/>
  <c r="AZ94" i="25"/>
  <c r="AZ97" i="25" s="1"/>
  <c r="AY101" i="25"/>
  <c r="AY98" i="25"/>
  <c r="AY102" i="25" s="1"/>
  <c r="AX114" i="25" l="1"/>
  <c r="AX117" i="25" s="1"/>
  <c r="AX121" i="25" s="1"/>
  <c r="AX131" i="25" s="1"/>
  <c r="AX133" i="25" s="1"/>
  <c r="BA91" i="25"/>
  <c r="AZ95" i="25"/>
  <c r="BA86" i="25" s="1"/>
  <c r="AX120" i="25"/>
  <c r="AX141" i="25" s="1"/>
  <c r="AX143" i="25" s="1"/>
  <c r="AY99" i="25"/>
  <c r="AZ101" i="25"/>
  <c r="AZ98" i="25"/>
  <c r="BA88" i="25"/>
  <c r="BA90" i="25" s="1"/>
  <c r="AX118" i="25" l="1"/>
  <c r="AX122" i="25" s="1"/>
  <c r="AZ102" i="25"/>
  <c r="AZ99" i="25"/>
  <c r="BA94" i="25"/>
  <c r="BA95" i="25" s="1"/>
  <c r="BB86" i="25" s="1"/>
  <c r="AY112" i="25"/>
  <c r="AY103" i="25"/>
  <c r="BB91" i="25" l="1"/>
  <c r="BB88" i="25"/>
  <c r="BB90" i="25" s="1"/>
  <c r="AY114" i="25"/>
  <c r="AY117" i="25" s="1"/>
  <c r="AY121" i="25" s="1"/>
  <c r="AY131" i="25" s="1"/>
  <c r="AY133" i="25" s="1"/>
  <c r="AY113" i="25"/>
  <c r="AY116" i="25" s="1"/>
  <c r="AZ103" i="25"/>
  <c r="AZ112" i="25"/>
  <c r="BA97" i="25"/>
  <c r="BA98" i="25" l="1"/>
  <c r="BA102" i="25" s="1"/>
  <c r="BA101" i="25"/>
  <c r="AZ113" i="25"/>
  <c r="AZ116" i="25" s="1"/>
  <c r="AZ114" i="25"/>
  <c r="AZ117" i="25" s="1"/>
  <c r="AZ121" i="25" s="1"/>
  <c r="AZ131" i="25" s="1"/>
  <c r="AZ133" i="25" s="1"/>
  <c r="AY120" i="25"/>
  <c r="AY141" i="25" s="1"/>
  <c r="AY143" i="25" s="1"/>
  <c r="AY118" i="25"/>
  <c r="AY122" i="25" s="1"/>
  <c r="BB94" i="25"/>
  <c r="BC91" i="25" s="1"/>
  <c r="BA99" i="25" l="1"/>
  <c r="BA103" i="25" s="1"/>
  <c r="BB97" i="25"/>
  <c r="BC88" i="25"/>
  <c r="BC90" i="25" s="1"/>
  <c r="AZ118" i="25"/>
  <c r="AZ122" i="25" s="1"/>
  <c r="AZ120" i="25"/>
  <c r="AZ141" i="25" s="1"/>
  <c r="AZ143" i="25" s="1"/>
  <c r="BB95" i="25"/>
  <c r="BC86" i="25" s="1"/>
  <c r="BA112" i="25" l="1"/>
  <c r="BA114" i="25" s="1"/>
  <c r="BA117" i="25" s="1"/>
  <c r="BA121" i="25" s="1"/>
  <c r="BA131" i="25" s="1"/>
  <c r="BA133" i="25" s="1"/>
  <c r="BC94" i="25"/>
  <c r="BD91" i="25" s="1"/>
  <c r="BB101" i="25"/>
  <c r="BB98" i="25"/>
  <c r="BB102" i="25" s="1"/>
  <c r="BA113" i="25" l="1"/>
  <c r="BA116" i="25" s="1"/>
  <c r="BA118" i="25" s="1"/>
  <c r="BA122" i="25" s="1"/>
  <c r="BB99" i="25"/>
  <c r="BB112" i="25" s="1"/>
  <c r="BC95" i="25"/>
  <c r="BD86" i="25" s="1"/>
  <c r="BD88" i="25"/>
  <c r="BD90" i="25" s="1"/>
  <c r="BC97" i="25"/>
  <c r="BA120" i="25" l="1"/>
  <c r="BA141" i="25" s="1"/>
  <c r="BA143" i="25" s="1"/>
  <c r="BB103" i="25"/>
  <c r="BC98" i="25"/>
  <c r="BC102" i="25" s="1"/>
  <c r="BC101" i="25"/>
  <c r="BB114" i="25"/>
  <c r="BB117" i="25" s="1"/>
  <c r="BB121" i="25" s="1"/>
  <c r="BB131" i="25" s="1"/>
  <c r="BB133" i="25" s="1"/>
  <c r="BB113" i="25"/>
  <c r="BB116" i="25" s="1"/>
  <c r="BD94" i="25"/>
  <c r="BE91" i="25" s="1"/>
  <c r="BC99" i="25" l="1"/>
  <c r="BC112" i="25" s="1"/>
  <c r="BD97" i="25"/>
  <c r="BE88" i="25"/>
  <c r="BE90" i="25" s="1"/>
  <c r="BB118" i="25"/>
  <c r="BB122" i="25" s="1"/>
  <c r="BB120" i="25"/>
  <c r="BB141" i="25" s="1"/>
  <c r="BB143" i="25" s="1"/>
  <c r="BD95" i="25"/>
  <c r="BE86" i="25" s="1"/>
  <c r="BC103" i="25" l="1"/>
  <c r="BC114" i="25"/>
  <c r="BC117" i="25" s="1"/>
  <c r="BC121" i="25" s="1"/>
  <c r="BC131" i="25" s="1"/>
  <c r="BC133" i="25" s="1"/>
  <c r="BC113" i="25"/>
  <c r="BC116" i="25" s="1"/>
  <c r="BE94" i="25"/>
  <c r="BD98" i="25"/>
  <c r="BD102" i="25" s="1"/>
  <c r="BD101" i="25"/>
  <c r="BD99" i="25" l="1"/>
  <c r="BD112" i="25" s="1"/>
  <c r="BE97" i="25"/>
  <c r="BE98" i="25" s="1"/>
  <c r="BE102" i="25" s="1"/>
  <c r="BF91" i="25"/>
  <c r="BC120" i="25"/>
  <c r="BC141" i="25" s="1"/>
  <c r="BC143" i="25" s="1"/>
  <c r="BC118" i="25"/>
  <c r="BC122" i="25" s="1"/>
  <c r="BE95" i="25"/>
  <c r="BF86" i="25" s="1"/>
  <c r="BF88" i="25"/>
  <c r="BF90" i="25" s="1"/>
  <c r="BE101" i="25" l="1"/>
  <c r="BD103" i="25"/>
  <c r="BE99" i="25"/>
  <c r="BE103" i="25" s="1"/>
  <c r="BF94" i="25"/>
  <c r="BF97" i="25" s="1"/>
  <c r="BD113" i="25"/>
  <c r="BD116" i="25" s="1"/>
  <c r="BD114" i="25"/>
  <c r="BD117" i="25" s="1"/>
  <c r="BD121" i="25" s="1"/>
  <c r="BD131" i="25" s="1"/>
  <c r="BD133" i="25" s="1"/>
  <c r="BE112" i="25" l="1"/>
  <c r="BE113" i="25" s="1"/>
  <c r="BE116" i="25" s="1"/>
  <c r="BG91" i="25"/>
  <c r="BF95" i="25"/>
  <c r="BG86" i="25" s="1"/>
  <c r="BF101" i="25"/>
  <c r="BF98" i="25"/>
  <c r="BF102" i="25" s="1"/>
  <c r="BD118" i="25"/>
  <c r="BD122" i="25" s="1"/>
  <c r="BD120" i="25"/>
  <c r="BD141" i="25" s="1"/>
  <c r="BD143" i="25" s="1"/>
  <c r="BG88" i="25"/>
  <c r="BG90" i="25" s="1"/>
  <c r="BE114" i="25" l="1"/>
  <c r="BE117" i="25" s="1"/>
  <c r="BE121" i="25" s="1"/>
  <c r="BE131" i="25" s="1"/>
  <c r="BE133" i="25" s="1"/>
  <c r="BF99" i="25"/>
  <c r="BF112" i="25" s="1"/>
  <c r="BG94" i="25"/>
  <c r="BH88" i="25" s="1"/>
  <c r="BH90" i="25" s="1"/>
  <c r="BE120" i="25"/>
  <c r="BE141" i="25" s="1"/>
  <c r="BE143" i="25" s="1"/>
  <c r="BE118" i="25" l="1"/>
  <c r="BE122" i="25" s="1"/>
  <c r="BF103" i="25"/>
  <c r="BH91" i="25"/>
  <c r="BF114" i="25"/>
  <c r="BF117" i="25" s="1"/>
  <c r="BF121" i="25" s="1"/>
  <c r="BF131" i="25" s="1"/>
  <c r="BF133" i="25" s="1"/>
  <c r="BF113" i="25"/>
  <c r="BF116" i="25" s="1"/>
  <c r="BG95" i="25"/>
  <c r="BH86" i="25" s="1"/>
  <c r="BG97" i="25"/>
  <c r="BF118" i="25" l="1"/>
  <c r="BF122" i="25" s="1"/>
  <c r="BF120" i="25"/>
  <c r="BF141" i="25" s="1"/>
  <c r="BF143" i="25" s="1"/>
  <c r="BH94" i="25"/>
  <c r="BI91" i="25" s="1"/>
  <c r="BG98" i="25"/>
  <c r="BG102" i="25" s="1"/>
  <c r="BG101" i="25"/>
  <c r="BH95" i="25" l="1"/>
  <c r="BI86" i="25" s="1"/>
  <c r="BG99" i="25"/>
  <c r="BH97" i="25"/>
  <c r="BI88" i="25"/>
  <c r="BI90" i="25" s="1"/>
  <c r="BG112" i="25" l="1"/>
  <c r="BG103" i="25"/>
  <c r="BI94" i="25"/>
  <c r="BH101" i="25"/>
  <c r="BH98" i="25"/>
  <c r="BH102" i="25" s="1"/>
  <c r="BI97" i="25" l="1"/>
  <c r="BI101" i="25" s="1"/>
  <c r="BJ91" i="25"/>
  <c r="BH99" i="25"/>
  <c r="BJ88" i="25"/>
  <c r="BJ90" i="25" s="1"/>
  <c r="BI95" i="25"/>
  <c r="BJ86" i="25" s="1"/>
  <c r="BG114" i="25"/>
  <c r="BG117" i="25" s="1"/>
  <c r="BG121" i="25" s="1"/>
  <c r="BG131" i="25" s="1"/>
  <c r="BG133" i="25" s="1"/>
  <c r="BG113" i="25"/>
  <c r="BG116" i="25" s="1"/>
  <c r="BI98" i="25" l="1"/>
  <c r="BI102" i="25" s="1"/>
  <c r="BH112" i="25"/>
  <c r="BH103" i="25"/>
  <c r="BG118" i="25"/>
  <c r="BG122" i="25" s="1"/>
  <c r="BG120" i="25"/>
  <c r="BG141" i="25" s="1"/>
  <c r="BG143" i="25" s="1"/>
  <c r="BJ94" i="25"/>
  <c r="BJ97" i="25" s="1"/>
  <c r="BI99" i="25" l="1"/>
  <c r="BI103" i="25" s="1"/>
  <c r="BK91" i="25"/>
  <c r="BK88" i="25"/>
  <c r="BK90" i="25" s="1"/>
  <c r="BJ95" i="25"/>
  <c r="BK86" i="25" s="1"/>
  <c r="BJ98" i="25"/>
  <c r="BJ102" i="25" s="1"/>
  <c r="BJ101" i="25"/>
  <c r="BH114" i="25"/>
  <c r="BH117" i="25" s="1"/>
  <c r="BH121" i="25" s="1"/>
  <c r="BH131" i="25" s="1"/>
  <c r="BH133" i="25" s="1"/>
  <c r="BH113" i="25"/>
  <c r="BH116" i="25" s="1"/>
  <c r="BI112" i="25" l="1"/>
  <c r="BI114" i="25" s="1"/>
  <c r="BI117" i="25" s="1"/>
  <c r="BI121" i="25" s="1"/>
  <c r="BI131" i="25" s="1"/>
  <c r="BI133" i="25" s="1"/>
  <c r="BJ99" i="25"/>
  <c r="BJ112" i="25" s="1"/>
  <c r="BH118" i="25"/>
  <c r="BH122" i="25" s="1"/>
  <c r="BH120" i="25"/>
  <c r="BH141" i="25" s="1"/>
  <c r="BH143" i="25" s="1"/>
  <c r="BK94" i="25"/>
  <c r="BK95" i="25" s="1"/>
  <c r="BL86" i="25" s="1"/>
  <c r="BI113" i="25" l="1"/>
  <c r="BI116" i="25" s="1"/>
  <c r="BI120" i="25" s="1"/>
  <c r="BI141" i="25" s="1"/>
  <c r="BI143" i="25" s="1"/>
  <c r="BJ103" i="25"/>
  <c r="BL91" i="25"/>
  <c r="BL88" i="25"/>
  <c r="BL90" i="25" s="1"/>
  <c r="BK97" i="25"/>
  <c r="BJ113" i="25"/>
  <c r="BJ116" i="25" s="1"/>
  <c r="BJ114" i="25"/>
  <c r="BJ117" i="25" s="1"/>
  <c r="BJ121" i="25" s="1"/>
  <c r="BJ131" i="25" s="1"/>
  <c r="BJ133" i="25" s="1"/>
  <c r="BI118" i="25" l="1"/>
  <c r="BI122" i="25" s="1"/>
  <c r="BJ118" i="25"/>
  <c r="BJ122" i="25" s="1"/>
  <c r="BJ120" i="25"/>
  <c r="BJ141" i="25" s="1"/>
  <c r="BJ143" i="25" s="1"/>
  <c r="BK98" i="25"/>
  <c r="BK102" i="25" s="1"/>
  <c r="BK101" i="25"/>
  <c r="BL94" i="25"/>
  <c r="BM88" i="25" s="1"/>
  <c r="BM90" i="25" s="1"/>
  <c r="BK99" i="25" l="1"/>
  <c r="BK112" i="25" s="1"/>
  <c r="BM91" i="25"/>
  <c r="BM94" i="25" s="1"/>
  <c r="BL95" i="25"/>
  <c r="BM86" i="25" s="1"/>
  <c r="BL97" i="25"/>
  <c r="BK103" i="25" l="1"/>
  <c r="BN91" i="25"/>
  <c r="BM97" i="25"/>
  <c r="BN88" i="25"/>
  <c r="BN90" i="25" s="1"/>
  <c r="BL101" i="25"/>
  <c r="BL98" i="25"/>
  <c r="BL102" i="25" s="1"/>
  <c r="BM95" i="25"/>
  <c r="BN86" i="25" s="1"/>
  <c r="BK114" i="25"/>
  <c r="BK117" i="25" s="1"/>
  <c r="BK121" i="25" s="1"/>
  <c r="BK131" i="25" s="1"/>
  <c r="BK133" i="25" s="1"/>
  <c r="BK113" i="25"/>
  <c r="BK116" i="25" s="1"/>
  <c r="BN94" i="25" l="1"/>
  <c r="BN97" i="25" s="1"/>
  <c r="BK118" i="25"/>
  <c r="BK122" i="25" s="1"/>
  <c r="BK120" i="25"/>
  <c r="BK141" i="25" s="1"/>
  <c r="BK143" i="25" s="1"/>
  <c r="BL99" i="25"/>
  <c r="BM98" i="25"/>
  <c r="BM102" i="25" s="1"/>
  <c r="BM101" i="25"/>
  <c r="BM99" i="25" l="1"/>
  <c r="BM103" i="25" s="1"/>
  <c r="BN95" i="25"/>
  <c r="BO86" i="25" s="1"/>
  <c r="BO91" i="25"/>
  <c r="BN98" i="25"/>
  <c r="BN102" i="25" s="1"/>
  <c r="BN101" i="25"/>
  <c r="BO88" i="25"/>
  <c r="BO90" i="25" s="1"/>
  <c r="BL112" i="25"/>
  <c r="BL103" i="25"/>
  <c r="BM112" i="25" l="1"/>
  <c r="BM113" i="25" s="1"/>
  <c r="BM116" i="25" s="1"/>
  <c r="BN99" i="25"/>
  <c r="BN103" i="25" s="1"/>
  <c r="BL114" i="25"/>
  <c r="BL117" i="25" s="1"/>
  <c r="BL121" i="25" s="1"/>
  <c r="BL131" i="25" s="1"/>
  <c r="BL133" i="25" s="1"/>
  <c r="BL113" i="25"/>
  <c r="BL116" i="25" s="1"/>
  <c r="BO94" i="25"/>
  <c r="BO97" i="25" s="1"/>
  <c r="BM114" i="25" l="1"/>
  <c r="BM117" i="25" s="1"/>
  <c r="BM121" i="25" s="1"/>
  <c r="BM131" i="25" s="1"/>
  <c r="BM133" i="25" s="1"/>
  <c r="BN112" i="25"/>
  <c r="BN114" i="25" s="1"/>
  <c r="BN117" i="25" s="1"/>
  <c r="BN121" i="25" s="1"/>
  <c r="BN131" i="25" s="1"/>
  <c r="BN133" i="25" s="1"/>
  <c r="BO95" i="25"/>
  <c r="BP86" i="25" s="1"/>
  <c r="BP91" i="25"/>
  <c r="BM120" i="25"/>
  <c r="BM141" i="25" s="1"/>
  <c r="BM143" i="25" s="1"/>
  <c r="BO98" i="25"/>
  <c r="BO102" i="25" s="1"/>
  <c r="BO101" i="25"/>
  <c r="BL118" i="25"/>
  <c r="BL122" i="25" s="1"/>
  <c r="BL120" i="25"/>
  <c r="BL141" i="25" s="1"/>
  <c r="BL143" i="25" s="1"/>
  <c r="BP88" i="25"/>
  <c r="BP90" i="25" s="1"/>
  <c r="BN113" i="25" l="1"/>
  <c r="BN116" i="25" s="1"/>
  <c r="BN118" i="25" s="1"/>
  <c r="BN122" i="25" s="1"/>
  <c r="BM118" i="25"/>
  <c r="BM122" i="25" s="1"/>
  <c r="BO99" i="25"/>
  <c r="BO103" i="25" s="1"/>
  <c r="BP94" i="25"/>
  <c r="BP97" i="25" s="1"/>
  <c r="BN120" i="25" l="1"/>
  <c r="BN141" i="25" s="1"/>
  <c r="BN143" i="25" s="1"/>
  <c r="BO112" i="25"/>
  <c r="BO114" i="25" s="1"/>
  <c r="BO117" i="25" s="1"/>
  <c r="BO121" i="25" s="1"/>
  <c r="BO131" i="25" s="1"/>
  <c r="BO133" i="25" s="1"/>
  <c r="BQ91" i="25"/>
  <c r="BQ88" i="25"/>
  <c r="BQ90" i="25" s="1"/>
  <c r="BP95" i="25"/>
  <c r="BQ86" i="25" s="1"/>
  <c r="BP98" i="25"/>
  <c r="BP102" i="25" s="1"/>
  <c r="BP101" i="25"/>
  <c r="BO113" i="25" l="1"/>
  <c r="BO116" i="25" s="1"/>
  <c r="BO118" i="25" s="1"/>
  <c r="BO122" i="25" s="1"/>
  <c r="BQ94" i="25"/>
  <c r="BR91" i="25" s="1"/>
  <c r="BP99" i="25"/>
  <c r="BO120" i="25" l="1"/>
  <c r="BO141" i="25" s="1"/>
  <c r="BO143" i="25" s="1"/>
  <c r="BQ97" i="25"/>
  <c r="BP112" i="25"/>
  <c r="BP103" i="25"/>
  <c r="BQ95" i="25"/>
  <c r="BR86" i="25" s="1"/>
  <c r="BR88" i="25"/>
  <c r="BR90" i="25" s="1"/>
  <c r="BR94" i="25" l="1"/>
  <c r="BP114" i="25"/>
  <c r="BP117" i="25" s="1"/>
  <c r="BP121" i="25" s="1"/>
  <c r="BP131" i="25" s="1"/>
  <c r="BP133" i="25" s="1"/>
  <c r="BP113" i="25"/>
  <c r="BP116" i="25" s="1"/>
  <c r="BQ98" i="25"/>
  <c r="BQ102" i="25" s="1"/>
  <c r="BQ101" i="25"/>
  <c r="BR97" i="25" l="1"/>
  <c r="BR101" i="25" s="1"/>
  <c r="BS91" i="25"/>
  <c r="BQ99" i="25"/>
  <c r="BQ103" i="25" s="1"/>
  <c r="BR95" i="25"/>
  <c r="BS86" i="25" s="1"/>
  <c r="BP118" i="25"/>
  <c r="BP122" i="25" s="1"/>
  <c r="BP120" i="25"/>
  <c r="BP141" i="25" s="1"/>
  <c r="BP143" i="25" s="1"/>
  <c r="BS88" i="25"/>
  <c r="BS90" i="25" s="1"/>
  <c r="BQ112" i="25" l="1"/>
  <c r="BQ113" i="25" s="1"/>
  <c r="BQ116" i="25" s="1"/>
  <c r="BR98" i="25"/>
  <c r="BR102" i="25" s="1"/>
  <c r="BS94" i="25"/>
  <c r="BT91" i="25" s="1"/>
  <c r="BQ114" i="25" l="1"/>
  <c r="BQ117" i="25" s="1"/>
  <c r="BQ121" i="25" s="1"/>
  <c r="BQ131" i="25" s="1"/>
  <c r="BQ133" i="25" s="1"/>
  <c r="BR99" i="25"/>
  <c r="BT88" i="25"/>
  <c r="BT90" i="25" s="1"/>
  <c r="BS95" i="25"/>
  <c r="BT86" i="25" s="1"/>
  <c r="BS97" i="25"/>
  <c r="BQ120" i="25"/>
  <c r="BQ141" i="25" s="1"/>
  <c r="BQ143" i="25" s="1"/>
  <c r="BQ118" i="25" l="1"/>
  <c r="BQ122" i="25" s="1"/>
  <c r="BR103" i="25"/>
  <c r="BR112" i="25"/>
  <c r="BS101" i="25"/>
  <c r="BS98" i="25"/>
  <c r="BS102" i="25" s="1"/>
  <c r="BT94" i="25"/>
  <c r="BU91" i="25" s="1"/>
  <c r="BR113" i="25" l="1"/>
  <c r="BR116" i="25" s="1"/>
  <c r="BR114" i="25"/>
  <c r="BR117" i="25" s="1"/>
  <c r="BR121" i="25" s="1"/>
  <c r="BR131" i="25" s="1"/>
  <c r="BR133" i="25" s="1"/>
  <c r="BS99" i="25"/>
  <c r="BT95" i="25"/>
  <c r="BU86" i="25" s="1"/>
  <c r="BT97" i="25"/>
  <c r="BU88" i="25"/>
  <c r="BU90" i="25" s="1"/>
  <c r="BR118" i="25" l="1"/>
  <c r="BR122" i="25" s="1"/>
  <c r="BR120" i="25"/>
  <c r="BR141" i="25" s="1"/>
  <c r="BR143" i="25" s="1"/>
  <c r="BU94" i="25"/>
  <c r="BU95" i="25" s="1"/>
  <c r="BV86" i="25" s="1"/>
  <c r="BT101" i="25"/>
  <c r="BT98" i="25"/>
  <c r="BT102" i="25" s="1"/>
  <c r="BS112" i="25"/>
  <c r="BS103" i="25"/>
  <c r="BT99" i="25" l="1"/>
  <c r="BT112" i="25" s="1"/>
  <c r="BV88" i="25"/>
  <c r="BV90" i="25" s="1"/>
  <c r="BU97" i="25"/>
  <c r="BU101" i="25" s="1"/>
  <c r="BV91" i="25"/>
  <c r="BS114" i="25"/>
  <c r="BS117" i="25" s="1"/>
  <c r="BS121" i="25" s="1"/>
  <c r="BS131" i="25" s="1"/>
  <c r="BS133" i="25" s="1"/>
  <c r="BS113" i="25"/>
  <c r="BS116" i="25" s="1"/>
  <c r="BU98" i="25" l="1"/>
  <c r="BU102" i="25" s="1"/>
  <c r="BT103" i="25"/>
  <c r="BV94" i="25"/>
  <c r="BW88" i="25" s="1"/>
  <c r="BW90" i="25" s="1"/>
  <c r="BS118" i="25"/>
  <c r="BS122" i="25" s="1"/>
  <c r="BS120" i="25"/>
  <c r="BS141" i="25" s="1"/>
  <c r="BS143" i="25" s="1"/>
  <c r="BT114" i="25"/>
  <c r="BT117" i="25" s="1"/>
  <c r="BT121" i="25" s="1"/>
  <c r="BT131" i="25" s="1"/>
  <c r="BT133" i="25" s="1"/>
  <c r="BT113" i="25"/>
  <c r="BT116" i="25" s="1"/>
  <c r="BV97" i="25" l="1"/>
  <c r="BV98" i="25" s="1"/>
  <c r="BV102" i="25" s="1"/>
  <c r="BV95" i="25"/>
  <c r="BW86" i="25" s="1"/>
  <c r="BU99" i="25"/>
  <c r="BU112" i="25" s="1"/>
  <c r="BW91" i="25"/>
  <c r="BW94" i="25" s="1"/>
  <c r="BT118" i="25"/>
  <c r="BT122" i="25" s="1"/>
  <c r="BT120" i="25"/>
  <c r="BT141" i="25" s="1"/>
  <c r="BT143" i="25" s="1"/>
  <c r="BV101" i="25" l="1"/>
  <c r="BU103" i="25"/>
  <c r="BX91" i="25"/>
  <c r="BW95" i="25"/>
  <c r="BX86" i="25" s="1"/>
  <c r="BW97" i="25"/>
  <c r="BX88" i="25"/>
  <c r="BX90" i="25" s="1"/>
  <c r="BV99" i="25"/>
  <c r="BV112" i="25" s="1"/>
  <c r="BU113" i="25"/>
  <c r="BU116" i="25" s="1"/>
  <c r="BU114" i="25"/>
  <c r="BU117" i="25" s="1"/>
  <c r="BU121" i="25" s="1"/>
  <c r="BU131" i="25" s="1"/>
  <c r="BU133" i="25" s="1"/>
  <c r="BW98" i="25" l="1"/>
  <c r="BW101" i="25"/>
  <c r="BX94" i="25"/>
  <c r="BX97" i="25" s="1"/>
  <c r="BX98" i="25" s="1"/>
  <c r="BX102" i="25" s="1"/>
  <c r="BV103" i="25"/>
  <c r="BU120" i="25"/>
  <c r="BU141" i="25" s="1"/>
  <c r="BU143" i="25" s="1"/>
  <c r="BU118" i="25"/>
  <c r="BU122" i="25" s="1"/>
  <c r="BV114" i="25"/>
  <c r="BV117" i="25" s="1"/>
  <c r="BV121" i="25" s="1"/>
  <c r="BV131" i="25" s="1"/>
  <c r="BV133" i="25" s="1"/>
  <c r="BV113" i="25"/>
  <c r="BV116" i="25" s="1"/>
  <c r="BW102" i="25" l="1"/>
  <c r="BW99" i="25"/>
  <c r="BX99" i="25"/>
  <c r="BX103" i="25" s="1"/>
  <c r="BX101" i="25"/>
  <c r="BX95" i="25"/>
  <c r="BY86" i="25" s="1"/>
  <c r="BY91" i="25"/>
  <c r="BY88" i="25"/>
  <c r="BY90" i="25" s="1"/>
  <c r="BV118" i="25"/>
  <c r="BV122" i="25" s="1"/>
  <c r="BV120" i="25"/>
  <c r="BV141" i="25" s="1"/>
  <c r="BV143" i="25" s="1"/>
  <c r="BW112" i="25" l="1"/>
  <c r="BW103" i="25"/>
  <c r="BY94" i="25"/>
  <c r="BZ91" i="25" s="1"/>
  <c r="BX112" i="25"/>
  <c r="BW113" i="25" l="1"/>
  <c r="BW116" i="25" s="1"/>
  <c r="BW114" i="25"/>
  <c r="BW117" i="25" s="1"/>
  <c r="BW121" i="25" s="1"/>
  <c r="BW131" i="25" s="1"/>
  <c r="BW133" i="25" s="1"/>
  <c r="BZ88" i="25"/>
  <c r="BZ90" i="25" s="1"/>
  <c r="BZ94" i="25" s="1"/>
  <c r="CA91" i="25" s="1"/>
  <c r="BY95" i="25"/>
  <c r="BZ86" i="25" s="1"/>
  <c r="BY97" i="25"/>
  <c r="BX114" i="25"/>
  <c r="BX117" i="25" s="1"/>
  <c r="BX121" i="25" s="1"/>
  <c r="BX131" i="25" s="1"/>
  <c r="BX133" i="25" s="1"/>
  <c r="BX113" i="25"/>
  <c r="BX116" i="25" s="1"/>
  <c r="BW118" i="25" l="1"/>
  <c r="BW122" i="25" s="1"/>
  <c r="BW120" i="25"/>
  <c r="BW141" i="25" s="1"/>
  <c r="BW143" i="25" s="1"/>
  <c r="BY98" i="25"/>
  <c r="BY101" i="25"/>
  <c r="CA88" i="25"/>
  <c r="CA90" i="25" s="1"/>
  <c r="BX120" i="25"/>
  <c r="BX141" i="25" s="1"/>
  <c r="BX143" i="25" s="1"/>
  <c r="BX118" i="25"/>
  <c r="BX122" i="25" s="1"/>
  <c r="BZ95" i="25"/>
  <c r="CA86" i="25" s="1"/>
  <c r="BZ97" i="25"/>
  <c r="BY102" i="25" l="1"/>
  <c r="BY99" i="25"/>
  <c r="BZ101" i="25"/>
  <c r="BZ98" i="25"/>
  <c r="CA94" i="25"/>
  <c r="CB91" i="25" s="1"/>
  <c r="BY103" i="25" l="1"/>
  <c r="BY112" i="25"/>
  <c r="CA97" i="25"/>
  <c r="CB88" i="25"/>
  <c r="CB90" i="25" s="1"/>
  <c r="BZ102" i="25"/>
  <c r="BZ99" i="25"/>
  <c r="CA95" i="25"/>
  <c r="CB86" i="25" s="1"/>
  <c r="BY114" i="25" l="1"/>
  <c r="BY117" i="25" s="1"/>
  <c r="BY121" i="25" s="1"/>
  <c r="BY131" i="25" s="1"/>
  <c r="BY133" i="25" s="1"/>
  <c r="BY113" i="25"/>
  <c r="BY116" i="25" s="1"/>
  <c r="BZ112" i="25"/>
  <c r="BZ103" i="25"/>
  <c r="CB94" i="25"/>
  <c r="CC91" i="25" s="1"/>
  <c r="CA101" i="25"/>
  <c r="CA98" i="25"/>
  <c r="CA102" i="25" s="1"/>
  <c r="BY118" i="25" l="1"/>
  <c r="BY122" i="25" s="1"/>
  <c r="BY120" i="25"/>
  <c r="BY141" i="25" s="1"/>
  <c r="BY143" i="25" s="1"/>
  <c r="CA99" i="25"/>
  <c r="CA112" i="25" s="1"/>
  <c r="CB95" i="25"/>
  <c r="CC86" i="25" s="1"/>
  <c r="CC88" i="25"/>
  <c r="CC90" i="25" s="1"/>
  <c r="CB97" i="25"/>
  <c r="BZ113" i="25"/>
  <c r="BZ116" i="25" s="1"/>
  <c r="BZ114" i="25"/>
  <c r="BZ117" i="25" s="1"/>
  <c r="BZ121" i="25" s="1"/>
  <c r="BZ131" i="25" s="1"/>
  <c r="BZ133" i="25" s="1"/>
  <c r="CA103" i="25" l="1"/>
  <c r="CC94" i="25"/>
  <c r="CD91" i="25" s="1"/>
  <c r="BZ120" i="25"/>
  <c r="BZ141" i="25" s="1"/>
  <c r="BZ143" i="25" s="1"/>
  <c r="BZ118" i="25"/>
  <c r="BZ122" i="25" s="1"/>
  <c r="CB98" i="25"/>
  <c r="CB101" i="25"/>
  <c r="CA113" i="25"/>
  <c r="CA116" i="25" s="1"/>
  <c r="CA114" i="25"/>
  <c r="CA117" i="25" s="1"/>
  <c r="CA121" i="25" s="1"/>
  <c r="CA131" i="25" s="1"/>
  <c r="CA133" i="25" s="1"/>
  <c r="CC95" i="25" l="1"/>
  <c r="CD86" i="25" s="1"/>
  <c r="CB102" i="25"/>
  <c r="CB99" i="25"/>
  <c r="CC97" i="25"/>
  <c r="CD88" i="25"/>
  <c r="CD90" i="25" s="1"/>
  <c r="CA118" i="25"/>
  <c r="CA122" i="25" s="1"/>
  <c r="CA120" i="25"/>
  <c r="CA141" i="25" s="1"/>
  <c r="CA143" i="25" s="1"/>
  <c r="CC101" i="25" l="1"/>
  <c r="CC98" i="25"/>
  <c r="CC102" i="25" s="1"/>
  <c r="CB112" i="25"/>
  <c r="CB103" i="25"/>
  <c r="CD94" i="25"/>
  <c r="CE91" i="25" s="1"/>
  <c r="CC99" i="25" l="1"/>
  <c r="CC112" i="25" s="1"/>
  <c r="CE88" i="25"/>
  <c r="CE90" i="25" s="1"/>
  <c r="CD95" i="25"/>
  <c r="CE86" i="25" s="1"/>
  <c r="CD97" i="25"/>
  <c r="CB114" i="25"/>
  <c r="CB117" i="25" s="1"/>
  <c r="CB121" i="25" s="1"/>
  <c r="CB131" i="25" s="1"/>
  <c r="CB133" i="25" s="1"/>
  <c r="CB113" i="25"/>
  <c r="CB116" i="25" s="1"/>
  <c r="CC103" i="25" l="1"/>
  <c r="CB118" i="25"/>
  <c r="CB122" i="25" s="1"/>
  <c r="CB120" i="25"/>
  <c r="CB141" i="25" s="1"/>
  <c r="CB143" i="25" s="1"/>
  <c r="CD101" i="25"/>
  <c r="CD98" i="25"/>
  <c r="CD102" i="25" s="1"/>
  <c r="CE94" i="25"/>
  <c r="CE95" i="25" s="1"/>
  <c r="CF86" i="25" s="1"/>
  <c r="CC113" i="25"/>
  <c r="CC116" i="25" s="1"/>
  <c r="CC114" i="25"/>
  <c r="CC117" i="25" s="1"/>
  <c r="CC121" i="25" s="1"/>
  <c r="CC131" i="25" s="1"/>
  <c r="CC133" i="25" s="1"/>
  <c r="CF88" i="25" l="1"/>
  <c r="CF90" i="25" s="1"/>
  <c r="CE97" i="25"/>
  <c r="CE98" i="25" s="1"/>
  <c r="CE102" i="25" s="1"/>
  <c r="CF91" i="25"/>
  <c r="CD99" i="25"/>
  <c r="CC120" i="25"/>
  <c r="CC141" i="25" s="1"/>
  <c r="CC143" i="25" s="1"/>
  <c r="CC118" i="25"/>
  <c r="CC122" i="25" s="1"/>
  <c r="CE101" i="25" l="1"/>
  <c r="CE99" i="25"/>
  <c r="CE103" i="25" s="1"/>
  <c r="CF94" i="25"/>
  <c r="CG91" i="25" s="1"/>
  <c r="CD112" i="25"/>
  <c r="CD103" i="25"/>
  <c r="CE112" i="25" l="1"/>
  <c r="CF97" i="25"/>
  <c r="CG88" i="25"/>
  <c r="CG90" i="25" s="1"/>
  <c r="CD114" i="25"/>
  <c r="CD117" i="25" s="1"/>
  <c r="CD121" i="25" s="1"/>
  <c r="CD131" i="25" s="1"/>
  <c r="CD133" i="25" s="1"/>
  <c r="CD113" i="25"/>
  <c r="CD116" i="25" s="1"/>
  <c r="CF95" i="25"/>
  <c r="CG86" i="25" s="1"/>
  <c r="CE113" i="25" l="1"/>
  <c r="CE116" i="25" s="1"/>
  <c r="CE114" i="25"/>
  <c r="CE117" i="25" s="1"/>
  <c r="CE121" i="25" s="1"/>
  <c r="CE131" i="25" s="1"/>
  <c r="CE133" i="25" s="1"/>
  <c r="CG94" i="25"/>
  <c r="CG95" i="25" s="1"/>
  <c r="CH86" i="25" s="1"/>
  <c r="CD120" i="25"/>
  <c r="CD141" i="25" s="1"/>
  <c r="CD143" i="25" s="1"/>
  <c r="CD118" i="25"/>
  <c r="CD122" i="25" s="1"/>
  <c r="CF98" i="25"/>
  <c r="CF102" i="25" s="1"/>
  <c r="CF101" i="25"/>
  <c r="CE118" i="25" l="1"/>
  <c r="CE122" i="25" s="1"/>
  <c r="CE120" i="25"/>
  <c r="CE141" i="25" s="1"/>
  <c r="CE143" i="25" s="1"/>
  <c r="CF99" i="25"/>
  <c r="CG97" i="25"/>
  <c r="CH91" i="25"/>
  <c r="CH88" i="25"/>
  <c r="CH90" i="25" s="1"/>
  <c r="CF103" i="25" l="1"/>
  <c r="CF112" i="25"/>
  <c r="CG98" i="25"/>
  <c r="CG101" i="25"/>
  <c r="CH94" i="25"/>
  <c r="CI91" i="25" s="1"/>
  <c r="CG102" i="25" l="1"/>
  <c r="CG99" i="25"/>
  <c r="CF113" i="25"/>
  <c r="CF116" i="25" s="1"/>
  <c r="CF114" i="25"/>
  <c r="CF117" i="25" s="1"/>
  <c r="CF121" i="25" s="1"/>
  <c r="CF131" i="25" s="1"/>
  <c r="CF133" i="25" s="1"/>
  <c r="CI88" i="25"/>
  <c r="CI90" i="25" s="1"/>
  <c r="CH97" i="25"/>
  <c r="CH95" i="25"/>
  <c r="CI86" i="25" s="1"/>
  <c r="CG103" i="25" l="1"/>
  <c r="CG112" i="25"/>
  <c r="CF118" i="25"/>
  <c r="CF122" i="25" s="1"/>
  <c r="CF120" i="25"/>
  <c r="CF141" i="25" s="1"/>
  <c r="CF143" i="25" s="1"/>
  <c r="CH101" i="25"/>
  <c r="CH98" i="25"/>
  <c r="CH102" i="25" s="1"/>
  <c r="CI94" i="25"/>
  <c r="CJ91" i="25" s="1"/>
  <c r="CG114" i="25" l="1"/>
  <c r="CG117" i="25" s="1"/>
  <c r="CG113" i="25"/>
  <c r="CG116" i="25" s="1"/>
  <c r="CG120" i="25" s="1"/>
  <c r="CG141" i="25" s="1"/>
  <c r="CG143" i="25" s="1"/>
  <c r="CH99" i="25"/>
  <c r="CH112" i="25" s="1"/>
  <c r="CI95" i="25"/>
  <c r="CJ86" i="25" s="1"/>
  <c r="CI97" i="25"/>
  <c r="CJ88" i="25"/>
  <c r="CJ90" i="25" s="1"/>
  <c r="CG121" i="25" l="1"/>
  <c r="CG131" i="25" s="1"/>
  <c r="CG133" i="25" s="1"/>
  <c r="CG118" i="25"/>
  <c r="CG122" i="25" s="1"/>
  <c r="CH103" i="25"/>
  <c r="CJ94" i="25"/>
  <c r="CH113" i="25"/>
  <c r="CH116" i="25" s="1"/>
  <c r="CH114" i="25"/>
  <c r="CH117" i="25" s="1"/>
  <c r="CH121" i="25" s="1"/>
  <c r="CH131" i="25" s="1"/>
  <c r="CH133" i="25" s="1"/>
  <c r="CI98" i="25"/>
  <c r="CI102" i="25" s="1"/>
  <c r="CI101" i="25"/>
  <c r="CJ97" i="25" l="1"/>
  <c r="CJ101" i="25" s="1"/>
  <c r="CK91" i="25"/>
  <c r="CJ95" i="25"/>
  <c r="CK86" i="25" s="1"/>
  <c r="CI99" i="25"/>
  <c r="CH120" i="25"/>
  <c r="CH141" i="25" s="1"/>
  <c r="CH143" i="25" s="1"/>
  <c r="CH118" i="25"/>
  <c r="CH122" i="25" s="1"/>
  <c r="CK88" i="25"/>
  <c r="CK90" i="25" s="1"/>
  <c r="CJ98" i="25" l="1"/>
  <c r="CK94" i="25"/>
  <c r="CK97" i="25" s="1"/>
  <c r="CI112" i="25"/>
  <c r="CI103" i="25"/>
  <c r="CJ102" i="25" l="1"/>
  <c r="CJ99" i="25"/>
  <c r="CK95" i="25"/>
  <c r="CI113" i="25"/>
  <c r="CI116" i="25" s="1"/>
  <c r="CI114" i="25"/>
  <c r="CI117" i="25" s="1"/>
  <c r="CI121" i="25" s="1"/>
  <c r="CI131" i="25" s="1"/>
  <c r="CI133" i="25" s="1"/>
  <c r="CK98" i="25"/>
  <c r="CK102" i="25" s="1"/>
  <c r="CK101" i="25"/>
  <c r="CJ112" i="25" l="1"/>
  <c r="CJ103" i="25"/>
  <c r="CK99" i="25"/>
  <c r="CK103" i="25" s="1"/>
  <c r="E107" i="25"/>
  <c r="E106" i="25"/>
  <c r="E108" i="25"/>
  <c r="F108" i="25"/>
  <c r="F107" i="25"/>
  <c r="F106" i="25"/>
  <c r="CI118" i="25"/>
  <c r="CI122" i="25" s="1"/>
  <c r="CI120" i="25"/>
  <c r="CI141" i="25" s="1"/>
  <c r="CI143" i="25" s="1"/>
  <c r="CJ114" i="25" l="1"/>
  <c r="CJ117" i="25" s="1"/>
  <c r="CJ121" i="25" s="1"/>
  <c r="CJ131" i="25" s="1"/>
  <c r="CJ133" i="25" s="1"/>
  <c r="CJ113" i="25"/>
  <c r="CJ116" i="25" s="1"/>
  <c r="CK112" i="25"/>
  <c r="CK114" i="25" s="1"/>
  <c r="CK117" i="25" s="1"/>
  <c r="CK121" i="25" s="1"/>
  <c r="G107" i="25"/>
  <c r="G106" i="25"/>
  <c r="G108" i="25"/>
  <c r="CK113" i="25" l="1"/>
  <c r="CK116" i="25" s="1"/>
  <c r="CK118" i="25" s="1"/>
  <c r="CK122" i="25" s="1"/>
  <c r="CJ120" i="25"/>
  <c r="CJ141" i="25" s="1"/>
  <c r="CJ143" i="25" s="1"/>
  <c r="CJ118" i="25"/>
  <c r="CJ122" i="25" s="1"/>
  <c r="CK131" i="25"/>
  <c r="CK133" i="25" s="1"/>
  <c r="F126" i="25"/>
  <c r="F125" i="25"/>
  <c r="F127" i="25"/>
  <c r="CK120" i="25" l="1"/>
  <c r="E126" i="25" s="1"/>
  <c r="G125" i="25"/>
  <c r="E136" i="25"/>
  <c r="J27" i="23" s="1"/>
  <c r="E135" i="25"/>
  <c r="I27" i="23" s="1"/>
  <c r="E137" i="25"/>
  <c r="K27" i="23" s="1"/>
  <c r="G126" i="25"/>
  <c r="G127" i="25"/>
  <c r="CK141" i="25" l="1"/>
  <c r="CK143" i="25" s="1"/>
  <c r="E146" i="25" s="1"/>
  <c r="G27" i="23" s="1"/>
  <c r="E125" i="25"/>
  <c r="E127" i="25"/>
  <c r="E145" i="25" l="1"/>
  <c r="F27" i="23" s="1"/>
  <c r="F28" i="23" s="1"/>
  <c r="C76" i="23" s="1"/>
  <c r="E147" i="25"/>
  <c r="H27" i="23" s="1"/>
  <c r="H28" i="23" s="1"/>
  <c r="C17" i="23"/>
  <c r="C41" i="23" s="1"/>
  <c r="E17" i="23"/>
  <c r="F17" i="23"/>
  <c r="C66" i="23" s="1"/>
  <c r="G17" i="23"/>
  <c r="H17" i="23"/>
  <c r="I17" i="23"/>
  <c r="C90" i="23" s="1"/>
  <c r="J17" i="23"/>
  <c r="K17" i="23"/>
  <c r="C28" i="23"/>
  <c r="C51" i="23" s="1"/>
  <c r="D28" i="23"/>
  <c r="E28" i="23"/>
  <c r="G28" i="23"/>
  <c r="I28" i="23"/>
  <c r="J28" i="23"/>
  <c r="K28" i="23"/>
  <c r="C100" i="23" l="1"/>
  <c r="C18" i="23" l="1"/>
  <c r="D18" i="23"/>
  <c r="E18" i="23"/>
  <c r="F18" i="23"/>
  <c r="G18" i="23"/>
  <c r="H18" i="23"/>
  <c r="I18" i="23"/>
  <c r="J18" i="23"/>
  <c r="K18" i="23"/>
  <c r="C19" i="23"/>
  <c r="D19" i="23"/>
  <c r="E19" i="23"/>
  <c r="F19" i="23"/>
  <c r="G19" i="23"/>
  <c r="H19" i="23"/>
  <c r="I19" i="23"/>
  <c r="J19" i="23"/>
  <c r="K19" i="23"/>
  <c r="C21" i="23"/>
  <c r="D21" i="23"/>
  <c r="E21" i="23"/>
  <c r="F21" i="23"/>
  <c r="G21" i="23"/>
  <c r="H21" i="23"/>
  <c r="I21" i="23"/>
  <c r="J21" i="23"/>
  <c r="K21" i="23"/>
  <c r="C29" i="23"/>
  <c r="D29" i="23"/>
  <c r="E29" i="23"/>
  <c r="F29" i="23"/>
  <c r="G29" i="23"/>
  <c r="H29" i="23"/>
  <c r="I29" i="23"/>
  <c r="J29" i="23"/>
  <c r="K29" i="23"/>
  <c r="C30" i="23"/>
  <c r="D30" i="23"/>
  <c r="E30" i="23"/>
  <c r="F30" i="23"/>
  <c r="G30" i="23"/>
  <c r="H30" i="23"/>
  <c r="I30" i="23"/>
  <c r="J30" i="23"/>
  <c r="K30" i="23"/>
  <c r="C32" i="23"/>
  <c r="D32" i="23"/>
  <c r="E32" i="23"/>
  <c r="F32" i="23"/>
  <c r="G32" i="23"/>
  <c r="H32" i="23"/>
  <c r="I32" i="23"/>
  <c r="J32" i="23"/>
  <c r="K32" i="23"/>
  <c r="E41" i="23"/>
  <c r="F41" i="23"/>
  <c r="G41" i="23"/>
  <c r="C42" i="23"/>
  <c r="E42" i="23"/>
  <c r="F42" i="23"/>
  <c r="G42" i="23"/>
  <c r="C43" i="23"/>
  <c r="E43" i="23"/>
  <c r="F43" i="23"/>
  <c r="G43" i="23"/>
  <c r="C44" i="23"/>
  <c r="C45" i="23"/>
  <c r="C46" i="23"/>
  <c r="E51" i="23"/>
  <c r="F51" i="23"/>
  <c r="G51" i="23"/>
  <c r="C52" i="23"/>
  <c r="E52" i="23"/>
  <c r="F52" i="23"/>
  <c r="G52" i="23"/>
  <c r="C53" i="23"/>
  <c r="E53" i="23"/>
  <c r="F53" i="23"/>
  <c r="G53" i="23"/>
  <c r="C54" i="23"/>
  <c r="C55" i="23"/>
  <c r="C56" i="23"/>
  <c r="E66" i="23"/>
  <c r="F66" i="23"/>
  <c r="G66" i="23"/>
  <c r="C67" i="23"/>
  <c r="E67" i="23"/>
  <c r="F67" i="23"/>
  <c r="G67" i="23"/>
  <c r="C68" i="23"/>
  <c r="E68" i="23"/>
  <c r="F68" i="23"/>
  <c r="G68" i="23"/>
  <c r="C69" i="23"/>
  <c r="C70" i="23"/>
  <c r="C71" i="23"/>
  <c r="E76" i="23"/>
  <c r="F76" i="23"/>
  <c r="G76" i="23"/>
  <c r="C77" i="23"/>
  <c r="E77" i="23"/>
  <c r="F77" i="23"/>
  <c r="G77" i="23"/>
  <c r="C78" i="23"/>
  <c r="E78" i="23"/>
  <c r="F78" i="23"/>
  <c r="G78" i="23"/>
  <c r="C79" i="23"/>
  <c r="C80" i="23"/>
  <c r="C81" i="23"/>
  <c r="E90" i="23"/>
  <c r="F90" i="23"/>
  <c r="G90" i="23"/>
  <c r="C91" i="23"/>
  <c r="E91" i="23"/>
  <c r="F91" i="23"/>
  <c r="G91" i="23"/>
  <c r="C92" i="23"/>
  <c r="E92" i="23"/>
  <c r="F92" i="23"/>
  <c r="G92" i="23"/>
  <c r="C93" i="23"/>
  <c r="C94" i="23"/>
  <c r="C95" i="23"/>
  <c r="E100" i="23"/>
  <c r="F100" i="23"/>
  <c r="G100" i="23"/>
  <c r="C101" i="23"/>
  <c r="E101" i="23"/>
  <c r="F101" i="23"/>
  <c r="G101" i="23"/>
  <c r="C102" i="23"/>
  <c r="E102" i="23"/>
  <c r="F102" i="23"/>
  <c r="G102" i="23"/>
  <c r="C103" i="23"/>
  <c r="C104" i="23"/>
  <c r="C105" i="23"/>
</calcChain>
</file>

<file path=xl/sharedStrings.xml><?xml version="1.0" encoding="utf-8"?>
<sst xmlns="http://schemas.openxmlformats.org/spreadsheetml/2006/main" count="1362" uniqueCount="378">
  <si>
    <t>Building Name</t>
  </si>
  <si>
    <t>Address</t>
  </si>
  <si>
    <t>City</t>
  </si>
  <si>
    <t>Analysis Begin Date</t>
  </si>
  <si>
    <t>Holding Period</t>
  </si>
  <si>
    <t>Selling Cost</t>
  </si>
  <si>
    <t>$ Amount</t>
  </si>
  <si>
    <t>Insurance</t>
  </si>
  <si>
    <t>Roof Repair (year 1)</t>
  </si>
  <si>
    <t>Present Value of Cash Flow</t>
  </si>
  <si>
    <t>Resale Calculations:</t>
  </si>
  <si>
    <t>PV Cash flows</t>
  </si>
  <si>
    <t>Net Resale</t>
  </si>
  <si>
    <t>Share</t>
  </si>
  <si>
    <t>PV of Reversion</t>
  </si>
  <si>
    <t>x</t>
  </si>
  <si>
    <t xml:space="preserve"> </t>
  </si>
  <si>
    <t>Instructions</t>
  </si>
  <si>
    <t>Real Estate Financial Modeling</t>
  </si>
  <si>
    <t>School of Hotel Administration</t>
  </si>
  <si>
    <t>Daniel Lebret</t>
  </si>
  <si>
    <t>Operating Expenses</t>
  </si>
  <si>
    <t>Effective Gross Income (EGI)</t>
  </si>
  <si>
    <t>Years</t>
  </si>
  <si>
    <t>Net Operating Income</t>
  </si>
  <si>
    <t>Model: Valuation</t>
  </si>
  <si>
    <t>Total Unlevered Value</t>
  </si>
  <si>
    <t>Unlevered Value</t>
  </si>
  <si>
    <t>Before Debt Service Cash Flow (BDSCF)</t>
  </si>
  <si>
    <t>Weight</t>
  </si>
  <si>
    <t>Total</t>
  </si>
  <si>
    <t>NOI</t>
  </si>
  <si>
    <t>Hotel Assumptions</t>
  </si>
  <si>
    <t>Number of Rooms</t>
  </si>
  <si>
    <t>Days Open</t>
  </si>
  <si>
    <t>Historical Occupancy</t>
  </si>
  <si>
    <t>Transient</t>
  </si>
  <si>
    <t>Group</t>
  </si>
  <si>
    <t>Average Rate (ADR)</t>
  </si>
  <si>
    <t>F&amp;B % of Room Rev</t>
  </si>
  <si>
    <t>Miscellaneous</t>
  </si>
  <si>
    <t>Hotel "Excel'sior"</t>
  </si>
  <si>
    <t>Geeky Valley</t>
  </si>
  <si>
    <t>Brainville</t>
  </si>
  <si>
    <t>State</t>
  </si>
  <si>
    <t>CPU</t>
  </si>
  <si>
    <t>Occupancy</t>
  </si>
  <si>
    <t>Transient Occupancy Weight</t>
  </si>
  <si>
    <t>Group Occupancy Weight</t>
  </si>
  <si>
    <t>ADR Overall</t>
  </si>
  <si>
    <t>Transient ADR</t>
  </si>
  <si>
    <t>Group ADR</t>
  </si>
  <si>
    <t>FB % of Room Rev</t>
  </si>
  <si>
    <t>Transient FB % of Room Rev</t>
  </si>
  <si>
    <t>Group FB % of Room Rev</t>
  </si>
  <si>
    <t>Inflation</t>
  </si>
  <si>
    <t>Hotel Forecast</t>
  </si>
  <si>
    <t>Graph - Hotel</t>
  </si>
  <si>
    <t>Inputs - Income</t>
  </si>
  <si>
    <t>Inputs - Operating Expenses</t>
  </si>
  <si>
    <t>Historical</t>
  </si>
  <si>
    <t>Mix</t>
  </si>
  <si>
    <t>Credit</t>
  </si>
  <si>
    <t>DISTRIBUTED</t>
  </si>
  <si>
    <t>Dollar Amount</t>
  </si>
  <si>
    <t>% Rev</t>
  </si>
  <si>
    <t>% of Rev</t>
  </si>
  <si>
    <t>PAR</t>
  </si>
  <si>
    <t>POR</t>
  </si>
  <si>
    <t>Rooms</t>
  </si>
  <si>
    <t>Total F&amp;B</t>
  </si>
  <si>
    <t>TOTAL DEPT EXPENSE</t>
  </si>
  <si>
    <t>UNDISTRIBUTED</t>
  </si>
  <si>
    <t>%</t>
  </si>
  <si>
    <t>Administrative &amp; General</t>
  </si>
  <si>
    <t>Sales &amp; Marketing</t>
  </si>
  <si>
    <t>Royalty Fees</t>
  </si>
  <si>
    <t>Repairs &amp; Maintenance</t>
  </si>
  <si>
    <t>Utilities</t>
  </si>
  <si>
    <t>Base Management Fee* (%EGI)</t>
  </si>
  <si>
    <t>Incentive Management Fee*</t>
  </si>
  <si>
    <t xml:space="preserve">*Management contracts will be defined later this semester. Only base fees are included here. </t>
  </si>
  <si>
    <t>FIXED EXPENSES</t>
  </si>
  <si>
    <t>Real Estate &amp; Property Taxes</t>
  </si>
  <si>
    <t xml:space="preserve">Rent  </t>
  </si>
  <si>
    <t>CAPITAL EXPENDITURES</t>
  </si>
  <si>
    <t>FF&amp;E Reserve</t>
  </si>
  <si>
    <t>REVPAR</t>
  </si>
  <si>
    <t>* There are no distributed expenses for the commercial space</t>
  </si>
  <si>
    <t>Hotel Revenue</t>
  </si>
  <si>
    <t>Annual Available Rooms</t>
  </si>
  <si>
    <t>Occupied Rooms</t>
  </si>
  <si>
    <t>Transient Occupied Rooms</t>
  </si>
  <si>
    <t>Group Occupied Rooms</t>
  </si>
  <si>
    <t>ADR Transient</t>
  </si>
  <si>
    <t>ADR Group</t>
  </si>
  <si>
    <t>% Change</t>
  </si>
  <si>
    <t>RevPAR</t>
  </si>
  <si>
    <t>FB Transient</t>
  </si>
  <si>
    <t>FB Group</t>
  </si>
  <si>
    <t>Total Hotel Revenue</t>
  </si>
  <si>
    <t>Model: Pro-Forma - Hotel</t>
  </si>
  <si>
    <t>PROFIT</t>
  </si>
  <si>
    <t>TOTAL DEPT PROFIT</t>
  </si>
  <si>
    <t>TOTAL UNDISTRIBUTED</t>
  </si>
  <si>
    <t>HOUSE PROFIT</t>
  </si>
  <si>
    <t>Base Management Fee</t>
  </si>
  <si>
    <t>Incentive Management Fee</t>
  </si>
  <si>
    <t>INCOME BEFORE FIXED</t>
  </si>
  <si>
    <t>TOTAL FIXED EXPENSES</t>
  </si>
  <si>
    <t>EBITDA</t>
  </si>
  <si>
    <t>TOTAL CAP EXPENDITURES</t>
  </si>
  <si>
    <t>Hotel</t>
  </si>
  <si>
    <t>Discount Rate - Hotel</t>
  </si>
  <si>
    <t>Terminal Cap Rate - Hotel</t>
  </si>
  <si>
    <t>Present Value Factor</t>
  </si>
  <si>
    <t>Unlevered Value Per Key</t>
  </si>
  <si>
    <t>Hotel Operating Expenses</t>
  </si>
  <si>
    <t>Input: Construction Schedule</t>
  </si>
  <si>
    <t>Land / Acquisition</t>
  </si>
  <si>
    <t>Finance &amp; Legal</t>
  </si>
  <si>
    <t>Development</t>
  </si>
  <si>
    <t>Design &amp; Engineering</t>
  </si>
  <si>
    <t>Permits &amp; Fees</t>
  </si>
  <si>
    <t>FF&amp;E (Hard Costs)</t>
  </si>
  <si>
    <t>Hard Costs</t>
  </si>
  <si>
    <t>Pre-Construction Services</t>
  </si>
  <si>
    <t>Demolition/Remediation</t>
  </si>
  <si>
    <t>Tower Super Structure</t>
  </si>
  <si>
    <t>B-1 Lobby &amp; Functions</t>
  </si>
  <si>
    <t>Parking Garage</t>
  </si>
  <si>
    <t>Site Utilities</t>
  </si>
  <si>
    <t>Off Site / Street Improvements</t>
  </si>
  <si>
    <t>Adjacent Property Mitigation Measures</t>
  </si>
  <si>
    <t>General Conditions and Fees</t>
  </si>
  <si>
    <t>OS&amp;E - Technology</t>
  </si>
  <si>
    <t>Pre-Opening - Working Capital</t>
  </si>
  <si>
    <t>Subtotal</t>
  </si>
  <si>
    <t>Escalation</t>
  </si>
  <si>
    <t>Project Contingency</t>
  </si>
  <si>
    <t>Total Costs</t>
  </si>
  <si>
    <t>% Allocation</t>
  </si>
  <si>
    <t>GC &amp; Fee</t>
  </si>
  <si>
    <t>Months</t>
  </si>
  <si>
    <t>Forward Curves</t>
  </si>
  <si>
    <t>Input: Forward Curves</t>
  </si>
  <si>
    <t>1 Month USD LIBOR Forward Curve</t>
  </si>
  <si>
    <t>3 Month USD LIBOR Forward Curve</t>
  </si>
  <si>
    <t>Model: Capital Accounts</t>
  </si>
  <si>
    <t>$</t>
  </si>
  <si>
    <t>Construction Loan</t>
  </si>
  <si>
    <t>Land</t>
  </si>
  <si>
    <t>Construction Loan Commitment</t>
  </si>
  <si>
    <t>Soft Costs</t>
  </si>
  <si>
    <t>Preferred Equity</t>
  </si>
  <si>
    <t>Loan Fees</t>
  </si>
  <si>
    <t>NOI at Refi</t>
  </si>
  <si>
    <t>Common Equity</t>
  </si>
  <si>
    <t>Spread</t>
  </si>
  <si>
    <t>DSCR</t>
  </si>
  <si>
    <t>Contingency and Escalation</t>
  </si>
  <si>
    <t>Sponsor</t>
  </si>
  <si>
    <t xml:space="preserve">Origination </t>
  </si>
  <si>
    <t>Interest Reserve</t>
  </si>
  <si>
    <t>Co-Investor</t>
  </si>
  <si>
    <t>Maturity</t>
  </si>
  <si>
    <t>Rate</t>
  </si>
  <si>
    <t>Closing</t>
  </si>
  <si>
    <t>Type</t>
  </si>
  <si>
    <t>Amortization (Years)</t>
  </si>
  <si>
    <t>Sale Date</t>
  </si>
  <si>
    <t>Total Uses</t>
  </si>
  <si>
    <t>Total Sources</t>
  </si>
  <si>
    <t>Extension Fee</t>
  </si>
  <si>
    <t>Mortgage Constant (%)</t>
  </si>
  <si>
    <t>Exit Cap Rate</t>
  </si>
  <si>
    <t>Exercise Extension?</t>
  </si>
  <si>
    <t>DON’T EDIT</t>
  </si>
  <si>
    <t>Sales Costs</t>
  </si>
  <si>
    <t>Extension Date</t>
  </si>
  <si>
    <t>Gross Sales Proceeds</t>
  </si>
  <si>
    <t>Scenario</t>
  </si>
  <si>
    <t>Prepayment Fee</t>
  </si>
  <si>
    <t>Price per Key</t>
  </si>
  <si>
    <t xml:space="preserve">Preferred Equity </t>
  </si>
  <si>
    <t>Prepay Loan?</t>
  </si>
  <si>
    <t>Preferred Equity Return</t>
  </si>
  <si>
    <t>Year</t>
  </si>
  <si>
    <t>Date</t>
  </si>
  <si>
    <t>Sum</t>
  </si>
  <si>
    <t>Comments</t>
  </si>
  <si>
    <t>Sign</t>
  </si>
  <si>
    <t>Days</t>
  </si>
  <si>
    <t>Cash Flows to Equity</t>
  </si>
  <si>
    <t>+</t>
  </si>
  <si>
    <t xml:space="preserve">Make sure to divide by 12 for monthly! </t>
  </si>
  <si>
    <t>Selected Net Operating Income</t>
  </si>
  <si>
    <t>TTM NOI</t>
  </si>
  <si>
    <t>HINT: Link to "Construction Budget" tab</t>
  </si>
  <si>
    <t>–</t>
  </si>
  <si>
    <t>Unlevered Development Costs</t>
  </si>
  <si>
    <t>Construction Period Interest Draws</t>
  </si>
  <si>
    <t>Preferred Equity Funding</t>
  </si>
  <si>
    <t>Construction Loan Funding</t>
  </si>
  <si>
    <t>HINT: Interest expense less $ funded by construction interest draws</t>
  </si>
  <si>
    <t xml:space="preserve">Construction Loan Interest </t>
  </si>
  <si>
    <t>HINT: Only payable if you refinance in Year 4</t>
  </si>
  <si>
    <t>Construction Loan Extension Payment</t>
  </si>
  <si>
    <t>Construction Loan Repayment</t>
  </si>
  <si>
    <t xml:space="preserve">HINT: Payable on origination of new loan </t>
  </si>
  <si>
    <t>Preferred Equity Repayment</t>
  </si>
  <si>
    <t>Total Cash Flows to Equity</t>
  </si>
  <si>
    <t>HINT: You'll need a MAX function here</t>
  </si>
  <si>
    <t>Development Sources and Uses - CHECK</t>
  </si>
  <si>
    <t>Equity Funding</t>
  </si>
  <si>
    <t>HINT: If something doesn’t balance you will see the ERROR message come up</t>
  </si>
  <si>
    <t>CHECK</t>
  </si>
  <si>
    <t>IRR</t>
  </si>
  <si>
    <t>CFx</t>
  </si>
  <si>
    <t>HINT: Sum of all equity cash flows (no discounting)</t>
  </si>
  <si>
    <t>Net Profit</t>
  </si>
  <si>
    <t>Capital Accounts</t>
  </si>
  <si>
    <t>Beginning</t>
  </si>
  <si>
    <t>Funding</t>
  </si>
  <si>
    <t>Ending</t>
  </si>
  <si>
    <t>HINT: Need to adjust rate for a monthly model</t>
  </si>
  <si>
    <t>Pref Accrual</t>
  </si>
  <si>
    <t>Repayment</t>
  </si>
  <si>
    <t xml:space="preserve">Construction Loan </t>
  </si>
  <si>
    <t>1 Month LIBOR</t>
  </si>
  <si>
    <t>All-In Rate</t>
  </si>
  <si>
    <t>HINT: Use beginning bal to avoid circular reference. Adjust for Act / 360. "Days" in Row 22 can be helpful.</t>
  </si>
  <si>
    <t>Interest Expense</t>
  </si>
  <si>
    <t>HINT: Difference between NOI and interest expense</t>
  </si>
  <si>
    <t>Construction Period Interest</t>
  </si>
  <si>
    <t>Amortization</t>
  </si>
  <si>
    <t>HINT: Divide by 12 for monthly</t>
  </si>
  <si>
    <t>HINT: Difference between payment and interest expense</t>
  </si>
  <si>
    <t>Payment</t>
  </si>
  <si>
    <t>Fees</t>
  </si>
  <si>
    <t>Acquisition Fee</t>
  </si>
  <si>
    <t>Asset Management Fee</t>
  </si>
  <si>
    <t>Disposition Fee</t>
  </si>
  <si>
    <t>Cash Flows to Equity Net of Fees</t>
  </si>
  <si>
    <t>Net IRR (Pre-Promote)</t>
  </si>
  <si>
    <t>Opening</t>
  </si>
  <si>
    <t>Sum of Fees</t>
  </si>
  <si>
    <t>Cumulative Equity Invested</t>
  </si>
  <si>
    <t>Model: Equity Waterfall</t>
  </si>
  <si>
    <t>Promote Structure</t>
  </si>
  <si>
    <t>Hurdle</t>
  </si>
  <si>
    <t>% of Cash Flows</t>
  </si>
  <si>
    <t>Monthly</t>
  </si>
  <si>
    <t>Annual</t>
  </si>
  <si>
    <t>Net Promote</t>
  </si>
  <si>
    <t>Sponsor %</t>
  </si>
  <si>
    <t>Tier 1</t>
  </si>
  <si>
    <t>Tier 2</t>
  </si>
  <si>
    <t>Tier 3</t>
  </si>
  <si>
    <t>Thereafter</t>
  </si>
  <si>
    <t>Cash Flows to Distribute to Tier 1</t>
  </si>
  <si>
    <t>Beginning Balance - Co-investor</t>
  </si>
  <si>
    <t>Contributions</t>
  </si>
  <si>
    <t>Tier 1 Paydown</t>
  </si>
  <si>
    <t>Ending Balance</t>
  </si>
  <si>
    <t>Cash Flows Distributed to Co-Investor at Tier 1</t>
  </si>
  <si>
    <t>Cash Flows Distributed to Sponsor at Tier 1</t>
  </si>
  <si>
    <t>Cash Flows to Co-Investor</t>
  </si>
  <si>
    <t>Cash Flows to Sponsor</t>
  </si>
  <si>
    <t>Tier 1 IRR</t>
  </si>
  <si>
    <t>Cash Flows to Distribute to Tier 2</t>
  </si>
  <si>
    <t>Tier 2 Paydown</t>
  </si>
  <si>
    <t>Cash Flows Distributed to Co-Investor at Tier 2</t>
  </si>
  <si>
    <t>Cash Flows Distributed to Sponsor at Tier 2</t>
  </si>
  <si>
    <t>Tier 2 IRR</t>
  </si>
  <si>
    <t>Tier 3 Paydown</t>
  </si>
  <si>
    <t>Tier 3 IRR</t>
  </si>
  <si>
    <t>Tier 4</t>
  </si>
  <si>
    <t>Cash Flows Remaining to Distribute to Tier 4</t>
  </si>
  <si>
    <t>Cash Flows Distributed to Co-Investor at Tier 4</t>
  </si>
  <si>
    <t>Cash Flows Distributed to Sponsor at Tier 4</t>
  </si>
  <si>
    <t>Tier 4 IRR</t>
  </si>
  <si>
    <t>Cash Flows to Distribute to Tier 3</t>
  </si>
  <si>
    <t>Cash Flows Distributed to Co-Investor at Tier 3</t>
  </si>
  <si>
    <t>Cash Flows Distributed to Sponsor at Tier 3</t>
  </si>
  <si>
    <t>Adjustment for Fees to Sponsor</t>
  </si>
  <si>
    <t>Adjustment for Fees</t>
  </si>
  <si>
    <t>Adjusted Sponsor IRR</t>
  </si>
  <si>
    <t>Permanent Loan Proceeds</t>
  </si>
  <si>
    <t>Permanent Loan Fees</t>
  </si>
  <si>
    <t>Permanent Loan Debt Service</t>
  </si>
  <si>
    <t>Permanent Loan Repayment</t>
  </si>
  <si>
    <t>Permanent Loan Prepayment Penalty</t>
  </si>
  <si>
    <t>Payment Dummy</t>
  </si>
  <si>
    <t>HINT: There should be no NOI after sale date (cell G20)</t>
  </si>
  <si>
    <t>HINT: These should be paid at closing (cell G18)</t>
  </si>
  <si>
    <t>=-MIN(SUM(H78:H80),MAX(SUM(H36:H51),0))</t>
  </si>
  <si>
    <t>HINT: Index, Match, AND IFERROR functions will be helpful here.</t>
  </si>
  <si>
    <t>HINT: TTM = Trailing 12 month (OFFSET Function will be helpful here)</t>
  </si>
  <si>
    <t>Net Operating Income Hotel</t>
  </si>
  <si>
    <t>Scenarios</t>
  </si>
  <si>
    <t>Scenario in Model</t>
  </si>
  <si>
    <t>Label</t>
  </si>
  <si>
    <t>Case #</t>
  </si>
  <si>
    <t>Scenario In Model</t>
  </si>
  <si>
    <t>Running Case in Model</t>
  </si>
  <si>
    <t>Best Case</t>
  </si>
  <si>
    <t>Most Likely Case</t>
  </si>
  <si>
    <t>Worst Case</t>
  </si>
  <si>
    <t>Terminal Cap Rate</t>
  </si>
  <si>
    <t>Probability of Scenario</t>
  </si>
  <si>
    <r>
      <t xml:space="preserve">TO UPDATE DATA TABLES: </t>
    </r>
    <r>
      <rPr>
        <b/>
        <sz val="14"/>
        <color rgb="FFB31B1B"/>
        <rFont val="Arial"/>
        <family val="2"/>
      </rPr>
      <t>F9</t>
    </r>
  </si>
  <si>
    <t>Outputs</t>
  </si>
  <si>
    <t>Running Case</t>
  </si>
  <si>
    <t>Expected Value</t>
  </si>
  <si>
    <t>a5</t>
  </si>
  <si>
    <t>Sponsor - After Fees</t>
  </si>
  <si>
    <t>Net Profits</t>
  </si>
  <si>
    <t>Net Equity Returns</t>
  </si>
  <si>
    <t>Scenario Table</t>
  </si>
  <si>
    <t>Scenario in Model:</t>
  </si>
  <si>
    <t>Position</t>
  </si>
  <si>
    <t>Funding at 100%</t>
  </si>
  <si>
    <t>Case 1 - Cash Flows to Equity Net of Fees</t>
  </si>
  <si>
    <t>Case 2 - Cash Flows to Equity Net of Fees</t>
  </si>
  <si>
    <t>Deal in Model:</t>
  </si>
  <si>
    <t>EMx</t>
  </si>
  <si>
    <t>Tier 2 - Catch up</t>
  </si>
  <si>
    <t>Accrual for EMx Hurdle</t>
  </si>
  <si>
    <t>Beginning Balance - Sponsor</t>
  </si>
  <si>
    <t>Accrual for IRR Hurdle</t>
  </si>
  <si>
    <t>Adjustment for Preferred Equity to Co-Investor</t>
  </si>
  <si>
    <t>Adjustment for Preferred Equity</t>
  </si>
  <si>
    <t>Adjusted Co-Investor IRR</t>
  </si>
  <si>
    <t>Final Cash Flows to Sponsor</t>
  </si>
  <si>
    <t>Final Cash Flows to Co-Investor</t>
  </si>
  <si>
    <t>Co-Investor - After Pref Equity</t>
  </si>
  <si>
    <t>Deal Structure 2 - SCP takes both a preferred equity AND Limited Partner (Co-Investor) stake.</t>
  </si>
  <si>
    <t>Deal Structure 1 - Fulcrum Capital takes a preferred equity stake and Eagle Investments takes the LP Position.</t>
  </si>
  <si>
    <t>Capital Structure Analysis - Risk Adjusted Returns</t>
  </si>
  <si>
    <t>Returns</t>
  </si>
  <si>
    <t>Probability</t>
  </si>
  <si>
    <t>Deviation</t>
  </si>
  <si>
    <t>Sq. Deviation</t>
  </si>
  <si>
    <t>Product</t>
  </si>
  <si>
    <t>Standard Deviation</t>
  </si>
  <si>
    <t>Returns per Unit of Risk</t>
  </si>
  <si>
    <t>Expected Returns</t>
  </si>
  <si>
    <t>Impact of Partnership Structure on Sponsor Position - Capital Structure Analysis - Risk Adjusted Returns</t>
  </si>
  <si>
    <t>Impact of Partnership Structure on Co-Investor Position - Capital Structure Analysis - Risk Adjusted Returns</t>
  </si>
  <si>
    <t>Comparing Complex Deal Structures</t>
  </si>
  <si>
    <t xml:space="preserve">Permanent Loan </t>
  </si>
  <si>
    <t>Question 4: Data Tables</t>
  </si>
  <si>
    <t>Question 5: Comparing Net Equity Returns</t>
  </si>
  <si>
    <t>Question 6: Comparing L.P.s (Co-Investors) Total Returns</t>
  </si>
  <si>
    <t>Question 7: Comparing G.P.s (Sponsor) Total Returns</t>
  </si>
  <si>
    <t>Cash Flows to Sponsor + Fees</t>
  </si>
  <si>
    <t>Case 2 - SCP</t>
  </si>
  <si>
    <t>Case 1 - Eagle Investment &amp; Fulcrum Capital</t>
  </si>
  <si>
    <t>Deal Structure 1: Profit Sharing at the Joint Venture Level</t>
  </si>
  <si>
    <t>Deal Structure 2: Profit Sharing at the Joint Venture Level</t>
  </si>
  <si>
    <t>Balance to Pay for IRR Hurdle</t>
  </si>
  <si>
    <t>Balance to Pay for EMx Hurdle</t>
  </si>
  <si>
    <t>Inflation Adjustment</t>
  </si>
  <si>
    <t>Hotel (as of the end of Yr. 5)</t>
  </si>
  <si>
    <t>HINT: Ratio of all positive equity cash flows over all equity injections</t>
  </si>
  <si>
    <t>HINT: See "Cumulative Equity Invested" metric above. Adjust for monthly</t>
  </si>
  <si>
    <t>SOURCES AND USES</t>
  </si>
  <si>
    <t>FINANCING ASSUMPTIONS</t>
  </si>
  <si>
    <t>USES</t>
  </si>
  <si>
    <t>Per Key</t>
  </si>
  <si>
    <t>SOURCES</t>
  </si>
  <si>
    <t>CONSTRUCTION LOAN</t>
  </si>
  <si>
    <t>PERMANENT LOAN</t>
  </si>
  <si>
    <t>PREFERRED EQUITY</t>
  </si>
  <si>
    <t>SCENARIO</t>
  </si>
  <si>
    <t>PROMOTE</t>
  </si>
  <si>
    <t>Exam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</si>
</sst>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quot;$&quot;#,##0.00"/>
    <numFmt numFmtId="166" formatCode="0.0%"/>
    <numFmt numFmtId="167" formatCode="&quot;$&quot;#,##0"/>
    <numFmt numFmtId="168" formatCode="_(* #,##0.00000_);_(* \(#,##0.00000\);_(* &quot;-&quot;??_);_(@_)"/>
    <numFmt numFmtId="169" formatCode="#,##0.00000_);\(#,##0.00000\)"/>
    <numFmt numFmtId="170" formatCode="_(* #,##0.000_);_(* \(#,##0.000\);_(* &quot;-&quot;??_);_(@_)"/>
    <numFmt numFmtId="171" formatCode="_(&quot;$&quot;* #,##0_);_(&quot;$&quot;* \(#,##0\);_(&quot;$&quot;* &quot;-&quot;??_);_(@_)"/>
    <numFmt numFmtId="172" formatCode="_(* #,##0.0_);_(* \(#,##0.0\);_(* &quot;-&quot;??_);_(@_)"/>
    <numFmt numFmtId="173" formatCode="[$-409]d\-mmm\-yy;@"/>
    <numFmt numFmtId="174" formatCode="m/d/yy;@"/>
    <numFmt numFmtId="175" formatCode="0.000%"/>
    <numFmt numFmtId="176" formatCode="#&quot; years&quot;"/>
    <numFmt numFmtId="177" formatCode="&quot;Actual /&quot;###"/>
    <numFmt numFmtId="178" formatCode="[$-409]d\-mmm\-yy;;\-"/>
    <numFmt numFmtId="179" formatCode="m/d/yy\ h:mm;@"/>
  </numFmts>
  <fonts count="55" x14ac:knownFonts="1">
    <font>
      <sz val="11"/>
      <color theme="1"/>
      <name val="Calibri"/>
      <family val="2"/>
      <scheme val="minor"/>
    </font>
    <font>
      <sz val="11"/>
      <color theme="1"/>
      <name val="Calibri"/>
      <family val="2"/>
      <scheme val="minor"/>
    </font>
    <font>
      <b/>
      <sz val="10"/>
      <color theme="0"/>
      <name val="Arial"/>
      <family val="2"/>
    </font>
    <font>
      <sz val="11"/>
      <name val="Arial"/>
      <family val="2"/>
    </font>
    <font>
      <b/>
      <sz val="11"/>
      <name val="Arial"/>
      <family val="2"/>
    </font>
    <font>
      <sz val="11"/>
      <color theme="0"/>
      <name val="Arial"/>
      <family val="2"/>
    </font>
    <font>
      <sz val="11"/>
      <color theme="1"/>
      <name val="Arial"/>
      <family val="2"/>
    </font>
    <font>
      <sz val="10"/>
      <color theme="1"/>
      <name val="Arial"/>
      <family val="2"/>
    </font>
    <font>
      <sz val="11"/>
      <color rgb="FF393F47"/>
      <name val="Arial"/>
      <family val="2"/>
    </font>
    <font>
      <sz val="14"/>
      <color rgb="FF000000"/>
      <name val="Arial"/>
      <family val="2"/>
    </font>
    <font>
      <sz val="32"/>
      <color rgb="FFB31B1B"/>
      <name val="Arial"/>
      <family val="2"/>
    </font>
    <font>
      <sz val="12"/>
      <color rgb="FFB31B1B"/>
      <name val="Arial"/>
      <family val="2"/>
    </font>
    <font>
      <b/>
      <sz val="11"/>
      <color rgb="FF606366"/>
      <name val="Arial"/>
      <family val="2"/>
    </font>
    <font>
      <sz val="12"/>
      <color rgb="FF616466"/>
      <name val="Arial"/>
      <family val="2"/>
    </font>
    <font>
      <sz val="14"/>
      <color theme="1"/>
      <name val="Arial"/>
      <family val="2"/>
    </font>
    <font>
      <sz val="14"/>
      <name val="Arial"/>
      <family val="2"/>
    </font>
    <font>
      <i/>
      <sz val="14"/>
      <color theme="1"/>
      <name val="Arial"/>
      <family val="2"/>
    </font>
    <font>
      <b/>
      <sz val="11"/>
      <color theme="0"/>
      <name val="Arial"/>
      <family val="2"/>
    </font>
    <font>
      <b/>
      <u/>
      <sz val="11"/>
      <name val="Arial"/>
      <family val="2"/>
    </font>
    <font>
      <sz val="16"/>
      <color rgb="FFB31B1B"/>
      <name val="Arial"/>
      <family val="2"/>
    </font>
    <font>
      <sz val="12"/>
      <color theme="0"/>
      <name val="Arial"/>
      <family val="2"/>
    </font>
    <font>
      <sz val="12"/>
      <name val="Arial"/>
      <family val="2"/>
    </font>
    <font>
      <sz val="11"/>
      <color theme="4"/>
      <name val="Arial"/>
      <family val="2"/>
    </font>
    <font>
      <b/>
      <sz val="11"/>
      <color rgb="FF393F47"/>
      <name val="Arial"/>
      <family val="2"/>
    </font>
    <font>
      <sz val="16"/>
      <name val="Arial"/>
      <family val="2"/>
    </font>
    <font>
      <u/>
      <sz val="11"/>
      <color rgb="FF393F47"/>
      <name val="Arial"/>
      <family val="2"/>
    </font>
    <font>
      <b/>
      <sz val="14"/>
      <name val="Arial"/>
      <family val="2"/>
    </font>
    <font>
      <b/>
      <sz val="12"/>
      <color rgb="FF393F47"/>
      <name val="Arial"/>
      <family val="2"/>
    </font>
    <font>
      <b/>
      <i/>
      <sz val="11"/>
      <color rgb="FF393F47"/>
      <name val="Arial"/>
      <family val="2"/>
    </font>
    <font>
      <i/>
      <sz val="11"/>
      <color rgb="FF393F47"/>
      <name val="Arial"/>
      <family val="2"/>
    </font>
    <font>
      <b/>
      <sz val="12"/>
      <color rgb="FFB31B1B"/>
      <name val="Arial"/>
      <family val="2"/>
    </font>
    <font>
      <b/>
      <sz val="11"/>
      <color rgb="FFB31B1B"/>
      <name val="Arial"/>
      <family val="2"/>
    </font>
    <font>
      <sz val="12"/>
      <color rgb="FF393F47"/>
      <name val="Arial"/>
      <family val="2"/>
    </font>
    <font>
      <sz val="11"/>
      <color theme="0" tint="-0.14999847407452621"/>
      <name val="Arial"/>
      <family val="2"/>
    </font>
    <font>
      <sz val="11"/>
      <color rgb="FF4F81BD"/>
      <name val="Arial"/>
      <family val="2"/>
    </font>
    <font>
      <sz val="10"/>
      <name val="Arial"/>
      <family val="2"/>
    </font>
    <font>
      <i/>
      <sz val="10"/>
      <color rgb="FF393F47"/>
      <name val="Arial"/>
      <family val="2"/>
    </font>
    <font>
      <i/>
      <sz val="11"/>
      <color theme="1"/>
      <name val="Arial"/>
      <family val="2"/>
    </font>
    <font>
      <sz val="16"/>
      <color theme="0"/>
      <name val="Arial"/>
      <family val="2"/>
    </font>
    <font>
      <b/>
      <u val="singleAccounting"/>
      <sz val="11"/>
      <color rgb="FF393F47"/>
      <name val="Arial"/>
      <family val="2"/>
    </font>
    <font>
      <i/>
      <sz val="11"/>
      <color rgb="FFB31B1B"/>
      <name val="Arial"/>
      <family val="2"/>
    </font>
    <font>
      <sz val="6"/>
      <color rgb="FFB31B1B"/>
      <name val="Arial"/>
      <family val="2"/>
    </font>
    <font>
      <sz val="14"/>
      <color rgb="FFB31B1B"/>
      <name val="Arial"/>
      <family val="2"/>
    </font>
    <font>
      <b/>
      <sz val="14"/>
      <color rgb="FFB31B1B"/>
      <name val="Arial"/>
      <family val="2"/>
    </font>
    <font>
      <sz val="11"/>
      <color rgb="FF393F47"/>
      <name val="Calibri"/>
      <family val="2"/>
      <scheme val="minor"/>
    </font>
    <font>
      <sz val="16"/>
      <color rgb="FF393F47"/>
      <name val="Arial"/>
      <family val="2"/>
    </font>
    <font>
      <sz val="14"/>
      <color rgb="FF393F47"/>
      <name val="Arial"/>
      <family val="2"/>
    </font>
    <font>
      <b/>
      <sz val="11"/>
      <color rgb="FFFF0000"/>
      <name val="Arial"/>
      <family val="2"/>
    </font>
    <font>
      <sz val="28"/>
      <color rgb="FFB31B1B"/>
      <name val="Arial"/>
      <family val="2"/>
    </font>
    <font>
      <b/>
      <sz val="16"/>
      <color rgb="FFB31B1B"/>
      <name val="Arial"/>
      <family val="2"/>
    </font>
    <font>
      <sz val="11"/>
      <color rgb="FF2F75B5"/>
      <name val="Arial"/>
      <family val="2"/>
    </font>
    <font>
      <b/>
      <sz val="11"/>
      <color rgb="FF2F75B5"/>
      <name val="Arial"/>
      <family val="2"/>
    </font>
    <font>
      <i/>
      <sz val="10"/>
      <color rgb="FF2F75B5"/>
      <name val="Arial"/>
      <family val="2"/>
    </font>
    <font>
      <b/>
      <sz val="20"/>
      <color rgb="FF393F47"/>
      <name val="Arial"/>
      <family val="2"/>
    </font>
    <font>
      <b/>
      <sz val="22"/>
      <color rgb="FFB31B1B"/>
      <name val="Arial"/>
      <family val="2"/>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B31B1B"/>
        <bgColor indexed="64"/>
      </patternFill>
    </fill>
    <fill>
      <patternFill patternType="solid">
        <fgColor theme="0"/>
        <bgColor rgb="FFF9FBE6"/>
      </patternFill>
    </fill>
    <fill>
      <patternFill patternType="solid">
        <fgColor rgb="FFE9F5FB"/>
        <bgColor rgb="FFF9FBE6"/>
      </patternFill>
    </fill>
    <fill>
      <patternFill patternType="solid">
        <fgColor rgb="FFC00000"/>
        <bgColor indexed="64"/>
      </patternFill>
    </fill>
    <fill>
      <patternFill patternType="solid">
        <fgColor rgb="FFFFFF00"/>
        <bgColor indexed="64"/>
      </patternFill>
    </fill>
  </fills>
  <borders count="82">
    <border>
      <left/>
      <right/>
      <top/>
      <bottom/>
      <diagonal/>
    </border>
    <border>
      <left/>
      <right/>
      <top/>
      <bottom style="thin">
        <color indexed="64"/>
      </bottom>
      <diagonal/>
    </border>
    <border>
      <left style="thin">
        <color rgb="FFD8DBDD"/>
      </left>
      <right style="thin">
        <color rgb="FFD8DBDD"/>
      </right>
      <top style="thin">
        <color rgb="FFD8DBDD"/>
      </top>
      <bottom style="thin">
        <color rgb="FFD8DBDD"/>
      </bottom>
      <diagonal/>
    </border>
    <border>
      <left style="thin">
        <color rgb="FFD3D6D7"/>
      </left>
      <right style="thin">
        <color rgb="FFD3D6D7"/>
      </right>
      <top style="thin">
        <color rgb="FFD3D6D7"/>
      </top>
      <bottom style="thin">
        <color rgb="FFD3D6D7"/>
      </bottom>
      <diagonal/>
    </border>
    <border>
      <left style="thin">
        <color rgb="FFD3D6D7"/>
      </left>
      <right style="thin">
        <color rgb="FFD3D6D7"/>
      </right>
      <top/>
      <bottom style="thin">
        <color rgb="FFD3D6D7"/>
      </bottom>
      <diagonal/>
    </border>
    <border>
      <left style="thin">
        <color rgb="FFD8DBDD"/>
      </left>
      <right style="thin">
        <color rgb="FFD8DBDD"/>
      </right>
      <top style="thin">
        <color rgb="FFD8DBDD"/>
      </top>
      <bottom/>
      <diagonal/>
    </border>
    <border>
      <left style="medium">
        <color indexed="64"/>
      </left>
      <right style="thin">
        <color rgb="FFD8DBDD"/>
      </right>
      <top style="medium">
        <color indexed="64"/>
      </top>
      <bottom style="medium">
        <color indexed="64"/>
      </bottom>
      <diagonal/>
    </border>
    <border>
      <left style="thin">
        <color rgb="FFD8DBDD"/>
      </left>
      <right style="thin">
        <color rgb="FFD8DBDD"/>
      </right>
      <top style="medium">
        <color indexed="64"/>
      </top>
      <bottom style="medium">
        <color indexed="64"/>
      </bottom>
      <diagonal/>
    </border>
    <border>
      <left style="thin">
        <color rgb="FFD8DBDD"/>
      </left>
      <right style="medium">
        <color indexed="64"/>
      </right>
      <top style="medium">
        <color indexed="64"/>
      </top>
      <bottom style="medium">
        <color indexed="64"/>
      </bottom>
      <diagonal/>
    </border>
    <border>
      <left/>
      <right style="thin">
        <color rgb="FFD8DBDD"/>
      </right>
      <top style="thin">
        <color rgb="FFD8DBDD"/>
      </top>
      <bottom style="thin">
        <color rgb="FFD8DBDD"/>
      </bottom>
      <diagonal/>
    </border>
    <border>
      <left style="thin">
        <color rgb="FFD8DBDD"/>
      </left>
      <right style="thin">
        <color rgb="FFD8DBDD"/>
      </right>
      <top/>
      <bottom style="thin">
        <color rgb="FFD8DBDD"/>
      </bottom>
      <diagonal/>
    </border>
    <border>
      <left style="thin">
        <color rgb="FFD8DBDD"/>
      </left>
      <right/>
      <top style="thin">
        <color rgb="FFD8DBDD"/>
      </top>
      <bottom style="thin">
        <color rgb="FFD8DBDD"/>
      </bottom>
      <diagonal/>
    </border>
    <border>
      <left/>
      <right/>
      <top/>
      <bottom style="thin">
        <color theme="0" tint="-0.149967955565050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rgb="FFD8DBDD"/>
      </right>
      <top style="thin">
        <color rgb="FFD8DBDD"/>
      </top>
      <bottom style="thin">
        <color rgb="FFD8DBDD"/>
      </bottom>
      <diagonal/>
    </border>
    <border>
      <left style="thin">
        <color rgb="FFD8DBDD"/>
      </left>
      <right style="medium">
        <color indexed="64"/>
      </right>
      <top style="thin">
        <color rgb="FFD8DBDD"/>
      </top>
      <bottom style="thin">
        <color rgb="FFD8DBDD"/>
      </bottom>
      <diagonal/>
    </border>
    <border>
      <left style="medium">
        <color indexed="64"/>
      </left>
      <right style="thin">
        <color rgb="FFD8DBDD"/>
      </right>
      <top style="thin">
        <color rgb="FFD8DBDD"/>
      </top>
      <bottom style="medium">
        <color indexed="64"/>
      </bottom>
      <diagonal/>
    </border>
    <border>
      <left style="thin">
        <color rgb="FFD8DBDD"/>
      </left>
      <right style="medium">
        <color indexed="64"/>
      </right>
      <top style="thin">
        <color rgb="FFD8DBDD"/>
      </top>
      <bottom style="medium">
        <color indexed="64"/>
      </bottom>
      <diagonal/>
    </border>
    <border>
      <left/>
      <right/>
      <top style="medium">
        <color indexed="64"/>
      </top>
      <bottom/>
      <diagonal/>
    </border>
    <border>
      <left style="thin">
        <color rgb="FFD8DBDD"/>
      </left>
      <right style="thin">
        <color rgb="FFD8DBDD"/>
      </right>
      <top style="thin">
        <color rgb="FFD8DBDD"/>
      </top>
      <bottom style="medium">
        <color indexed="64"/>
      </bottom>
      <diagonal/>
    </border>
    <border>
      <left style="medium">
        <color indexed="64"/>
      </left>
      <right style="thin">
        <color rgb="FFD8DBDD"/>
      </right>
      <top/>
      <bottom style="thin">
        <color rgb="FFD8DBDD"/>
      </bottom>
      <diagonal/>
    </border>
    <border>
      <left style="thin">
        <color rgb="FFD8DBDD"/>
      </left>
      <right style="medium">
        <color indexed="64"/>
      </right>
      <top/>
      <bottom style="thin">
        <color rgb="FFD8DBDD"/>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D8DBDD"/>
      </left>
      <right/>
      <top style="thin">
        <color rgb="FFD8DBDD"/>
      </top>
      <bottom style="medium">
        <color indexed="64"/>
      </bottom>
      <diagonal/>
    </border>
    <border>
      <left/>
      <right style="thin">
        <color rgb="FFD8DBDD"/>
      </right>
      <top style="thin">
        <color rgb="FFD8DBDD"/>
      </top>
      <bottom style="medium">
        <color indexed="64"/>
      </bottom>
      <diagonal/>
    </border>
    <border>
      <left style="medium">
        <color indexed="64"/>
      </left>
      <right style="thin">
        <color rgb="FFD8DBDD"/>
      </right>
      <top style="medium">
        <color indexed="64"/>
      </top>
      <bottom style="thin">
        <color rgb="FFD8DBDD"/>
      </bottom>
      <diagonal/>
    </border>
    <border>
      <left style="thin">
        <color rgb="FFD8DBDD"/>
      </left>
      <right/>
      <top style="medium">
        <color indexed="64"/>
      </top>
      <bottom style="thin">
        <color rgb="FFD8DBDD"/>
      </bottom>
      <diagonal/>
    </border>
    <border>
      <left style="thin">
        <color rgb="FFD8DBDD"/>
      </left>
      <right style="thin">
        <color rgb="FFD8DBDD"/>
      </right>
      <top style="medium">
        <color indexed="64"/>
      </top>
      <bottom style="thin">
        <color rgb="FFD8DBDD"/>
      </bottom>
      <diagonal/>
    </border>
    <border>
      <left style="thin">
        <color rgb="FFD8DBDD"/>
      </left>
      <right style="medium">
        <color indexed="64"/>
      </right>
      <top style="medium">
        <color indexed="64"/>
      </top>
      <bottom style="thin">
        <color rgb="FFD8DBDD"/>
      </bottom>
      <diagonal/>
    </border>
    <border>
      <left/>
      <right style="thin">
        <color rgb="FFD8DBDD"/>
      </right>
      <top style="medium">
        <color indexed="64"/>
      </top>
      <bottom style="thin">
        <color rgb="FFD8DBDD"/>
      </bottom>
      <diagonal/>
    </border>
    <border>
      <left style="thin">
        <color rgb="FFD8DBDD"/>
      </left>
      <right/>
      <top style="medium">
        <color indexed="64"/>
      </top>
      <bottom style="medium">
        <color indexed="64"/>
      </bottom>
      <diagonal/>
    </border>
    <border>
      <left/>
      <right style="thin">
        <color rgb="FFD8DBDD"/>
      </right>
      <top style="medium">
        <color indexed="64"/>
      </top>
      <bottom style="medium">
        <color indexed="64"/>
      </bottom>
      <diagonal/>
    </border>
    <border>
      <left style="thin">
        <color rgb="FFD8DBDD"/>
      </left>
      <right/>
      <top/>
      <bottom/>
      <diagonal/>
    </border>
    <border>
      <left/>
      <right style="thin">
        <color rgb="FFD8DBDD"/>
      </right>
      <top/>
      <bottom/>
      <diagonal/>
    </border>
    <border>
      <left/>
      <right style="thin">
        <color rgb="FFD3D6D7"/>
      </right>
      <top/>
      <bottom style="thin">
        <color indexed="64"/>
      </bottom>
      <diagonal/>
    </border>
    <border>
      <left style="thin">
        <color rgb="FFD3D6D7"/>
      </left>
      <right style="thin">
        <color rgb="FFD3D6D7"/>
      </right>
      <top style="thin">
        <color rgb="FFD3D6D7"/>
      </top>
      <bottom style="thin">
        <color indexed="64"/>
      </bottom>
      <diagonal/>
    </border>
    <border>
      <left/>
      <right style="thin">
        <color rgb="FFD3D6D7"/>
      </right>
      <top/>
      <bottom style="thin">
        <color rgb="FFD3D6D7"/>
      </bottom>
      <diagonal/>
    </border>
    <border>
      <left style="thin">
        <color rgb="FFD3D6D7"/>
      </left>
      <right/>
      <top style="thin">
        <color rgb="FFD3D6D7"/>
      </top>
      <bottom/>
      <diagonal/>
    </border>
    <border>
      <left/>
      <right/>
      <top style="thin">
        <color rgb="FFD3D6D7"/>
      </top>
      <bottom/>
      <diagonal/>
    </border>
    <border>
      <left/>
      <right style="thin">
        <color rgb="FFD3D6D7"/>
      </right>
      <top style="thin">
        <color rgb="FFD3D6D7"/>
      </top>
      <bottom/>
      <diagonal/>
    </border>
    <border>
      <left style="thin">
        <color rgb="FFD3D6D7"/>
      </left>
      <right/>
      <top/>
      <bottom/>
      <diagonal/>
    </border>
    <border>
      <left/>
      <right style="thin">
        <color rgb="FFD3D6D7"/>
      </right>
      <top/>
      <bottom/>
      <diagonal/>
    </border>
    <border>
      <left style="thin">
        <color rgb="FFD3D6D7"/>
      </left>
      <right/>
      <top/>
      <bottom style="thin">
        <color rgb="FFD3D6D7"/>
      </bottom>
      <diagonal/>
    </border>
    <border>
      <left/>
      <right/>
      <top/>
      <bottom style="thin">
        <color rgb="FFD3D6D7"/>
      </bottom>
      <diagonal/>
    </border>
    <border>
      <left style="thin">
        <color indexed="64"/>
      </left>
      <right/>
      <top style="thin">
        <color indexed="64"/>
      </top>
      <bottom/>
      <diagonal/>
    </border>
    <border>
      <left/>
      <right/>
      <top style="thin">
        <color indexed="64"/>
      </top>
      <bottom/>
      <diagonal/>
    </border>
    <border>
      <left style="thin">
        <color rgb="FFD3D6D7"/>
      </left>
      <right style="thin">
        <color rgb="FFD3D6D7"/>
      </right>
      <top style="thin">
        <color indexed="64"/>
      </top>
      <bottom style="thin">
        <color rgb="FFD3D6D7"/>
      </bottom>
      <diagonal/>
    </border>
    <border>
      <left style="thin">
        <color rgb="FFD3D6D7"/>
      </left>
      <right style="thin">
        <color indexed="64"/>
      </right>
      <top style="thin">
        <color indexed="64"/>
      </top>
      <bottom style="thin">
        <color rgb="FFD3D6D7"/>
      </bottom>
      <diagonal/>
    </border>
    <border>
      <left style="thin">
        <color indexed="64"/>
      </left>
      <right/>
      <top/>
      <bottom/>
      <diagonal/>
    </border>
    <border>
      <left style="thin">
        <color rgb="FFD3D6D7"/>
      </left>
      <right style="thin">
        <color indexed="64"/>
      </right>
      <top style="thin">
        <color rgb="FFD3D6D7"/>
      </top>
      <bottom style="thin">
        <color rgb="FFD3D6D7"/>
      </bottom>
      <diagonal/>
    </border>
    <border>
      <left style="thin">
        <color indexed="64"/>
      </left>
      <right/>
      <top/>
      <bottom style="thin">
        <color indexed="64"/>
      </bottom>
      <diagonal/>
    </border>
    <border>
      <left style="thin">
        <color rgb="FFD3D6D7"/>
      </left>
      <right style="thin">
        <color indexed="64"/>
      </right>
      <top style="thin">
        <color rgb="FFD3D6D7"/>
      </top>
      <bottom style="thin">
        <color indexed="64"/>
      </bottom>
      <diagonal/>
    </border>
    <border>
      <left style="thin">
        <color rgb="FF393F47"/>
      </left>
      <right/>
      <top style="thin">
        <color rgb="FF393F47"/>
      </top>
      <bottom/>
      <diagonal/>
    </border>
    <border>
      <left/>
      <right/>
      <top style="thin">
        <color rgb="FF393F47"/>
      </top>
      <bottom/>
      <diagonal/>
    </border>
    <border>
      <left style="thin">
        <color rgb="FF393F47"/>
      </left>
      <right/>
      <top/>
      <bottom/>
      <diagonal/>
    </border>
    <border>
      <left style="thin">
        <color rgb="FFD3D6D7"/>
      </left>
      <right style="thin">
        <color rgb="FF393F47"/>
      </right>
      <top style="thin">
        <color rgb="FFD3D6D7"/>
      </top>
      <bottom style="thin">
        <color rgb="FFD3D6D7"/>
      </bottom>
      <diagonal/>
    </border>
    <border>
      <left style="thin">
        <color rgb="FF393F47"/>
      </left>
      <right/>
      <top/>
      <bottom style="thin">
        <color rgb="FF393F47"/>
      </bottom>
      <diagonal/>
    </border>
    <border>
      <left/>
      <right/>
      <top/>
      <bottom style="thin">
        <color rgb="FF393F47"/>
      </bottom>
      <diagonal/>
    </border>
    <border>
      <left style="thin">
        <color rgb="FFD3D6D7"/>
      </left>
      <right style="thin">
        <color rgb="FFD3D6D7"/>
      </right>
      <top style="thin">
        <color rgb="FFD3D6D7"/>
      </top>
      <bottom style="thin">
        <color rgb="FF393F47"/>
      </bottom>
      <diagonal/>
    </border>
    <border>
      <left style="thin">
        <color rgb="FFD3D6D7"/>
      </left>
      <right style="thin">
        <color rgb="FF393F47"/>
      </right>
      <top style="thin">
        <color rgb="FFD3D6D7"/>
      </top>
      <bottom style="thin">
        <color rgb="FF393F47"/>
      </bottom>
      <diagonal/>
    </border>
    <border>
      <left style="thin">
        <color rgb="FFD3D6D7"/>
      </left>
      <right style="thin">
        <color rgb="FF393F47"/>
      </right>
      <top style="thin">
        <color rgb="FF393F47"/>
      </top>
      <bottom style="thin">
        <color rgb="FFD3D6D7"/>
      </bottom>
      <diagonal/>
    </border>
    <border>
      <left style="thin">
        <color rgb="FFD3D6D7"/>
      </left>
      <right style="thin">
        <color rgb="FFD3D6D7"/>
      </right>
      <top style="thin">
        <color rgb="FF393F47"/>
      </top>
      <bottom style="thin">
        <color rgb="FFD3D6D7"/>
      </bottom>
      <diagonal/>
    </border>
    <border>
      <left style="medium">
        <color indexed="64"/>
      </left>
      <right style="medium">
        <color indexed="64"/>
      </right>
      <top style="medium">
        <color indexed="64"/>
      </top>
      <bottom style="medium">
        <color indexed="64"/>
      </bottom>
      <diagonal/>
    </border>
    <border>
      <left/>
      <right style="thin">
        <color rgb="FFD3D6D7"/>
      </right>
      <top style="thin">
        <color rgb="FFD3D6D7"/>
      </top>
      <bottom style="thin">
        <color rgb="FFD3D6D7"/>
      </bottom>
      <diagonal/>
    </border>
    <border>
      <left style="thin">
        <color indexed="64"/>
      </left>
      <right style="thin">
        <color indexed="64"/>
      </right>
      <top style="thin">
        <color indexed="64"/>
      </top>
      <bottom style="thin">
        <color rgb="FFD3D6D7"/>
      </bottom>
      <diagonal/>
    </border>
    <border>
      <left style="thin">
        <color indexed="64"/>
      </left>
      <right style="thin">
        <color indexed="64"/>
      </right>
      <top style="thin">
        <color rgb="FFD3D6D7"/>
      </top>
      <bottom style="thin">
        <color rgb="FFD3D6D7"/>
      </bottom>
      <diagonal/>
    </border>
    <border>
      <left style="thin">
        <color indexed="64"/>
      </left>
      <right style="thin">
        <color indexed="64"/>
      </right>
      <top style="thin">
        <color rgb="FFD3D6D7"/>
      </top>
      <bottom style="thin">
        <color indexed="64"/>
      </bottom>
      <diagonal/>
    </border>
    <border>
      <left/>
      <right/>
      <top style="thin">
        <color rgb="FFD8DBDD"/>
      </top>
      <bottom/>
      <diagonal/>
    </border>
    <border>
      <left/>
      <right style="thin">
        <color indexed="64"/>
      </right>
      <top style="thin">
        <color indexed="64"/>
      </top>
      <bottom/>
      <diagonal/>
    </border>
    <border>
      <left/>
      <right style="thin">
        <color indexed="64"/>
      </right>
      <top/>
      <bottom/>
      <diagonal/>
    </border>
    <border>
      <left style="medium">
        <color rgb="FF393F47"/>
      </left>
      <right style="medium">
        <color rgb="FF393F47"/>
      </right>
      <top style="medium">
        <color rgb="FF393F47"/>
      </top>
      <bottom style="thin">
        <color rgb="FFD3D6D7"/>
      </bottom>
      <diagonal/>
    </border>
    <border>
      <left style="medium">
        <color rgb="FF393F47"/>
      </left>
      <right style="medium">
        <color rgb="FF393F47"/>
      </right>
      <top style="thin">
        <color rgb="FFD3D6D7"/>
      </top>
      <bottom style="thin">
        <color rgb="FFD3D6D7"/>
      </bottom>
      <diagonal/>
    </border>
    <border>
      <left style="medium">
        <color rgb="FF393F47"/>
      </left>
      <right style="medium">
        <color rgb="FF393F47"/>
      </right>
      <top style="thin">
        <color rgb="FFD3D6D7"/>
      </top>
      <bottom style="medium">
        <color rgb="FF393F47"/>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0" tint="-0.14996795556505021"/>
      </left>
      <right/>
      <top/>
      <bottom/>
      <diagonal/>
    </border>
    <border>
      <left/>
      <right style="thin">
        <color theme="0" tint="-0.14996795556505021"/>
      </right>
      <top/>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35" fillId="0" borderId="0"/>
  </cellStyleXfs>
  <cellXfs count="467">
    <xf numFmtId="0" fontId="0" fillId="0" borderId="0" xfId="0"/>
    <xf numFmtId="176" fontId="23" fillId="2" borderId="3" xfId="4" applyNumberFormat="1" applyFont="1" applyFill="1" applyBorder="1" applyProtection="1">
      <protection locked="0"/>
    </xf>
    <xf numFmtId="177" fontId="8" fillId="5" borderId="3" xfId="5" applyNumberFormat="1" applyFont="1" applyFill="1" applyBorder="1" applyAlignment="1" applyProtection="1">
      <alignment horizontal="right" vertical="center"/>
      <protection locked="0"/>
    </xf>
    <xf numFmtId="0" fontId="8" fillId="2" borderId="0" xfId="0" applyFont="1" applyFill="1" applyAlignment="1" applyProtection="1">
      <alignment horizontal="right" vertical="center" wrapText="1"/>
      <protection hidden="1"/>
    </xf>
    <xf numFmtId="176" fontId="51" fillId="5" borderId="3" xfId="4" applyNumberFormat="1" applyFont="1" applyFill="1" applyBorder="1" applyProtection="1">
      <protection locked="0"/>
    </xf>
    <xf numFmtId="0" fontId="23" fillId="2" borderId="0" xfId="0" applyFont="1" applyFill="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23" fillId="2" borderId="0" xfId="0" applyFont="1" applyFill="1" applyAlignment="1" applyProtection="1">
      <alignment horizontal="left" vertical="center"/>
      <protection locked="0"/>
    </xf>
    <xf numFmtId="0" fontId="6" fillId="2" borderId="0" xfId="0" applyFont="1" applyFill="1" applyAlignment="1" applyProtection="1">
      <alignment vertical="center"/>
      <protection locked="0"/>
    </xf>
    <xf numFmtId="0" fontId="31" fillId="2" borderId="0" xfId="0" applyFont="1" applyFill="1" applyAlignment="1" applyProtection="1">
      <alignment vertical="center"/>
      <protection locked="0"/>
    </xf>
    <xf numFmtId="0" fontId="54" fillId="2" borderId="0" xfId="0" applyFont="1" applyFill="1" applyAlignment="1" applyProtection="1">
      <alignment horizontal="right" vertical="center"/>
      <protection hidden="1"/>
    </xf>
    <xf numFmtId="0" fontId="15" fillId="3" borderId="0" xfId="0" applyFont="1" applyFill="1" applyAlignment="1" applyProtection="1">
      <alignment vertical="center"/>
      <protection hidden="1"/>
    </xf>
    <xf numFmtId="0" fontId="6" fillId="2" borderId="0" xfId="0" applyFont="1" applyFill="1" applyAlignment="1" applyProtection="1">
      <alignment vertical="center"/>
      <protection hidden="1"/>
    </xf>
    <xf numFmtId="0" fontId="8" fillId="2" borderId="0" xfId="0" applyFont="1" applyFill="1" applyAlignment="1" applyProtection="1">
      <alignment vertical="center"/>
      <protection locked="0"/>
    </xf>
    <xf numFmtId="0" fontId="15" fillId="3" borderId="0" xfId="0" applyFont="1" applyFill="1" applyAlignment="1" applyProtection="1">
      <alignment vertical="center"/>
      <protection locked="0"/>
    </xf>
    <xf numFmtId="0" fontId="15" fillId="3" borderId="0" xfId="0" applyFont="1" applyFill="1" applyAlignment="1" applyProtection="1">
      <alignment vertical="center" wrapText="1"/>
      <protection locked="0"/>
    </xf>
    <xf numFmtId="0" fontId="3" fillId="2" borderId="0" xfId="0" applyFont="1" applyFill="1" applyProtection="1">
      <protection locked="0"/>
    </xf>
    <xf numFmtId="0" fontId="24" fillId="3" borderId="0" xfId="0" applyFont="1" applyFill="1" applyAlignment="1" applyProtection="1">
      <alignment vertical="center"/>
      <protection locked="0"/>
    </xf>
    <xf numFmtId="0" fontId="19" fillId="2" borderId="0" xfId="0" applyFont="1" applyFill="1" applyProtection="1">
      <protection locked="0"/>
    </xf>
    <xf numFmtId="0" fontId="19" fillId="2" borderId="0" xfId="0" applyFont="1" applyFill="1" applyAlignment="1" applyProtection="1">
      <alignment horizontal="left"/>
      <protection locked="0"/>
    </xf>
    <xf numFmtId="0" fontId="21" fillId="3" borderId="0" xfId="0" applyFont="1" applyFill="1" applyAlignment="1" applyProtection="1">
      <alignment vertical="center"/>
      <protection locked="0"/>
    </xf>
    <xf numFmtId="0" fontId="21" fillId="2" borderId="0" xfId="0" applyFont="1" applyFill="1" applyAlignment="1" applyProtection="1">
      <alignment vertical="center"/>
      <protection locked="0"/>
    </xf>
    <xf numFmtId="0" fontId="20" fillId="2" borderId="0" xfId="0" applyFont="1" applyFill="1" applyAlignment="1" applyProtection="1">
      <alignment horizontal="center" vertical="center"/>
      <protection locked="0"/>
    </xf>
    <xf numFmtId="0" fontId="21" fillId="2" borderId="0" xfId="0" applyFont="1" applyFill="1" applyAlignment="1" applyProtection="1">
      <alignment vertical="center" wrapText="1"/>
      <protection locked="0"/>
    </xf>
    <xf numFmtId="0" fontId="3" fillId="3" borderId="0" xfId="0" applyFont="1" applyFill="1" applyAlignment="1" applyProtection="1">
      <alignment vertical="center"/>
      <protection locked="0"/>
    </xf>
    <xf numFmtId="0" fontId="8" fillId="3" borderId="0" xfId="0" applyFont="1" applyFill="1" applyAlignment="1" applyProtection="1">
      <alignment vertical="center"/>
      <protection locked="0"/>
    </xf>
    <xf numFmtId="42" fontId="50" fillId="0" borderId="2" xfId="0" applyNumberFormat="1" applyFont="1" applyBorder="1" applyAlignment="1" applyProtection="1">
      <alignment horizontal="right" vertical="center"/>
      <protection locked="0"/>
    </xf>
    <xf numFmtId="42" fontId="50" fillId="0" borderId="2" xfId="1" applyNumberFormat="1" applyFont="1" applyBorder="1" applyAlignment="1" applyProtection="1">
      <alignment horizontal="right" vertical="center"/>
      <protection locked="0"/>
    </xf>
    <xf numFmtId="164" fontId="50" fillId="0" borderId="2" xfId="1" applyNumberFormat="1" applyFont="1" applyBorder="1" applyAlignment="1" applyProtection="1">
      <alignment horizontal="right" vertical="center"/>
      <protection locked="0"/>
    </xf>
    <xf numFmtId="0" fontId="4" fillId="2" borderId="0" xfId="0" applyFont="1" applyFill="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4" fillId="2" borderId="0" xfId="0" applyFont="1" applyFill="1" applyProtection="1">
      <protection locked="0"/>
    </xf>
    <xf numFmtId="9" fontId="8" fillId="0" borderId="2" xfId="3" applyFont="1" applyBorder="1" applyAlignment="1" applyProtection="1">
      <alignment horizontal="right" vertical="center"/>
      <protection locked="0"/>
    </xf>
    <xf numFmtId="0" fontId="3" fillId="2" borderId="0" xfId="0" applyFont="1" applyFill="1" applyAlignment="1" applyProtection="1">
      <alignment horizontal="center"/>
      <protection locked="0"/>
    </xf>
    <xf numFmtId="9" fontId="3" fillId="2" borderId="0" xfId="0" applyNumberFormat="1" applyFont="1" applyFill="1" applyProtection="1">
      <protection locked="0"/>
    </xf>
    <xf numFmtId="9" fontId="3" fillId="2" borderId="0" xfId="3" applyFont="1" applyFill="1" applyBorder="1" applyProtection="1">
      <protection locked="0"/>
    </xf>
    <xf numFmtId="0" fontId="8" fillId="3" borderId="69" xfId="0" applyFont="1" applyFill="1" applyBorder="1" applyAlignment="1" applyProtection="1">
      <alignment vertical="center"/>
      <protection locked="0"/>
    </xf>
    <xf numFmtId="9" fontId="50" fillId="0" borderId="2" xfId="3" applyFont="1" applyBorder="1" applyAlignment="1" applyProtection="1">
      <alignment horizontal="right" vertical="center"/>
      <protection locked="0"/>
    </xf>
    <xf numFmtId="14" fontId="50" fillId="0" borderId="2" xfId="1" applyNumberFormat="1" applyFont="1" applyBorder="1" applyAlignment="1" applyProtection="1">
      <alignment horizontal="right" vertical="center"/>
      <protection locked="0"/>
    </xf>
    <xf numFmtId="0" fontId="5" fillId="2" borderId="0" xfId="0" applyFont="1" applyFill="1" applyAlignment="1" applyProtection="1">
      <alignment horizontal="center"/>
      <protection locked="0"/>
    </xf>
    <xf numFmtId="164" fontId="8" fillId="0" borderId="2" xfId="1" applyNumberFormat="1" applyFont="1" applyBorder="1" applyAlignment="1" applyProtection="1">
      <alignment horizontal="right" vertical="center"/>
      <protection locked="0"/>
    </xf>
    <xf numFmtId="166" fontId="50" fillId="0" borderId="2" xfId="3" applyNumberFormat="1" applyFont="1" applyBorder="1" applyAlignment="1" applyProtection="1">
      <alignment horizontal="right" vertical="center"/>
      <protection locked="0"/>
    </xf>
    <xf numFmtId="2" fontId="3" fillId="2" borderId="0" xfId="0" applyNumberFormat="1" applyFont="1" applyFill="1" applyProtection="1">
      <protection locked="0"/>
    </xf>
    <xf numFmtId="166" fontId="8" fillId="0" borderId="2" xfId="3" applyNumberFormat="1" applyFont="1" applyBorder="1" applyAlignment="1" applyProtection="1">
      <alignment horizontal="right" vertical="center"/>
      <protection locked="0"/>
    </xf>
    <xf numFmtId="9" fontId="3" fillId="3" borderId="0" xfId="3" applyFont="1" applyFill="1" applyAlignment="1" applyProtection="1">
      <alignment vertical="center"/>
      <protection locked="0"/>
    </xf>
    <xf numFmtId="0" fontId="31" fillId="3" borderId="0" xfId="0" applyFont="1" applyFill="1" applyAlignment="1" applyProtection="1">
      <alignment horizontal="left" vertical="center"/>
      <protection locked="0"/>
    </xf>
    <xf numFmtId="0" fontId="3" fillId="2" borderId="1" xfId="0" applyFont="1" applyFill="1" applyBorder="1" applyAlignment="1" applyProtection="1">
      <alignment horizontal="center"/>
      <protection locked="0"/>
    </xf>
    <xf numFmtId="9" fontId="8" fillId="0" borderId="10" xfId="3" applyFont="1" applyBorder="1" applyAlignment="1" applyProtection="1">
      <alignment horizontal="center" vertical="center"/>
      <protection locked="0"/>
    </xf>
    <xf numFmtId="0" fontId="8" fillId="3" borderId="0" xfId="0" applyFont="1" applyFill="1" applyAlignment="1" applyProtection="1">
      <alignment horizontal="left" vertical="center" indent="1"/>
      <protection locked="0"/>
    </xf>
    <xf numFmtId="9" fontId="50" fillId="0" borderId="10" xfId="3" applyFont="1" applyBorder="1" applyAlignment="1" applyProtection="1">
      <alignment horizontal="center" vertical="center"/>
      <protection locked="0"/>
    </xf>
    <xf numFmtId="9" fontId="8" fillId="0" borderId="2" xfId="3" applyFont="1" applyBorder="1" applyAlignment="1" applyProtection="1">
      <alignment horizontal="center" vertical="center"/>
      <protection locked="0"/>
    </xf>
    <xf numFmtId="9" fontId="50" fillId="0" borderId="2" xfId="3" applyFont="1" applyBorder="1" applyAlignment="1" applyProtection="1">
      <alignment horizontal="center" vertical="center"/>
      <protection locked="0"/>
    </xf>
    <xf numFmtId="37" fontId="8" fillId="0" borderId="5" xfId="1" applyNumberFormat="1" applyFont="1" applyBorder="1" applyAlignment="1" applyProtection="1">
      <alignment horizontal="center" vertical="center"/>
      <protection locked="0"/>
    </xf>
    <xf numFmtId="37" fontId="8" fillId="0" borderId="10" xfId="1" applyNumberFormat="1" applyFont="1" applyBorder="1" applyAlignment="1" applyProtection="1">
      <alignment horizontal="center" vertical="center"/>
      <protection locked="0"/>
    </xf>
    <xf numFmtId="37" fontId="50" fillId="0" borderId="10" xfId="1" applyNumberFormat="1" applyFont="1" applyBorder="1" applyAlignment="1" applyProtection="1">
      <alignment horizontal="center" vertical="center"/>
      <protection locked="0"/>
    </xf>
    <xf numFmtId="0" fontId="23" fillId="3" borderId="0" xfId="0" applyFont="1" applyFill="1" applyAlignment="1" applyProtection="1">
      <alignment vertical="center"/>
      <protection locked="0"/>
    </xf>
    <xf numFmtId="0" fontId="33" fillId="2" borderId="12" xfId="0" applyFont="1" applyFill="1" applyBorder="1" applyProtection="1">
      <protection locked="0"/>
    </xf>
    <xf numFmtId="0" fontId="33" fillId="2" borderId="0" xfId="0" applyFont="1" applyFill="1" applyProtection="1">
      <protection locked="0"/>
    </xf>
    <xf numFmtId="0" fontId="33" fillId="2" borderId="0" xfId="0" applyFont="1" applyFill="1" applyAlignment="1" applyProtection="1">
      <alignment horizontal="right"/>
      <protection locked="0"/>
    </xf>
    <xf numFmtId="2" fontId="33" fillId="2" borderId="0" xfId="0" applyNumberFormat="1" applyFont="1" applyFill="1" applyProtection="1">
      <protection locked="0"/>
    </xf>
    <xf numFmtId="0" fontId="5" fillId="3" borderId="0" xfId="0" applyFont="1" applyFill="1" applyAlignment="1" applyProtection="1">
      <alignment vertical="center"/>
      <protection locked="0"/>
    </xf>
    <xf numFmtId="166" fontId="22" fillId="0" borderId="0" xfId="3" applyNumberFormat="1" applyFont="1" applyBorder="1" applyAlignment="1" applyProtection="1">
      <alignment horizontal="right" vertical="center"/>
      <protection locked="0"/>
    </xf>
    <xf numFmtId="0" fontId="8" fillId="3" borderId="23"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protection locked="0"/>
    </xf>
    <xf numFmtId="0" fontId="3" fillId="2" borderId="24" xfId="0" applyFont="1" applyFill="1" applyBorder="1" applyAlignment="1" applyProtection="1">
      <alignment horizontal="center"/>
      <protection locked="0"/>
    </xf>
    <xf numFmtId="164" fontId="8" fillId="0" borderId="21" xfId="1" applyNumberFormat="1" applyFont="1" applyBorder="1" applyAlignment="1" applyProtection="1">
      <alignment horizontal="right" vertical="center"/>
      <protection locked="0"/>
    </xf>
    <xf numFmtId="166" fontId="50" fillId="0" borderId="22" xfId="3" applyNumberFormat="1" applyFont="1" applyBorder="1" applyAlignment="1" applyProtection="1">
      <alignment horizontal="right" vertical="center"/>
      <protection locked="0"/>
    </xf>
    <xf numFmtId="166" fontId="50" fillId="0" borderId="21" xfId="3" applyNumberFormat="1" applyFont="1" applyBorder="1" applyAlignment="1" applyProtection="1">
      <alignment horizontal="right" vertical="center"/>
      <protection locked="0"/>
    </xf>
    <xf numFmtId="166" fontId="50" fillId="0" borderId="10" xfId="3" applyNumberFormat="1" applyFont="1" applyBorder="1" applyAlignment="1" applyProtection="1">
      <alignment horizontal="right" vertical="center"/>
      <protection locked="0"/>
    </xf>
    <xf numFmtId="43" fontId="8" fillId="0" borderId="21" xfId="1" applyFont="1" applyBorder="1" applyAlignment="1" applyProtection="1">
      <alignment horizontal="right" vertical="center"/>
      <protection locked="0"/>
    </xf>
    <xf numFmtId="43" fontId="8" fillId="0" borderId="10" xfId="1" applyFont="1" applyBorder="1" applyAlignment="1" applyProtection="1">
      <alignment horizontal="right" vertical="center"/>
      <protection locked="0"/>
    </xf>
    <xf numFmtId="166" fontId="8" fillId="0" borderId="22" xfId="3" applyNumberFormat="1" applyFont="1" applyBorder="1" applyAlignment="1" applyProtection="1">
      <alignment horizontal="right" vertical="center"/>
      <protection locked="0"/>
    </xf>
    <xf numFmtId="164" fontId="8" fillId="0" borderId="15" xfId="1" applyNumberFormat="1" applyFont="1" applyBorder="1" applyAlignment="1" applyProtection="1">
      <alignment horizontal="right" vertical="center"/>
      <protection locked="0"/>
    </xf>
    <xf numFmtId="166" fontId="50" fillId="0" borderId="16" xfId="3" applyNumberFormat="1" applyFont="1" applyBorder="1" applyAlignment="1" applyProtection="1">
      <alignment horizontal="right" vertical="center"/>
      <protection locked="0"/>
    </xf>
    <xf numFmtId="166" fontId="50" fillId="0" borderId="15" xfId="3" applyNumberFormat="1" applyFont="1" applyBorder="1" applyAlignment="1" applyProtection="1">
      <alignment horizontal="right" vertical="center"/>
      <protection locked="0"/>
    </xf>
    <xf numFmtId="43" fontId="8" fillId="0" borderId="15" xfId="1" applyFont="1" applyBorder="1" applyAlignment="1" applyProtection="1">
      <alignment horizontal="right" vertical="center"/>
      <protection locked="0"/>
    </xf>
    <xf numFmtId="43" fontId="8" fillId="0" borderId="2" xfId="1" applyFont="1" applyBorder="1" applyAlignment="1" applyProtection="1">
      <alignment horizontal="right" vertical="center"/>
      <protection locked="0"/>
    </xf>
    <xf numFmtId="166" fontId="8" fillId="0" borderId="16" xfId="3" applyNumberFormat="1" applyFont="1" applyBorder="1" applyAlignment="1" applyProtection="1">
      <alignment horizontal="right" vertical="center"/>
      <protection locked="0"/>
    </xf>
    <xf numFmtId="164" fontId="8" fillId="0" borderId="17" xfId="1" applyNumberFormat="1" applyFont="1" applyBorder="1" applyAlignment="1" applyProtection="1">
      <alignment horizontal="right" vertical="center"/>
      <protection locked="0"/>
    </xf>
    <xf numFmtId="166" fontId="50" fillId="0" borderId="18" xfId="3" applyNumberFormat="1" applyFont="1" applyBorder="1" applyAlignment="1" applyProtection="1">
      <alignment horizontal="right" vertical="center"/>
      <protection locked="0"/>
    </xf>
    <xf numFmtId="166" fontId="50" fillId="0" borderId="17" xfId="3" applyNumberFormat="1" applyFont="1" applyBorder="1" applyAlignment="1" applyProtection="1">
      <alignment horizontal="right" vertical="center"/>
      <protection locked="0"/>
    </xf>
    <xf numFmtId="166" fontId="50" fillId="0" borderId="20" xfId="3" applyNumberFormat="1" applyFont="1" applyBorder="1" applyAlignment="1" applyProtection="1">
      <alignment horizontal="right" vertical="center"/>
      <protection locked="0"/>
    </xf>
    <xf numFmtId="43" fontId="8" fillId="0" borderId="17" xfId="1" applyFont="1" applyBorder="1" applyAlignment="1" applyProtection="1">
      <alignment horizontal="right" vertical="center"/>
      <protection locked="0"/>
    </xf>
    <xf numFmtId="43" fontId="8" fillId="0" borderId="20" xfId="1" applyFont="1" applyBorder="1" applyAlignment="1" applyProtection="1">
      <alignment horizontal="right" vertical="center"/>
      <protection locked="0"/>
    </xf>
    <xf numFmtId="166" fontId="8" fillId="0" borderId="18" xfId="3" applyNumberFormat="1" applyFont="1" applyBorder="1" applyAlignment="1" applyProtection="1">
      <alignment horizontal="right" vertical="center"/>
      <protection locked="0"/>
    </xf>
    <xf numFmtId="166" fontId="50" fillId="0" borderId="11" xfId="3" applyNumberFormat="1" applyFont="1" applyBorder="1" applyAlignment="1" applyProtection="1">
      <alignment horizontal="right" vertical="center"/>
      <protection locked="0"/>
    </xf>
    <xf numFmtId="43" fontId="8" fillId="0" borderId="9" xfId="1" applyFont="1" applyBorder="1" applyAlignment="1" applyProtection="1">
      <alignment horizontal="right" vertical="center"/>
      <protection locked="0"/>
    </xf>
    <xf numFmtId="166" fontId="50" fillId="0" borderId="25" xfId="3" applyNumberFormat="1" applyFont="1" applyBorder="1" applyAlignment="1" applyProtection="1">
      <alignment horizontal="right" vertical="center"/>
      <protection locked="0"/>
    </xf>
    <xf numFmtId="43" fontId="8" fillId="0" borderId="26" xfId="1" applyFont="1" applyBorder="1" applyAlignment="1" applyProtection="1">
      <alignment horizontal="right" vertical="center"/>
      <protection locked="0"/>
    </xf>
    <xf numFmtId="164" fontId="8" fillId="0" borderId="27" xfId="1" applyNumberFormat="1" applyFont="1" applyBorder="1" applyAlignment="1" applyProtection="1">
      <alignment horizontal="right" vertical="center"/>
      <protection locked="0"/>
    </xf>
    <xf numFmtId="166" fontId="50" fillId="0" borderId="28" xfId="3" applyNumberFormat="1" applyFont="1" applyBorder="1" applyAlignment="1" applyProtection="1">
      <alignment horizontal="right" vertical="center"/>
      <protection locked="0"/>
    </xf>
    <xf numFmtId="166" fontId="50" fillId="0" borderId="27" xfId="3" applyNumberFormat="1" applyFont="1" applyBorder="1" applyAlignment="1" applyProtection="1">
      <alignment horizontal="right" vertical="center"/>
      <protection locked="0"/>
    </xf>
    <xf numFmtId="166" fontId="50" fillId="0" borderId="29" xfId="3" applyNumberFormat="1" applyFont="1" applyBorder="1" applyAlignment="1" applyProtection="1">
      <alignment horizontal="right" vertical="center"/>
      <protection locked="0"/>
    </xf>
    <xf numFmtId="166" fontId="50" fillId="0" borderId="30" xfId="3" applyNumberFormat="1" applyFont="1" applyBorder="1" applyAlignment="1" applyProtection="1">
      <alignment horizontal="right" vertical="center"/>
      <protection locked="0"/>
    </xf>
    <xf numFmtId="43" fontId="8" fillId="0" borderId="31" xfId="1" applyFont="1" applyBorder="1" applyAlignment="1" applyProtection="1">
      <alignment horizontal="right" vertical="center"/>
      <protection locked="0"/>
    </xf>
    <xf numFmtId="43" fontId="8" fillId="0" borderId="29" xfId="1" applyFont="1" applyBorder="1" applyAlignment="1" applyProtection="1">
      <alignment horizontal="right" vertical="center"/>
      <protection locked="0"/>
    </xf>
    <xf numFmtId="166" fontId="8" fillId="0" borderId="30" xfId="3" applyNumberFormat="1" applyFont="1" applyBorder="1" applyAlignment="1" applyProtection="1">
      <alignment horizontal="right" vertical="center"/>
      <protection locked="0"/>
    </xf>
    <xf numFmtId="164" fontId="8" fillId="0" borderId="6" xfId="1" applyNumberFormat="1" applyFont="1" applyBorder="1" applyAlignment="1" applyProtection="1">
      <alignment horizontal="right" vertical="center"/>
      <protection locked="0"/>
    </xf>
    <xf numFmtId="166" fontId="50" fillId="0" borderId="32" xfId="3" applyNumberFormat="1" applyFont="1" applyBorder="1" applyAlignment="1" applyProtection="1">
      <alignment horizontal="right" vertical="center"/>
      <protection locked="0"/>
    </xf>
    <xf numFmtId="166" fontId="50" fillId="0" borderId="6" xfId="3" applyNumberFormat="1" applyFont="1" applyBorder="1" applyAlignment="1" applyProtection="1">
      <alignment horizontal="right" vertical="center"/>
      <protection locked="0"/>
    </xf>
    <xf numFmtId="166" fontId="50" fillId="0" borderId="7" xfId="3" applyNumberFormat="1" applyFont="1" applyBorder="1" applyAlignment="1" applyProtection="1">
      <alignment horizontal="right" vertical="center"/>
      <protection locked="0"/>
    </xf>
    <xf numFmtId="166" fontId="50" fillId="0" borderId="8" xfId="3" applyNumberFormat="1" applyFont="1" applyBorder="1" applyAlignment="1" applyProtection="1">
      <alignment horizontal="right" vertical="center"/>
      <protection locked="0"/>
    </xf>
    <xf numFmtId="43" fontId="8" fillId="0" borderId="33" xfId="1" applyFont="1" applyBorder="1" applyAlignment="1" applyProtection="1">
      <alignment horizontal="right" vertical="center"/>
      <protection locked="0"/>
    </xf>
    <xf numFmtId="43" fontId="8" fillId="0" borderId="7" xfId="1" applyFont="1" applyBorder="1" applyAlignment="1" applyProtection="1">
      <alignment horizontal="right" vertical="center"/>
      <protection locked="0"/>
    </xf>
    <xf numFmtId="166" fontId="8" fillId="0" borderId="8" xfId="3" applyNumberFormat="1" applyFont="1" applyBorder="1" applyAlignment="1" applyProtection="1">
      <alignment horizontal="right" vertical="center"/>
      <protection locked="0"/>
    </xf>
    <xf numFmtId="0" fontId="15" fillId="2" borderId="0" xfId="0" applyFont="1" applyFill="1" applyAlignment="1" applyProtection="1">
      <alignment vertical="center"/>
      <protection locked="0"/>
    </xf>
    <xf numFmtId="0" fontId="15" fillId="2" borderId="0" xfId="0" applyFont="1" applyFill="1" applyAlignment="1" applyProtection="1">
      <alignment horizontal="center" vertical="center"/>
      <protection locked="0"/>
    </xf>
    <xf numFmtId="0" fontId="15" fillId="2" borderId="0" xfId="0" applyFont="1" applyFill="1" applyAlignment="1" applyProtection="1">
      <alignment vertical="center" wrapText="1"/>
      <protection locked="0"/>
    </xf>
    <xf numFmtId="5" fontId="3" fillId="2" borderId="0" xfId="0" applyNumberFormat="1" applyFont="1" applyFill="1" applyProtection="1">
      <protection locked="0"/>
    </xf>
    <xf numFmtId="167" fontId="3" fillId="2" borderId="0" xfId="0" applyNumberFormat="1" applyFont="1" applyFill="1" applyProtection="1">
      <protection locked="0"/>
    </xf>
    <xf numFmtId="167" fontId="3" fillId="2" borderId="0" xfId="2" applyNumberFormat="1" applyFont="1" applyFill="1" applyBorder="1" applyAlignment="1" applyProtection="1">
      <alignment horizontal="right"/>
      <protection locked="0"/>
    </xf>
    <xf numFmtId="0" fontId="17" fillId="2" borderId="0" xfId="0" applyFont="1" applyFill="1" applyAlignment="1" applyProtection="1">
      <alignment horizontal="center"/>
      <protection locked="0"/>
    </xf>
    <xf numFmtId="0" fontId="4" fillId="2" borderId="0" xfId="0" applyFont="1" applyFill="1" applyAlignment="1" applyProtection="1">
      <alignment horizontal="center"/>
      <protection locked="0"/>
    </xf>
    <xf numFmtId="5" fontId="3" fillId="2" borderId="0" xfId="2" applyNumberFormat="1" applyFont="1" applyFill="1" applyBorder="1" applyAlignment="1" applyProtection="1">
      <alignment horizontal="right"/>
      <protection locked="0"/>
    </xf>
    <xf numFmtId="167" fontId="3" fillId="2" borderId="0" xfId="0" applyNumberFormat="1" applyFont="1" applyFill="1" applyAlignment="1" applyProtection="1">
      <alignment horizontal="right"/>
      <protection locked="0"/>
    </xf>
    <xf numFmtId="5" fontId="4" fillId="2" borderId="0" xfId="2" applyNumberFormat="1" applyFont="1" applyFill="1" applyBorder="1" applyAlignment="1" applyProtection="1">
      <alignment horizontal="right"/>
      <protection locked="0"/>
    </xf>
    <xf numFmtId="168" fontId="3" fillId="2" borderId="0" xfId="1" applyNumberFormat="1" applyFont="1" applyFill="1" applyBorder="1" applyAlignment="1" applyProtection="1">
      <alignment horizontal="right"/>
      <protection locked="0"/>
    </xf>
    <xf numFmtId="5" fontId="3" fillId="2" borderId="0" xfId="0" applyNumberFormat="1" applyFont="1" applyFill="1" applyAlignment="1" applyProtection="1">
      <alignment horizontal="right"/>
      <protection locked="0"/>
    </xf>
    <xf numFmtId="0" fontId="3" fillId="2" borderId="0" xfId="0" applyFont="1" applyFill="1" applyAlignment="1" applyProtection="1">
      <alignment horizontal="right"/>
      <protection locked="0"/>
    </xf>
    <xf numFmtId="5" fontId="4" fillId="2" borderId="0" xfId="0" applyNumberFormat="1" applyFont="1" applyFill="1" applyAlignment="1" applyProtection="1">
      <alignment horizontal="right"/>
      <protection locked="0"/>
    </xf>
    <xf numFmtId="0" fontId="4" fillId="2" borderId="0" xfId="0" applyFont="1" applyFill="1" applyAlignment="1" applyProtection="1">
      <alignment horizontal="left"/>
      <protection locked="0"/>
    </xf>
    <xf numFmtId="5" fontId="18" fillId="2" borderId="0" xfId="0" applyNumberFormat="1" applyFont="1" applyFill="1" applyAlignment="1" applyProtection="1">
      <alignment horizontal="right"/>
      <protection locked="0"/>
    </xf>
    <xf numFmtId="169" fontId="3" fillId="2" borderId="0" xfId="1" applyNumberFormat="1" applyFont="1" applyFill="1" applyBorder="1" applyAlignment="1" applyProtection="1">
      <alignment horizontal="right"/>
      <protection locked="0"/>
    </xf>
    <xf numFmtId="10" fontId="4" fillId="2" borderId="0" xfId="3" applyNumberFormat="1" applyFont="1" applyFill="1" applyBorder="1" applyAlignment="1" applyProtection="1">
      <alignment horizontal="right" wrapText="1"/>
      <protection locked="0"/>
    </xf>
    <xf numFmtId="10" fontId="4" fillId="2" borderId="0" xfId="3" applyNumberFormat="1" applyFont="1" applyFill="1" applyBorder="1" applyAlignment="1" applyProtection="1">
      <alignment horizontal="right"/>
      <protection locked="0"/>
    </xf>
    <xf numFmtId="6" fontId="4" fillId="2" borderId="0" xfId="0" applyNumberFormat="1" applyFont="1" applyFill="1" applyAlignment="1" applyProtection="1">
      <alignment horizontal="right"/>
      <protection locked="0"/>
    </xf>
    <xf numFmtId="0" fontId="20" fillId="4" borderId="0" xfId="0" applyFont="1" applyFill="1" applyAlignment="1" applyProtection="1">
      <alignment horizontal="center" vertical="center"/>
      <protection locked="0"/>
    </xf>
    <xf numFmtId="0" fontId="32" fillId="2" borderId="0" xfId="0" applyFont="1" applyFill="1" applyAlignment="1" applyProtection="1">
      <alignment vertical="center"/>
      <protection locked="0"/>
    </xf>
    <xf numFmtId="0" fontId="27" fillId="2" borderId="0" xfId="0" applyFont="1" applyFill="1" applyAlignment="1" applyProtection="1">
      <alignment vertical="center"/>
      <protection locked="0"/>
    </xf>
    <xf numFmtId="0" fontId="6" fillId="2" borderId="0" xfId="0" applyFont="1" applyFill="1" applyProtection="1">
      <protection locked="0"/>
    </xf>
    <xf numFmtId="0" fontId="30" fillId="2" borderId="0" xfId="0" applyFont="1" applyFill="1" applyProtection="1">
      <protection locked="0"/>
    </xf>
    <xf numFmtId="0" fontId="8" fillId="2" borderId="0" xfId="0" applyFont="1" applyFill="1" applyProtection="1">
      <protection locked="0"/>
    </xf>
    <xf numFmtId="0" fontId="23" fillId="2" borderId="0" xfId="0" applyFont="1" applyFill="1" applyAlignment="1" applyProtection="1">
      <alignment horizontal="center"/>
      <protection locked="0"/>
    </xf>
    <xf numFmtId="173" fontId="23" fillId="2" borderId="0" xfId="0" applyNumberFormat="1" applyFont="1" applyFill="1" applyAlignment="1" applyProtection="1">
      <alignment horizontal="center"/>
      <protection locked="0"/>
    </xf>
    <xf numFmtId="164" fontId="8" fillId="5" borderId="3" xfId="2" applyNumberFormat="1" applyFont="1" applyFill="1" applyBorder="1" applyAlignment="1" applyProtection="1">
      <alignment horizontal="right" vertical="center"/>
      <protection locked="0"/>
    </xf>
    <xf numFmtId="0" fontId="8" fillId="2" borderId="0" xfId="0" applyFont="1" applyFill="1" applyAlignment="1" applyProtection="1">
      <alignment horizontal="center" vertical="center"/>
      <protection locked="0"/>
    </xf>
    <xf numFmtId="164" fontId="50" fillId="5" borderId="3" xfId="2" applyNumberFormat="1" applyFont="1" applyFill="1" applyBorder="1" applyAlignment="1" applyProtection="1">
      <alignment horizontal="right" vertical="center"/>
      <protection locked="0"/>
    </xf>
    <xf numFmtId="0" fontId="8" fillId="2" borderId="0" xfId="0" applyFont="1" applyFill="1" applyAlignment="1" applyProtection="1">
      <alignment horizontal="left" indent="2"/>
      <protection locked="0"/>
    </xf>
    <xf numFmtId="0" fontId="8" fillId="2" borderId="0" xfId="0" applyFont="1" applyFill="1" applyAlignment="1" applyProtection="1">
      <alignment horizontal="left" indent="8"/>
      <protection locked="0"/>
    </xf>
    <xf numFmtId="9" fontId="50" fillId="5" borderId="3" xfId="3" applyFont="1" applyFill="1" applyBorder="1" applyAlignment="1" applyProtection="1">
      <alignment horizontal="right" vertical="center"/>
      <protection locked="0"/>
    </xf>
    <xf numFmtId="0" fontId="8" fillId="2" borderId="1" xfId="0" applyFont="1" applyFill="1" applyBorder="1" applyProtection="1">
      <protection locked="0"/>
    </xf>
    <xf numFmtId="0" fontId="8" fillId="2" borderId="36" xfId="0" applyFont="1" applyFill="1" applyBorder="1" applyProtection="1">
      <protection locked="0"/>
    </xf>
    <xf numFmtId="164" fontId="50" fillId="5" borderId="37" xfId="2" applyNumberFormat="1" applyFont="1" applyFill="1" applyBorder="1" applyAlignment="1" applyProtection="1">
      <alignment horizontal="right" vertical="center"/>
      <protection locked="0"/>
    </xf>
    <xf numFmtId="164" fontId="8" fillId="5" borderId="37" xfId="2" applyNumberFormat="1" applyFont="1" applyFill="1" applyBorder="1" applyAlignment="1" applyProtection="1">
      <alignment horizontal="right" vertical="center"/>
      <protection locked="0"/>
    </xf>
    <xf numFmtId="0" fontId="23" fillId="2" borderId="0" xfId="0" applyFont="1" applyFill="1" applyProtection="1">
      <protection locked="0"/>
    </xf>
    <xf numFmtId="164" fontId="23" fillId="5" borderId="4" xfId="2" applyNumberFormat="1" applyFont="1" applyFill="1" applyBorder="1" applyAlignment="1" applyProtection="1">
      <alignment horizontal="right" vertical="center"/>
      <protection locked="0"/>
    </xf>
    <xf numFmtId="0" fontId="8" fillId="2" borderId="0" xfId="0" applyFont="1" applyFill="1" applyAlignment="1" applyProtection="1">
      <alignment horizontal="left" indent="5"/>
      <protection locked="0"/>
    </xf>
    <xf numFmtId="164" fontId="23" fillId="5" borderId="3" xfId="2" applyNumberFormat="1" applyFont="1" applyFill="1" applyBorder="1" applyAlignment="1" applyProtection="1">
      <alignment horizontal="right" vertical="center"/>
      <protection locked="0"/>
    </xf>
    <xf numFmtId="9" fontId="8" fillId="5" borderId="3" xfId="3" applyFont="1" applyFill="1" applyBorder="1" applyAlignment="1" applyProtection="1">
      <alignment horizontal="right" vertical="center"/>
      <protection locked="0"/>
    </xf>
    <xf numFmtId="9" fontId="50" fillId="2" borderId="3" xfId="3" applyFont="1" applyFill="1" applyBorder="1" applyAlignment="1" applyProtection="1">
      <alignment horizontal="right" vertical="center"/>
      <protection locked="0"/>
    </xf>
    <xf numFmtId="0" fontId="23" fillId="2" borderId="0" xfId="0" applyFont="1" applyFill="1" applyAlignment="1" applyProtection="1">
      <alignment vertical="center"/>
      <protection locked="0"/>
    </xf>
    <xf numFmtId="174" fontId="23" fillId="2" borderId="0" xfId="0" applyNumberFormat="1" applyFont="1" applyFill="1" applyAlignment="1" applyProtection="1">
      <alignment horizontal="center" vertical="center"/>
      <protection locked="0"/>
    </xf>
    <xf numFmtId="174" fontId="23" fillId="2" borderId="0" xfId="0" applyNumberFormat="1" applyFont="1" applyFill="1" applyAlignment="1" applyProtection="1">
      <alignment horizontal="center"/>
      <protection locked="0"/>
    </xf>
    <xf numFmtId="175" fontId="8" fillId="5" borderId="3" xfId="3" applyNumberFormat="1" applyFont="1" applyFill="1" applyBorder="1" applyAlignment="1" applyProtection="1">
      <alignment horizontal="right" vertical="center"/>
      <protection locked="0"/>
    </xf>
    <xf numFmtId="0" fontId="38" fillId="2" borderId="0" xfId="0" applyFont="1" applyFill="1" applyAlignment="1" applyProtection="1">
      <alignment horizontal="left"/>
      <protection locked="0"/>
    </xf>
    <xf numFmtId="0" fontId="27" fillId="2" borderId="0" xfId="0" applyFont="1" applyFill="1" applyAlignment="1" applyProtection="1">
      <alignment vertical="center" wrapText="1"/>
      <protection locked="0"/>
    </xf>
    <xf numFmtId="0" fontId="3" fillId="2" borderId="0" xfId="0" applyFont="1" applyFill="1" applyAlignment="1" applyProtection="1">
      <alignment vertical="center"/>
      <protection locked="0"/>
    </xf>
    <xf numFmtId="0" fontId="23" fillId="2" borderId="0" xfId="0" applyFont="1" applyFill="1" applyAlignment="1" applyProtection="1">
      <alignment horizontal="center" vertical="center" wrapText="1"/>
      <protection locked="0"/>
    </xf>
    <xf numFmtId="0" fontId="4" fillId="2" borderId="0" xfId="0" applyFont="1" applyFill="1" applyAlignment="1" applyProtection="1">
      <alignment vertical="center"/>
      <protection locked="0"/>
    </xf>
    <xf numFmtId="0" fontId="8" fillId="2" borderId="0" xfId="0" applyFont="1" applyFill="1" applyAlignment="1" applyProtection="1">
      <alignment horizontal="center" vertical="center" wrapText="1"/>
      <protection locked="0"/>
    </xf>
    <xf numFmtId="165" fontId="27" fillId="2" borderId="0" xfId="0" applyNumberFormat="1" applyFont="1" applyFill="1" applyAlignment="1" applyProtection="1">
      <alignment horizontal="left" vertical="center" wrapText="1" indent="1"/>
      <protection locked="0"/>
    </xf>
    <xf numFmtId="0" fontId="31" fillId="6" borderId="64" xfId="0" applyFont="1" applyFill="1" applyBorder="1" applyAlignment="1" applyProtection="1">
      <alignment horizontal="center" vertical="center"/>
      <protection locked="0"/>
    </xf>
    <xf numFmtId="0" fontId="8" fillId="2" borderId="65" xfId="0" applyFont="1" applyFill="1" applyBorder="1" applyAlignment="1" applyProtection="1">
      <alignment horizontal="center" vertical="center"/>
      <protection locked="0"/>
    </xf>
    <xf numFmtId="9" fontId="8" fillId="2" borderId="65" xfId="3" applyFont="1" applyFill="1" applyBorder="1" applyAlignment="1" applyProtection="1">
      <alignment horizontal="center" vertical="center"/>
      <protection locked="0"/>
    </xf>
    <xf numFmtId="9" fontId="8" fillId="2" borderId="3" xfId="3" applyFont="1" applyFill="1" applyBorder="1" applyAlignment="1" applyProtection="1">
      <alignment horizontal="center" vertical="center"/>
      <protection locked="0"/>
    </xf>
    <xf numFmtId="166" fontId="8" fillId="2" borderId="3" xfId="3" applyNumberFormat="1" applyFont="1" applyFill="1" applyBorder="1" applyAlignment="1" applyProtection="1">
      <alignment horizontal="center" vertical="center"/>
      <protection locked="0"/>
    </xf>
    <xf numFmtId="0" fontId="8" fillId="2" borderId="0" xfId="0" applyFont="1" applyFill="1" applyAlignment="1" applyProtection="1">
      <alignment horizontal="left" indent="1"/>
      <protection locked="0"/>
    </xf>
    <xf numFmtId="179" fontId="8" fillId="2" borderId="1" xfId="0" applyNumberFormat="1" applyFont="1" applyFill="1" applyBorder="1" applyAlignment="1" applyProtection="1">
      <alignment horizontal="center"/>
      <protection locked="0"/>
    </xf>
    <xf numFmtId="0" fontId="27" fillId="2" borderId="43" xfId="0" applyFont="1" applyFill="1" applyBorder="1" applyAlignment="1" applyProtection="1">
      <alignment vertical="center"/>
      <protection locked="0"/>
    </xf>
    <xf numFmtId="0" fontId="8" fillId="2" borderId="3" xfId="0" applyFont="1" applyFill="1" applyBorder="1" applyAlignment="1" applyProtection="1">
      <alignment horizontal="center" vertical="center"/>
      <protection locked="0"/>
    </xf>
    <xf numFmtId="0" fontId="50" fillId="2" borderId="65" xfId="0" applyFont="1" applyFill="1" applyBorder="1" applyAlignment="1" applyProtection="1">
      <alignment horizontal="center" vertical="center"/>
      <protection locked="0"/>
    </xf>
    <xf numFmtId="179" fontId="8" fillId="6" borderId="4" xfId="0" applyNumberFormat="1" applyFont="1" applyFill="1" applyBorder="1" applyAlignment="1" applyProtection="1">
      <alignment horizontal="center" vertical="center"/>
      <protection locked="0"/>
    </xf>
    <xf numFmtId="0" fontId="8" fillId="2" borderId="4" xfId="0" applyFont="1" applyFill="1" applyBorder="1" applyAlignment="1" applyProtection="1">
      <alignment horizontal="center" vertical="center"/>
      <protection locked="0"/>
    </xf>
    <xf numFmtId="0" fontId="50" fillId="2" borderId="38" xfId="0" applyFont="1" applyFill="1" applyBorder="1" applyAlignment="1" applyProtection="1">
      <alignment horizontal="center" vertical="center"/>
      <protection locked="0"/>
    </xf>
    <xf numFmtId="179" fontId="8" fillId="6" borderId="3" xfId="0" applyNumberFormat="1" applyFont="1" applyFill="1" applyBorder="1" applyAlignment="1" applyProtection="1">
      <alignment horizontal="center" vertical="center"/>
      <protection locked="0"/>
    </xf>
    <xf numFmtId="0" fontId="34" fillId="2" borderId="65" xfId="0" applyFont="1" applyFill="1" applyBorder="1" applyAlignment="1" applyProtection="1">
      <alignment horizontal="center" vertical="center"/>
      <protection locked="0"/>
    </xf>
    <xf numFmtId="165" fontId="8" fillId="2" borderId="0" xfId="0" applyNumberFormat="1" applyFont="1" applyFill="1" applyAlignment="1" applyProtection="1">
      <alignment horizontal="left" indent="1"/>
      <protection locked="0"/>
    </xf>
    <xf numFmtId="0" fontId="27" fillId="2" borderId="0" xfId="0" applyFont="1" applyFill="1" applyAlignment="1" applyProtection="1">
      <alignment horizontal="center" vertical="center" wrapText="1"/>
      <protection locked="0"/>
    </xf>
    <xf numFmtId="0" fontId="41" fillId="2" borderId="0" xfId="0" applyFont="1" applyFill="1" applyAlignment="1" applyProtection="1">
      <alignment horizontal="center" vertical="center" wrapText="1"/>
      <protection locked="0"/>
    </xf>
    <xf numFmtId="0" fontId="8" fillId="2" borderId="3" xfId="0" applyFont="1" applyFill="1" applyBorder="1" applyAlignment="1" applyProtection="1">
      <alignment horizontal="left" vertical="center" indent="1"/>
      <protection locked="0"/>
    </xf>
    <xf numFmtId="9" fontId="50" fillId="2" borderId="3" xfId="3" applyFont="1" applyFill="1" applyBorder="1" applyAlignment="1" applyProtection="1">
      <alignment horizontal="center" vertical="center"/>
      <protection locked="0"/>
    </xf>
    <xf numFmtId="10" fontId="50" fillId="2" borderId="3" xfId="3" applyNumberFormat="1" applyFont="1" applyFill="1" applyBorder="1" applyAlignment="1" applyProtection="1">
      <alignment horizontal="center" vertical="center"/>
      <protection locked="0"/>
    </xf>
    <xf numFmtId="166" fontId="50" fillId="2" borderId="3" xfId="3" applyNumberFormat="1" applyFont="1" applyFill="1" applyBorder="1" applyAlignment="1" applyProtection="1">
      <alignment horizontal="center" vertical="center"/>
      <protection locked="0"/>
    </xf>
    <xf numFmtId="0" fontId="34" fillId="2" borderId="3" xfId="0" applyFont="1" applyFill="1" applyBorder="1" applyAlignment="1" applyProtection="1">
      <alignment horizontal="center" vertical="center"/>
      <protection locked="0"/>
    </xf>
    <xf numFmtId="44" fontId="34" fillId="2" borderId="3" xfId="2" applyFont="1" applyFill="1" applyBorder="1" applyAlignment="1" applyProtection="1">
      <alignment horizontal="center" vertical="center"/>
      <protection locked="0"/>
    </xf>
    <xf numFmtId="166" fontId="34" fillId="2" borderId="3" xfId="3" applyNumberFormat="1" applyFont="1" applyFill="1" applyBorder="1" applyAlignment="1" applyProtection="1">
      <alignment horizontal="center" vertical="center"/>
      <protection locked="0"/>
    </xf>
    <xf numFmtId="10" fontId="34" fillId="2" borderId="3" xfId="3" applyNumberFormat="1" applyFont="1" applyFill="1" applyBorder="1" applyAlignment="1" applyProtection="1">
      <alignment horizontal="center" vertical="center"/>
      <protection locked="0"/>
    </xf>
    <xf numFmtId="0" fontId="42" fillId="2" borderId="0" xfId="0" applyFont="1" applyFill="1" applyAlignment="1" applyProtection="1">
      <alignment horizontal="left" indent="10"/>
      <protection locked="0"/>
    </xf>
    <xf numFmtId="165" fontId="23" fillId="2" borderId="0" xfId="0" applyNumberFormat="1" applyFont="1" applyFill="1" applyAlignment="1" applyProtection="1">
      <alignment vertical="center" wrapText="1"/>
      <protection locked="0"/>
    </xf>
    <xf numFmtId="165" fontId="23" fillId="2" borderId="0" xfId="0" applyNumberFormat="1" applyFont="1" applyFill="1" applyAlignment="1" applyProtection="1">
      <alignment horizontal="center" vertical="center" wrapText="1"/>
      <protection locked="0"/>
    </xf>
    <xf numFmtId="0" fontId="8" fillId="5" borderId="66" xfId="0" applyFont="1" applyFill="1" applyBorder="1" applyAlignment="1" applyProtection="1">
      <alignment horizontal="center" vertical="center"/>
      <protection locked="0"/>
    </xf>
    <xf numFmtId="0" fontId="8" fillId="5" borderId="67" xfId="0" applyFont="1" applyFill="1" applyBorder="1" applyAlignment="1" applyProtection="1">
      <alignment horizontal="center" vertical="center"/>
      <protection locked="0"/>
    </xf>
    <xf numFmtId="0" fontId="8" fillId="5" borderId="68" xfId="0" applyFont="1" applyFill="1" applyBorder="1" applyAlignment="1" applyProtection="1">
      <alignment horizontal="center" vertical="center"/>
      <protection locked="0"/>
    </xf>
    <xf numFmtId="165" fontId="27" fillId="2" borderId="0" xfId="0" applyNumberFormat="1" applyFont="1" applyFill="1" applyAlignment="1" applyProtection="1">
      <alignment horizontal="left" vertical="center" wrapText="1"/>
      <protection locked="0"/>
    </xf>
    <xf numFmtId="0" fontId="21"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171" fontId="8" fillId="5" borderId="0" xfId="2" applyNumberFormat="1" applyFont="1" applyFill="1" applyBorder="1" applyAlignment="1" applyProtection="1">
      <alignment horizontal="center" vertical="center"/>
      <protection locked="0"/>
    </xf>
    <xf numFmtId="0" fontId="23" fillId="2" borderId="0" xfId="0" applyFont="1" applyFill="1" applyAlignment="1" applyProtection="1">
      <alignment horizontal="left"/>
      <protection locked="0"/>
    </xf>
    <xf numFmtId="2" fontId="15" fillId="2" borderId="0" xfId="0" applyNumberFormat="1" applyFont="1" applyFill="1" applyAlignment="1" applyProtection="1">
      <alignment horizontal="center" vertical="center" wrapText="1"/>
      <protection locked="0"/>
    </xf>
    <xf numFmtId="165" fontId="23" fillId="2" borderId="0" xfId="0" applyNumberFormat="1" applyFont="1" applyFill="1" applyAlignment="1" applyProtection="1">
      <alignment horizontal="left" vertical="center" wrapText="1"/>
      <protection locked="0"/>
    </xf>
    <xf numFmtId="0" fontId="15" fillId="5" borderId="0" xfId="0" applyFont="1" applyFill="1" applyAlignment="1" applyProtection="1">
      <alignment horizontal="center" vertical="center"/>
      <protection locked="0"/>
    </xf>
    <xf numFmtId="2" fontId="15" fillId="5" borderId="0" xfId="0" applyNumberFormat="1" applyFont="1" applyFill="1" applyAlignment="1" applyProtection="1">
      <alignment horizontal="center" vertical="center" wrapText="1"/>
      <protection locked="0"/>
    </xf>
    <xf numFmtId="165" fontId="23" fillId="2" borderId="0" xfId="0" applyNumberFormat="1" applyFont="1" applyFill="1" applyAlignment="1" applyProtection="1">
      <alignment horizontal="left"/>
      <protection locked="0"/>
    </xf>
    <xf numFmtId="165" fontId="23" fillId="2" borderId="0" xfId="0" applyNumberFormat="1" applyFont="1" applyFill="1" applyAlignment="1" applyProtection="1">
      <alignment horizontal="left" indent="1"/>
      <protection locked="0"/>
    </xf>
    <xf numFmtId="165" fontId="29" fillId="2" borderId="0" xfId="0" applyNumberFormat="1" applyFont="1" applyFill="1" applyAlignment="1" applyProtection="1">
      <alignment horizontal="left" indent="1"/>
      <protection locked="0"/>
    </xf>
    <xf numFmtId="165" fontId="23" fillId="2"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left" indent="1"/>
      <protection locked="0"/>
    </xf>
    <xf numFmtId="165" fontId="8" fillId="2" borderId="0" xfId="0" applyNumberFormat="1" applyFont="1" applyFill="1" applyAlignment="1" applyProtection="1">
      <alignment horizontal="left"/>
      <protection locked="0"/>
    </xf>
    <xf numFmtId="0" fontId="0" fillId="2" borderId="0" xfId="0" applyFill="1" applyProtection="1">
      <protection locked="0"/>
    </xf>
    <xf numFmtId="0" fontId="36" fillId="2" borderId="0" xfId="0" applyFont="1" applyFill="1" applyAlignment="1" applyProtection="1">
      <alignment horizontal="center"/>
      <protection locked="0"/>
    </xf>
    <xf numFmtId="0" fontId="29" fillId="2" borderId="0" xfId="0" applyFont="1" applyFill="1" applyAlignment="1" applyProtection="1">
      <alignment horizontal="right"/>
      <protection locked="0"/>
    </xf>
    <xf numFmtId="43" fontId="29" fillId="5" borderId="3" xfId="2" applyNumberFormat="1" applyFont="1" applyFill="1" applyBorder="1" applyAlignment="1" applyProtection="1">
      <alignment horizontal="right" vertical="center"/>
      <protection locked="0"/>
    </xf>
    <xf numFmtId="10" fontId="29" fillId="5" borderId="3" xfId="3" applyNumberFormat="1" applyFont="1" applyFill="1" applyBorder="1" applyAlignment="1" applyProtection="1">
      <alignment horizontal="right" vertical="center"/>
      <protection locked="0"/>
    </xf>
    <xf numFmtId="43" fontId="29" fillId="5" borderId="3" xfId="1" applyFont="1" applyFill="1" applyBorder="1" applyAlignment="1" applyProtection="1">
      <alignment horizontal="right" vertical="center"/>
      <protection locked="0"/>
    </xf>
    <xf numFmtId="164" fontId="29" fillId="5" borderId="3" xfId="2" applyNumberFormat="1" applyFont="1" applyFill="1" applyBorder="1" applyAlignment="1" applyProtection="1">
      <alignment horizontal="right" vertical="center"/>
      <protection locked="0"/>
    </xf>
    <xf numFmtId="172" fontId="29" fillId="5" borderId="3" xfId="2" applyNumberFormat="1" applyFont="1" applyFill="1" applyBorder="1" applyAlignment="1" applyProtection="1">
      <alignment horizontal="right" vertical="center"/>
      <protection locked="0"/>
    </xf>
    <xf numFmtId="171" fontId="23" fillId="5" borderId="3" xfId="2" applyNumberFormat="1" applyFont="1" applyFill="1" applyBorder="1" applyAlignment="1" applyProtection="1">
      <alignment horizontal="right" vertical="center"/>
      <protection locked="0"/>
    </xf>
    <xf numFmtId="43" fontId="0" fillId="2" borderId="0" xfId="1" applyFont="1" applyFill="1" applyProtection="1">
      <protection locked="0"/>
    </xf>
    <xf numFmtId="0" fontId="2" fillId="2" borderId="0" xfId="0" applyFont="1" applyFill="1" applyAlignment="1" applyProtection="1">
      <alignment horizontal="center"/>
      <protection locked="0"/>
    </xf>
    <xf numFmtId="171" fontId="8" fillId="5" borderId="3" xfId="2" applyNumberFormat="1" applyFont="1" applyFill="1" applyBorder="1" applyAlignment="1" applyProtection="1">
      <alignment horizontal="right" vertical="center"/>
      <protection locked="0"/>
    </xf>
    <xf numFmtId="5" fontId="8" fillId="2" borderId="0" xfId="0" applyNumberFormat="1" applyFont="1" applyFill="1" applyProtection="1">
      <protection locked="0"/>
    </xf>
    <xf numFmtId="0" fontId="8" fillId="2" borderId="0" xfId="0" applyFont="1" applyFill="1" applyAlignment="1" applyProtection="1">
      <alignment horizontal="right"/>
      <protection locked="0"/>
    </xf>
    <xf numFmtId="43" fontId="8" fillId="5" borderId="3" xfId="1" applyFont="1" applyFill="1" applyBorder="1" applyAlignment="1" applyProtection="1">
      <alignment horizontal="right" vertical="center"/>
      <protection locked="0"/>
    </xf>
    <xf numFmtId="170" fontId="8" fillId="2" borderId="0" xfId="1" applyNumberFormat="1" applyFont="1" applyFill="1" applyBorder="1" applyAlignment="1" applyProtection="1">
      <alignment horizontal="right"/>
      <protection locked="0"/>
    </xf>
    <xf numFmtId="41" fontId="8" fillId="5" borderId="3" xfId="2" applyNumberFormat="1" applyFont="1" applyFill="1" applyBorder="1" applyAlignment="1" applyProtection="1">
      <alignment horizontal="right" vertical="center"/>
      <protection locked="0"/>
    </xf>
    <xf numFmtId="0" fontId="25" fillId="2" borderId="0" xfId="0" applyFont="1" applyFill="1" applyProtection="1">
      <protection locked="0"/>
    </xf>
    <xf numFmtId="5" fontId="25" fillId="2" borderId="0" xfId="0" applyNumberFormat="1" applyFont="1" applyFill="1" applyAlignment="1" applyProtection="1">
      <alignment horizontal="right"/>
      <protection locked="0"/>
    </xf>
    <xf numFmtId="5" fontId="8" fillId="2" borderId="0" xfId="0" applyNumberFormat="1" applyFont="1" applyFill="1" applyAlignment="1" applyProtection="1">
      <alignment horizontal="right"/>
      <protection locked="0"/>
    </xf>
    <xf numFmtId="5" fontId="8" fillId="2" borderId="0" xfId="2" applyNumberFormat="1" applyFont="1" applyFill="1" applyBorder="1" applyAlignment="1" applyProtection="1">
      <alignment horizontal="right"/>
      <protection locked="0"/>
    </xf>
    <xf numFmtId="43" fontId="8" fillId="2" borderId="0" xfId="1" applyFont="1" applyFill="1" applyProtection="1">
      <protection locked="0"/>
    </xf>
    <xf numFmtId="10" fontId="8" fillId="2" borderId="0" xfId="3" applyNumberFormat="1" applyFont="1" applyFill="1" applyProtection="1">
      <protection locked="0"/>
    </xf>
    <xf numFmtId="10" fontId="8" fillId="2" borderId="0" xfId="0" applyNumberFormat="1" applyFont="1" applyFill="1" applyProtection="1">
      <protection locked="0"/>
    </xf>
    <xf numFmtId="0" fontId="28" fillId="2" borderId="0" xfId="0" applyFont="1" applyFill="1" applyAlignment="1" applyProtection="1">
      <alignment horizontal="left"/>
      <protection locked="0"/>
    </xf>
    <xf numFmtId="44" fontId="23" fillId="5" borderId="3" xfId="2" applyFont="1" applyFill="1" applyBorder="1" applyAlignment="1" applyProtection="1">
      <alignment horizontal="right" vertical="center"/>
      <protection locked="0"/>
    </xf>
    <xf numFmtId="0" fontId="44" fillId="2" borderId="0" xfId="0" applyFont="1" applyFill="1" applyProtection="1">
      <protection locked="0"/>
    </xf>
    <xf numFmtId="0" fontId="45" fillId="2" borderId="0" xfId="0" applyFont="1" applyFill="1" applyProtection="1">
      <protection locked="0"/>
    </xf>
    <xf numFmtId="0" fontId="46" fillId="2" borderId="0" xfId="0" applyFont="1" applyFill="1" applyAlignment="1" applyProtection="1">
      <alignment vertical="center"/>
      <protection locked="0"/>
    </xf>
    <xf numFmtId="0" fontId="46" fillId="2" borderId="0" xfId="0" applyFont="1" applyFill="1" applyAlignment="1" applyProtection="1">
      <alignment vertical="center" wrapText="1"/>
      <protection locked="0"/>
    </xf>
    <xf numFmtId="0" fontId="27" fillId="2" borderId="0" xfId="0" applyFont="1" applyFill="1" applyAlignment="1" applyProtection="1">
      <alignment horizontal="right" vertical="center" wrapText="1"/>
      <protection locked="0"/>
    </xf>
    <xf numFmtId="0" fontId="32" fillId="2" borderId="0" xfId="0" applyFont="1" applyFill="1" applyAlignment="1" applyProtection="1">
      <alignment horizontal="center" vertical="center"/>
      <protection locked="0"/>
    </xf>
    <xf numFmtId="0" fontId="32" fillId="2" borderId="0" xfId="0" applyFont="1" applyFill="1" applyAlignment="1" applyProtection="1">
      <alignment vertical="center" wrapText="1"/>
      <protection locked="0"/>
    </xf>
    <xf numFmtId="0" fontId="6" fillId="5" borderId="0" xfId="0" applyFont="1" applyFill="1" applyProtection="1">
      <protection locked="0"/>
    </xf>
    <xf numFmtId="10" fontId="8" fillId="5" borderId="3" xfId="3" applyNumberFormat="1" applyFont="1" applyFill="1" applyBorder="1" applyAlignment="1" applyProtection="1">
      <alignment horizontal="right" vertical="center"/>
      <protection locked="0"/>
    </xf>
    <xf numFmtId="166" fontId="50" fillId="5" borderId="3" xfId="3" applyNumberFormat="1" applyFont="1" applyFill="1" applyBorder="1" applyAlignment="1" applyProtection="1">
      <alignment horizontal="right" vertical="center"/>
      <protection locked="0"/>
    </xf>
    <xf numFmtId="43" fontId="50" fillId="5" borderId="3" xfId="1" applyFont="1" applyFill="1" applyBorder="1" applyAlignment="1" applyProtection="1">
      <alignment horizontal="right" vertical="center"/>
      <protection locked="0"/>
    </xf>
    <xf numFmtId="10" fontId="50" fillId="5" borderId="3" xfId="3" applyNumberFormat="1" applyFont="1" applyFill="1" applyBorder="1" applyAlignment="1" applyProtection="1">
      <alignment horizontal="right" vertical="center"/>
      <protection locked="0"/>
    </xf>
    <xf numFmtId="173" fontId="50" fillId="5" borderId="3" xfId="0" applyNumberFormat="1" applyFont="1" applyFill="1" applyBorder="1" applyAlignment="1" applyProtection="1">
      <alignment horizontal="center"/>
      <protection locked="0"/>
    </xf>
    <xf numFmtId="173" fontId="8" fillId="5" borderId="3" xfId="0" applyNumberFormat="1" applyFont="1" applyFill="1" applyBorder="1" applyAlignment="1" applyProtection="1">
      <alignment horizontal="center"/>
      <protection locked="0"/>
    </xf>
    <xf numFmtId="166" fontId="8" fillId="5" borderId="3" xfId="3" applyNumberFormat="1" applyFont="1" applyFill="1" applyBorder="1" applyAlignment="1" applyProtection="1">
      <alignment horizontal="right" vertical="center"/>
      <protection locked="0"/>
    </xf>
    <xf numFmtId="0" fontId="31" fillId="5" borderId="0" xfId="0" applyFont="1" applyFill="1" applyAlignment="1" applyProtection="1">
      <alignment horizontal="center"/>
      <protection locked="0"/>
    </xf>
    <xf numFmtId="173" fontId="8" fillId="2" borderId="3" xfId="0" applyNumberFormat="1" applyFont="1" applyFill="1" applyBorder="1" applyAlignment="1" applyProtection="1">
      <alignment horizontal="center"/>
      <protection locked="0"/>
    </xf>
    <xf numFmtId="178" fontId="8" fillId="5" borderId="3"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protection locked="0"/>
    </xf>
    <xf numFmtId="0" fontId="8" fillId="2" borderId="0" xfId="0" applyFont="1" applyFill="1" applyAlignment="1" applyProtection="1">
      <alignment horizontal="left"/>
      <protection locked="0"/>
    </xf>
    <xf numFmtId="173" fontId="8" fillId="2" borderId="0" xfId="0" applyNumberFormat="1" applyFont="1" applyFill="1" applyAlignment="1" applyProtection="1">
      <alignment horizontal="center"/>
      <protection locked="0"/>
    </xf>
    <xf numFmtId="164" fontId="8" fillId="5" borderId="0" xfId="2" applyNumberFormat="1" applyFont="1" applyFill="1" applyBorder="1" applyAlignment="1" applyProtection="1">
      <alignment horizontal="right" vertical="center"/>
      <protection locked="0"/>
    </xf>
    <xf numFmtId="0" fontId="27" fillId="2" borderId="0" xfId="0" applyFont="1" applyFill="1" applyAlignment="1" applyProtection="1">
      <alignment horizontal="center"/>
      <protection locked="0"/>
    </xf>
    <xf numFmtId="0" fontId="8" fillId="2" borderId="0" xfId="0" applyFont="1" applyFill="1" applyAlignment="1" applyProtection="1">
      <alignment horizontal="center"/>
      <protection locked="0"/>
    </xf>
    <xf numFmtId="0" fontId="8" fillId="2" borderId="39" xfId="0" applyFont="1" applyFill="1" applyBorder="1" applyAlignment="1" applyProtection="1">
      <alignment horizontal="right"/>
      <protection locked="0"/>
    </xf>
    <xf numFmtId="0" fontId="8" fillId="2" borderId="40" xfId="0" applyFont="1" applyFill="1" applyBorder="1" applyAlignment="1" applyProtection="1">
      <alignment horizontal="right"/>
      <protection locked="0"/>
    </xf>
    <xf numFmtId="0" fontId="8" fillId="2" borderId="41" xfId="0" applyFont="1" applyFill="1" applyBorder="1" applyAlignment="1" applyProtection="1">
      <alignment horizontal="right"/>
      <protection locked="0"/>
    </xf>
    <xf numFmtId="173" fontId="8" fillId="2" borderId="42" xfId="0" applyNumberFormat="1" applyFont="1" applyFill="1" applyBorder="1" applyAlignment="1" applyProtection="1">
      <alignment horizontal="right"/>
      <protection locked="0"/>
    </xf>
    <xf numFmtId="173" fontId="8" fillId="2" borderId="0" xfId="0" applyNumberFormat="1" applyFont="1" applyFill="1" applyAlignment="1" applyProtection="1">
      <alignment horizontal="right"/>
      <protection locked="0"/>
    </xf>
    <xf numFmtId="173" fontId="8" fillId="2" borderId="43" xfId="0" applyNumberFormat="1" applyFont="1" applyFill="1" applyBorder="1" applyAlignment="1" applyProtection="1">
      <alignment horizontal="right"/>
      <protection locked="0"/>
    </xf>
    <xf numFmtId="0" fontId="36" fillId="2" borderId="44" xfId="0" applyFont="1" applyFill="1" applyBorder="1" applyProtection="1">
      <protection locked="0"/>
    </xf>
    <xf numFmtId="0" fontId="36" fillId="2" borderId="45" xfId="0" applyFont="1" applyFill="1" applyBorder="1" applyProtection="1">
      <protection locked="0"/>
    </xf>
    <xf numFmtId="0" fontId="36" fillId="2" borderId="38" xfId="0" applyFont="1" applyFill="1" applyBorder="1" applyProtection="1">
      <protection locked="0"/>
    </xf>
    <xf numFmtId="0" fontId="6" fillId="2" borderId="0" xfId="0" applyFont="1" applyFill="1" applyAlignment="1" applyProtection="1">
      <alignment horizontal="center"/>
      <protection locked="0"/>
    </xf>
    <xf numFmtId="0" fontId="29" fillId="2" borderId="0" xfId="0" applyFont="1" applyFill="1" applyProtection="1">
      <protection locked="0"/>
    </xf>
    <xf numFmtId="0" fontId="37" fillId="2" borderId="0" xfId="0" applyFont="1" applyFill="1" applyProtection="1">
      <protection locked="0"/>
    </xf>
    <xf numFmtId="0" fontId="8" fillId="2" borderId="54" xfId="0" applyFont="1" applyFill="1" applyBorder="1" applyProtection="1">
      <protection locked="0"/>
    </xf>
    <xf numFmtId="0" fontId="6" fillId="2" borderId="55" xfId="0" applyFont="1" applyFill="1" applyBorder="1" applyProtection="1">
      <protection locked="0"/>
    </xf>
    <xf numFmtId="10" fontId="8" fillId="5" borderId="62" xfId="3" applyNumberFormat="1" applyFont="1" applyFill="1" applyBorder="1" applyAlignment="1" applyProtection="1">
      <alignment horizontal="right" vertical="center"/>
      <protection locked="0"/>
    </xf>
    <xf numFmtId="0" fontId="8" fillId="2" borderId="56" xfId="0" applyFont="1" applyFill="1" applyBorder="1" applyProtection="1">
      <protection locked="0"/>
    </xf>
    <xf numFmtId="43" fontId="8" fillId="5" borderId="57" xfId="2" applyNumberFormat="1" applyFont="1" applyFill="1" applyBorder="1" applyAlignment="1" applyProtection="1">
      <alignment horizontal="right" vertical="center"/>
      <protection locked="0"/>
    </xf>
    <xf numFmtId="0" fontId="8" fillId="2" borderId="58" xfId="0" applyFont="1" applyFill="1" applyBorder="1" applyProtection="1">
      <protection locked="0"/>
    </xf>
    <xf numFmtId="0" fontId="6" fillId="2" borderId="59" xfId="0" applyFont="1" applyFill="1" applyBorder="1" applyProtection="1">
      <protection locked="0"/>
    </xf>
    <xf numFmtId="164" fontId="8" fillId="5" borderId="61" xfId="2" applyNumberFormat="1" applyFont="1" applyFill="1" applyBorder="1" applyAlignment="1" applyProtection="1">
      <alignment horizontal="right" vertical="center"/>
      <protection locked="0"/>
    </xf>
    <xf numFmtId="166" fontId="36" fillId="2" borderId="3" xfId="0" applyNumberFormat="1" applyFont="1" applyFill="1" applyBorder="1" applyProtection="1">
      <protection locked="0"/>
    </xf>
    <xf numFmtId="164" fontId="8" fillId="2" borderId="0" xfId="0" quotePrefix="1" applyNumberFormat="1" applyFont="1" applyFill="1" applyProtection="1">
      <protection locked="0"/>
    </xf>
    <xf numFmtId="164" fontId="8" fillId="2" borderId="0" xfId="0" applyNumberFormat="1" applyFont="1" applyFill="1" applyProtection="1">
      <protection locked="0"/>
    </xf>
    <xf numFmtId="10" fontId="36" fillId="2" borderId="3" xfId="3" applyNumberFormat="1" applyFont="1" applyFill="1" applyBorder="1" applyProtection="1">
      <protection locked="0"/>
    </xf>
    <xf numFmtId="0" fontId="40" fillId="2" borderId="0" xfId="0" applyFont="1" applyFill="1" applyProtection="1">
      <protection locked="0"/>
    </xf>
    <xf numFmtId="164" fontId="40" fillId="5" borderId="3" xfId="2" applyNumberFormat="1" applyFont="1" applyFill="1" applyBorder="1" applyAlignment="1" applyProtection="1">
      <alignment horizontal="right" vertical="center"/>
      <protection locked="0"/>
    </xf>
    <xf numFmtId="166" fontId="52" fillId="5" borderId="3" xfId="0" applyNumberFormat="1" applyFont="1" applyFill="1" applyBorder="1" applyProtection="1">
      <protection locked="0"/>
    </xf>
    <xf numFmtId="0" fontId="8" fillId="5" borderId="0" xfId="0" applyFont="1" applyFill="1" applyProtection="1">
      <protection locked="0"/>
    </xf>
    <xf numFmtId="0" fontId="8" fillId="5" borderId="0" xfId="0" applyFont="1" applyFill="1" applyAlignment="1" applyProtection="1">
      <alignment horizontal="left" indent="1"/>
      <protection locked="0"/>
    </xf>
    <xf numFmtId="173" fontId="8" fillId="5" borderId="0" xfId="0" applyNumberFormat="1" applyFont="1" applyFill="1" applyAlignment="1" applyProtection="1">
      <alignment horizontal="center"/>
      <protection locked="0"/>
    </xf>
    <xf numFmtId="164" fontId="47" fillId="5" borderId="3" xfId="2" applyNumberFormat="1" applyFont="1" applyFill="1" applyBorder="1" applyAlignment="1" applyProtection="1">
      <alignment horizontal="right" vertical="center"/>
      <protection locked="0"/>
    </xf>
    <xf numFmtId="0" fontId="31" fillId="2" borderId="0" xfId="0" applyFont="1" applyFill="1" applyProtection="1">
      <protection locked="0"/>
    </xf>
    <xf numFmtId="0" fontId="23" fillId="2" borderId="46" xfId="0" applyFont="1" applyFill="1" applyBorder="1" applyProtection="1">
      <protection locked="0"/>
    </xf>
    <xf numFmtId="0" fontId="23" fillId="2" borderId="47" xfId="0" applyFont="1" applyFill="1" applyBorder="1" applyProtection="1">
      <protection locked="0"/>
    </xf>
    <xf numFmtId="0" fontId="39" fillId="2" borderId="47" xfId="0" applyFont="1" applyFill="1" applyBorder="1" applyAlignment="1" applyProtection="1">
      <alignment horizontal="center"/>
      <protection locked="0"/>
    </xf>
    <xf numFmtId="0" fontId="39" fillId="2" borderId="47" xfId="0" applyFont="1" applyFill="1" applyBorder="1" applyProtection="1">
      <protection locked="0"/>
    </xf>
    <xf numFmtId="0" fontId="8" fillId="2" borderId="50" xfId="0" applyFont="1" applyFill="1" applyBorder="1" applyAlignment="1" applyProtection="1">
      <alignment vertical="center"/>
      <protection locked="0"/>
    </xf>
    <xf numFmtId="0" fontId="8" fillId="2" borderId="71" xfId="0" applyFont="1" applyFill="1" applyBorder="1" applyAlignment="1" applyProtection="1">
      <alignment horizontal="center" vertical="center"/>
      <protection locked="0"/>
    </xf>
    <xf numFmtId="43" fontId="8" fillId="5" borderId="3" xfId="2" applyNumberFormat="1" applyFont="1" applyFill="1" applyBorder="1" applyAlignment="1" applyProtection="1">
      <alignment horizontal="right" vertical="center"/>
      <protection locked="0"/>
    </xf>
    <xf numFmtId="166" fontId="50" fillId="5" borderId="51" xfId="3" applyNumberFormat="1" applyFont="1" applyFill="1" applyBorder="1" applyAlignment="1" applyProtection="1">
      <alignment horizontal="right" vertical="center"/>
      <protection locked="0"/>
    </xf>
    <xf numFmtId="166" fontId="8" fillId="5" borderId="51" xfId="3" applyNumberFormat="1" applyFont="1" applyFill="1" applyBorder="1" applyAlignment="1" applyProtection="1">
      <alignment horizontal="right" vertical="center"/>
      <protection locked="0"/>
    </xf>
    <xf numFmtId="0" fontId="8" fillId="2" borderId="52" xfId="0" applyFont="1" applyFill="1" applyBorder="1" applyProtection="1">
      <protection locked="0"/>
    </xf>
    <xf numFmtId="166" fontId="8" fillId="5" borderId="37" xfId="3" applyNumberFormat="1" applyFont="1" applyFill="1" applyBorder="1" applyAlignment="1" applyProtection="1">
      <alignment horizontal="right" vertical="center"/>
      <protection locked="0"/>
    </xf>
    <xf numFmtId="166" fontId="50" fillId="5" borderId="37" xfId="3" applyNumberFormat="1" applyFont="1" applyFill="1" applyBorder="1" applyAlignment="1" applyProtection="1">
      <alignment horizontal="right" vertical="center"/>
      <protection locked="0"/>
    </xf>
    <xf numFmtId="166" fontId="8" fillId="5" borderId="53" xfId="3" applyNumberFormat="1" applyFont="1" applyFill="1" applyBorder="1" applyAlignment="1" applyProtection="1">
      <alignment horizontal="right" vertical="center"/>
      <protection locked="0"/>
    </xf>
    <xf numFmtId="166" fontId="8" fillId="5" borderId="0" xfId="3" applyNumberFormat="1" applyFont="1" applyFill="1" applyBorder="1" applyAlignment="1" applyProtection="1">
      <alignment horizontal="right" vertical="center"/>
      <protection locked="0"/>
    </xf>
    <xf numFmtId="0" fontId="8" fillId="2" borderId="46" xfId="0" applyFont="1" applyFill="1" applyBorder="1" applyProtection="1">
      <protection locked="0"/>
    </xf>
    <xf numFmtId="0" fontId="8" fillId="2" borderId="47" xfId="0" applyFont="1" applyFill="1" applyBorder="1" applyProtection="1">
      <protection locked="0"/>
    </xf>
    <xf numFmtId="0" fontId="8" fillId="2" borderId="50" xfId="0" applyFont="1" applyFill="1" applyBorder="1" applyProtection="1">
      <protection locked="0"/>
    </xf>
    <xf numFmtId="0" fontId="8" fillId="2" borderId="55" xfId="0" applyFont="1" applyFill="1" applyBorder="1" applyProtection="1">
      <protection locked="0"/>
    </xf>
    <xf numFmtId="166" fontId="8" fillId="5" borderId="62" xfId="3" applyNumberFormat="1" applyFont="1" applyFill="1" applyBorder="1" applyAlignment="1" applyProtection="1">
      <alignment horizontal="right" vertical="center"/>
      <protection locked="0"/>
    </xf>
    <xf numFmtId="0" fontId="8" fillId="2" borderId="59" xfId="0" applyFont="1" applyFill="1" applyBorder="1" applyProtection="1">
      <protection locked="0"/>
    </xf>
    <xf numFmtId="0" fontId="6" fillId="2" borderId="47" xfId="0" applyFont="1" applyFill="1" applyBorder="1" applyProtection="1">
      <protection locked="0"/>
    </xf>
    <xf numFmtId="0" fontId="39" fillId="2" borderId="70" xfId="0" applyFont="1" applyFill="1" applyBorder="1" applyAlignment="1" applyProtection="1">
      <alignment horizontal="center"/>
      <protection locked="0"/>
    </xf>
    <xf numFmtId="0" fontId="6" fillId="2" borderId="1" xfId="0" applyFont="1" applyFill="1" applyBorder="1" applyProtection="1">
      <protection locked="0"/>
    </xf>
    <xf numFmtId="0" fontId="9" fillId="2" borderId="0" xfId="0" applyFont="1" applyFill="1" applyAlignment="1" applyProtection="1">
      <alignment horizontal="right"/>
      <protection hidden="1"/>
    </xf>
    <xf numFmtId="0" fontId="10" fillId="2" borderId="0" xfId="0" applyFont="1" applyFill="1" applyAlignment="1" applyProtection="1">
      <alignment vertical="top"/>
      <protection hidden="1"/>
    </xf>
    <xf numFmtId="0" fontId="13" fillId="2" borderId="0" xfId="0" applyFont="1" applyFill="1" applyAlignment="1" applyProtection="1">
      <alignment horizontal="left" vertical="top" wrapText="1"/>
      <protection hidden="1"/>
    </xf>
    <xf numFmtId="0" fontId="14" fillId="2" borderId="0" xfId="0" applyFont="1" applyFill="1" applyAlignment="1" applyProtection="1">
      <alignment horizontal="left" vertical="top" wrapText="1"/>
      <protection hidden="1"/>
    </xf>
    <xf numFmtId="0" fontId="15" fillId="3" borderId="0" xfId="0" applyFont="1" applyFill="1" applyAlignment="1" applyProtection="1">
      <alignment vertical="center" wrapText="1"/>
      <protection hidden="1"/>
    </xf>
    <xf numFmtId="41" fontId="16" fillId="2" borderId="0" xfId="1" applyNumberFormat="1" applyFont="1" applyFill="1" applyBorder="1" applyAlignment="1" applyProtection="1">
      <alignment horizontal="left" vertical="center"/>
      <protection hidden="1"/>
    </xf>
    <xf numFmtId="0" fontId="8" fillId="2" borderId="0" xfId="0" applyFont="1" applyFill="1" applyAlignment="1" applyProtection="1">
      <alignment horizontal="left" vertical="center"/>
      <protection hidden="1"/>
    </xf>
    <xf numFmtId="0" fontId="26" fillId="2" borderId="0" xfId="0" applyFont="1" applyFill="1" applyAlignment="1" applyProtection="1">
      <alignment vertical="center"/>
      <protection hidden="1"/>
    </xf>
    <xf numFmtId="0" fontId="15" fillId="2" borderId="0" xfId="0" applyFont="1" applyFill="1" applyAlignment="1" applyProtection="1">
      <alignment vertical="center"/>
      <protection hidden="1"/>
    </xf>
    <xf numFmtId="0" fontId="15" fillId="2" borderId="0" xfId="0" applyFont="1" applyFill="1" applyAlignment="1" applyProtection="1">
      <alignment horizontal="center" vertical="center"/>
      <protection hidden="1"/>
    </xf>
    <xf numFmtId="0" fontId="8" fillId="2" borderId="0" xfId="0" applyFont="1" applyFill="1" applyAlignment="1" applyProtection="1">
      <alignment vertical="center" wrapText="1"/>
      <protection hidden="1"/>
    </xf>
    <xf numFmtId="0" fontId="15" fillId="2" borderId="0" xfId="0" applyFont="1" applyFill="1" applyAlignment="1" applyProtection="1">
      <alignment vertical="center" wrapText="1"/>
      <protection hidden="1"/>
    </xf>
    <xf numFmtId="0" fontId="3" fillId="2" borderId="0" xfId="0" applyFont="1" applyFill="1" applyProtection="1">
      <protection hidden="1"/>
    </xf>
    <xf numFmtId="5" fontId="3" fillId="2" borderId="0" xfId="0" applyNumberFormat="1" applyFont="1" applyFill="1" applyProtection="1">
      <protection hidden="1"/>
    </xf>
    <xf numFmtId="0" fontId="6" fillId="2" borderId="0" xfId="0" applyFont="1" applyFill="1" applyProtection="1">
      <protection hidden="1"/>
    </xf>
    <xf numFmtId="0" fontId="8" fillId="2" borderId="0" xfId="0" applyFont="1" applyFill="1" applyProtection="1">
      <protection hidden="1"/>
    </xf>
    <xf numFmtId="0" fontId="8" fillId="2" borderId="0" xfId="0" applyFont="1" applyFill="1" applyAlignment="1" applyProtection="1">
      <alignment horizontal="left" vertical="center" indent="4"/>
      <protection hidden="1"/>
    </xf>
    <xf numFmtId="165" fontId="8" fillId="2" borderId="0" xfId="0" applyNumberFormat="1" applyFont="1" applyFill="1" applyAlignment="1" applyProtection="1">
      <alignment horizontal="left" indent="1"/>
      <protection hidden="1"/>
    </xf>
    <xf numFmtId="0" fontId="20" fillId="2" borderId="0" xfId="0" applyFont="1" applyFill="1" applyAlignment="1" applyProtection="1">
      <alignment horizontal="center" vertical="center"/>
      <protection hidden="1"/>
    </xf>
    <xf numFmtId="0" fontId="21" fillId="2" borderId="0" xfId="0" applyFont="1" applyFill="1" applyAlignment="1" applyProtection="1">
      <alignment vertical="center" wrapText="1"/>
      <protection hidden="1"/>
    </xf>
    <xf numFmtId="0" fontId="3" fillId="3" borderId="0" xfId="0" applyFont="1" applyFill="1" applyAlignment="1" applyProtection="1">
      <alignment vertical="center"/>
      <protection hidden="1"/>
    </xf>
    <xf numFmtId="167" fontId="3" fillId="2" borderId="0" xfId="0" applyNumberFormat="1" applyFont="1" applyFill="1" applyProtection="1">
      <protection hidden="1"/>
    </xf>
    <xf numFmtId="0" fontId="0" fillId="2" borderId="0" xfId="0" applyFill="1" applyProtection="1">
      <protection hidden="1"/>
    </xf>
    <xf numFmtId="0" fontId="46" fillId="3" borderId="0" xfId="0" applyFont="1" applyFill="1" applyAlignment="1" applyProtection="1">
      <alignment vertical="center"/>
      <protection hidden="1"/>
    </xf>
    <xf numFmtId="0" fontId="46" fillId="3" borderId="0" xfId="0" applyFont="1" applyFill="1" applyAlignment="1" applyProtection="1">
      <alignment vertical="center" wrapText="1"/>
      <protection hidden="1"/>
    </xf>
    <xf numFmtId="164" fontId="8" fillId="5" borderId="0" xfId="2" applyNumberFormat="1" applyFont="1" applyFill="1" applyBorder="1" applyAlignment="1" applyProtection="1">
      <alignment horizontal="right" vertical="center"/>
      <protection hidden="1"/>
    </xf>
    <xf numFmtId="0" fontId="8" fillId="2" borderId="0" xfId="0" applyFont="1" applyFill="1" applyAlignment="1" applyProtection="1">
      <alignment horizontal="left" vertical="center" indent="3"/>
      <protection hidden="1"/>
    </xf>
    <xf numFmtId="0" fontId="7" fillId="2" borderId="0" xfId="0" applyFont="1" applyFill="1" applyAlignment="1" applyProtection="1">
      <alignment horizontal="right"/>
      <protection hidden="1"/>
    </xf>
    <xf numFmtId="0" fontId="8" fillId="2" borderId="0" xfId="0" applyFont="1" applyFill="1" applyAlignment="1" applyProtection="1">
      <alignment vertical="center"/>
      <protection hidden="1"/>
    </xf>
    <xf numFmtId="0" fontId="53" fillId="2" borderId="0" xfId="0" applyFont="1" applyFill="1" applyAlignment="1" applyProtection="1">
      <alignment vertical="center"/>
      <protection hidden="1"/>
    </xf>
    <xf numFmtId="0" fontId="48" fillId="2" borderId="0" xfId="0" applyFont="1" applyFill="1" applyAlignment="1" applyProtection="1">
      <alignment vertical="top"/>
      <protection hidden="1"/>
    </xf>
    <xf numFmtId="0" fontId="49" fillId="2" borderId="0" xfId="0" applyFont="1" applyFill="1" applyAlignment="1" applyProtection="1">
      <alignment vertical="center"/>
      <protection hidden="1"/>
    </xf>
    <xf numFmtId="0" fontId="12" fillId="2" borderId="0" xfId="0" applyFont="1" applyFill="1" applyAlignment="1" applyProtection="1">
      <alignment vertical="center"/>
      <protection hidden="1"/>
    </xf>
    <xf numFmtId="0" fontId="11" fillId="2" borderId="0" xfId="0" applyFont="1" applyFill="1" applyAlignment="1" applyProtection="1">
      <alignment vertical="center"/>
      <protection hidden="1"/>
    </xf>
    <xf numFmtId="0" fontId="13" fillId="2" borderId="0" xfId="0" applyFont="1" applyFill="1" applyAlignment="1" applyProtection="1">
      <alignment vertical="top" wrapText="1"/>
      <protection hidden="1"/>
    </xf>
    <xf numFmtId="0" fontId="27" fillId="3" borderId="0" xfId="0" applyFont="1" applyFill="1" applyAlignment="1" applyProtection="1">
      <alignment vertical="center"/>
      <protection hidden="1"/>
    </xf>
    <xf numFmtId="0" fontId="30" fillId="3" borderId="0" xfId="0" applyFont="1" applyFill="1" applyAlignment="1" applyProtection="1">
      <alignment vertical="center"/>
      <protection hidden="1"/>
    </xf>
    <xf numFmtId="165" fontId="3" fillId="2" borderId="0" xfId="0" applyNumberFormat="1" applyFont="1" applyFill="1" applyProtection="1">
      <protection hidden="1"/>
    </xf>
    <xf numFmtId="0" fontId="8" fillId="3" borderId="0" xfId="0" applyFont="1" applyFill="1" applyAlignment="1" applyProtection="1">
      <alignment horizontal="right" vertical="center"/>
      <protection hidden="1"/>
    </xf>
    <xf numFmtId="0" fontId="34" fillId="3" borderId="0" xfId="0" applyFont="1" applyFill="1" applyAlignment="1" applyProtection="1">
      <alignment horizontal="right" vertical="center"/>
      <protection hidden="1"/>
    </xf>
    <xf numFmtId="0" fontId="24" fillId="3" borderId="0" xfId="0" applyFont="1" applyFill="1" applyAlignment="1" applyProtection="1">
      <alignment vertical="center"/>
      <protection hidden="1"/>
    </xf>
    <xf numFmtId="0" fontId="19" fillId="2" borderId="0" xfId="0" applyFont="1" applyFill="1" applyProtection="1">
      <protection hidden="1"/>
    </xf>
    <xf numFmtId="0" fontId="19" fillId="2" borderId="0" xfId="0" applyFont="1" applyFill="1" applyAlignment="1" applyProtection="1">
      <alignment horizontal="left"/>
      <protection hidden="1"/>
    </xf>
    <xf numFmtId="0" fontId="21" fillId="3" borderId="0" xfId="0" applyFont="1" applyFill="1" applyAlignment="1" applyProtection="1">
      <alignment vertical="center"/>
      <protection hidden="1"/>
    </xf>
    <xf numFmtId="0" fontId="21" fillId="2" borderId="0" xfId="0" applyFont="1" applyFill="1" applyAlignment="1" applyProtection="1">
      <alignment vertical="center"/>
      <protection hidden="1"/>
    </xf>
    <xf numFmtId="167" fontId="3" fillId="2" borderId="0" xfId="2" applyNumberFormat="1" applyFont="1" applyFill="1" applyBorder="1" applyAlignment="1" applyProtection="1">
      <alignment horizontal="right"/>
      <protection hidden="1"/>
    </xf>
    <xf numFmtId="0" fontId="4" fillId="2" borderId="0" xfId="0" applyFont="1" applyFill="1" applyProtection="1">
      <protection hidden="1"/>
    </xf>
    <xf numFmtId="0" fontId="17" fillId="2" borderId="0" xfId="0" applyFont="1" applyFill="1" applyAlignment="1" applyProtection="1">
      <alignment horizontal="center"/>
      <protection hidden="1"/>
    </xf>
    <xf numFmtId="0" fontId="4" fillId="2" borderId="0" xfId="0" applyFont="1" applyFill="1" applyAlignment="1" applyProtection="1">
      <alignment horizontal="center"/>
      <protection hidden="1"/>
    </xf>
    <xf numFmtId="5" fontId="3" fillId="2" borderId="0" xfId="2" applyNumberFormat="1" applyFont="1" applyFill="1" applyBorder="1" applyAlignment="1" applyProtection="1">
      <alignment horizontal="right"/>
      <protection hidden="1"/>
    </xf>
    <xf numFmtId="167" fontId="3" fillId="2" borderId="0" xfId="0" applyNumberFormat="1" applyFont="1" applyFill="1" applyAlignment="1" applyProtection="1">
      <alignment horizontal="right"/>
      <protection hidden="1"/>
    </xf>
    <xf numFmtId="5" fontId="4" fillId="2" borderId="0" xfId="2" applyNumberFormat="1" applyFont="1" applyFill="1" applyBorder="1" applyAlignment="1" applyProtection="1">
      <alignment horizontal="right"/>
      <protection hidden="1"/>
    </xf>
    <xf numFmtId="168" fontId="3" fillId="2" borderId="0" xfId="1" applyNumberFormat="1" applyFont="1" applyFill="1" applyBorder="1" applyAlignment="1" applyProtection="1">
      <alignment horizontal="right"/>
      <protection hidden="1"/>
    </xf>
    <xf numFmtId="5" fontId="3" fillId="2" borderId="0" xfId="0" applyNumberFormat="1" applyFont="1" applyFill="1" applyAlignment="1" applyProtection="1">
      <alignment horizontal="right"/>
      <protection hidden="1"/>
    </xf>
    <xf numFmtId="0" fontId="3" fillId="2" borderId="0" xfId="0" applyFont="1" applyFill="1" applyAlignment="1" applyProtection="1">
      <alignment horizontal="right"/>
      <protection hidden="1"/>
    </xf>
    <xf numFmtId="5" fontId="4" fillId="2" borderId="0" xfId="0" applyNumberFormat="1" applyFont="1" applyFill="1" applyAlignment="1" applyProtection="1">
      <alignment horizontal="right"/>
      <protection hidden="1"/>
    </xf>
    <xf numFmtId="0" fontId="4" fillId="2" borderId="0" xfId="0" applyFont="1" applyFill="1" applyAlignment="1" applyProtection="1">
      <alignment horizontal="left"/>
      <protection hidden="1"/>
    </xf>
    <xf numFmtId="5" fontId="18" fillId="2" borderId="0" xfId="0" applyNumberFormat="1" applyFont="1" applyFill="1" applyAlignment="1" applyProtection="1">
      <alignment horizontal="right"/>
      <protection hidden="1"/>
    </xf>
    <xf numFmtId="169" fontId="3" fillId="2" borderId="0" xfId="1" applyNumberFormat="1" applyFont="1" applyFill="1" applyBorder="1" applyAlignment="1" applyProtection="1">
      <alignment horizontal="right"/>
      <protection hidden="1"/>
    </xf>
    <xf numFmtId="10" fontId="4" fillId="2" borderId="0" xfId="3" applyNumberFormat="1" applyFont="1" applyFill="1" applyBorder="1" applyAlignment="1" applyProtection="1">
      <alignment horizontal="right" wrapText="1"/>
      <protection hidden="1"/>
    </xf>
    <xf numFmtId="10" fontId="4" fillId="2" borderId="0" xfId="3" applyNumberFormat="1" applyFont="1" applyFill="1" applyBorder="1" applyAlignment="1" applyProtection="1">
      <alignment horizontal="right"/>
      <protection hidden="1"/>
    </xf>
    <xf numFmtId="6" fontId="4" fillId="2" borderId="0" xfId="0" applyNumberFormat="1" applyFont="1" applyFill="1" applyAlignment="1" applyProtection="1">
      <alignment horizontal="right"/>
      <protection hidden="1"/>
    </xf>
    <xf numFmtId="165" fontId="23" fillId="2" borderId="0" xfId="0" applyNumberFormat="1" applyFont="1" applyFill="1" applyAlignment="1" applyProtection="1">
      <alignment horizontal="left"/>
      <protection hidden="1"/>
    </xf>
    <xf numFmtId="165" fontId="23" fillId="5" borderId="0" xfId="0" applyNumberFormat="1" applyFont="1" applyFill="1" applyAlignment="1" applyProtection="1">
      <alignment horizontal="left"/>
      <protection hidden="1"/>
    </xf>
    <xf numFmtId="165" fontId="23" fillId="2" borderId="0" xfId="0" applyNumberFormat="1" applyFont="1" applyFill="1" applyAlignment="1" applyProtection="1">
      <alignment horizontal="left" indent="1"/>
      <protection hidden="1"/>
    </xf>
    <xf numFmtId="165" fontId="8" fillId="2" borderId="0" xfId="0" applyNumberFormat="1" applyFont="1" applyFill="1" applyAlignment="1" applyProtection="1">
      <alignment horizontal="left"/>
      <protection hidden="1"/>
    </xf>
    <xf numFmtId="164" fontId="6" fillId="2" borderId="3" xfId="0" applyNumberFormat="1" applyFont="1" applyFill="1" applyBorder="1" applyProtection="1">
      <protection locked="0"/>
    </xf>
    <xf numFmtId="164" fontId="6" fillId="5" borderId="3" xfId="0" applyNumberFormat="1" applyFont="1" applyFill="1" applyBorder="1" applyProtection="1">
      <protection locked="0"/>
    </xf>
    <xf numFmtId="166" fontId="36" fillId="6" borderId="3" xfId="3" applyNumberFormat="1" applyFont="1" applyFill="1" applyBorder="1" applyAlignment="1" applyProtection="1">
      <alignment horizontal="center" vertical="center"/>
      <protection locked="0"/>
    </xf>
    <xf numFmtId="2" fontId="36" fillId="6" borderId="3" xfId="2" applyNumberFormat="1" applyFont="1" applyFill="1" applyBorder="1" applyAlignment="1" applyProtection="1">
      <alignment horizontal="center" vertical="center"/>
      <protection locked="0"/>
    </xf>
    <xf numFmtId="164" fontId="36" fillId="6" borderId="3" xfId="2" applyNumberFormat="1" applyFont="1" applyFill="1" applyBorder="1" applyAlignment="1" applyProtection="1">
      <alignment horizontal="right" vertical="center"/>
      <protection locked="0"/>
    </xf>
    <xf numFmtId="166" fontId="8" fillId="6" borderId="3" xfId="3" applyNumberFormat="1" applyFont="1" applyFill="1" applyBorder="1" applyAlignment="1" applyProtection="1">
      <alignment horizontal="center" vertical="center"/>
      <protection locked="0"/>
    </xf>
    <xf numFmtId="2" fontId="8" fillId="6" borderId="3" xfId="2" applyNumberFormat="1" applyFont="1" applyFill="1" applyBorder="1" applyAlignment="1" applyProtection="1">
      <alignment horizontal="center" vertical="center"/>
      <protection locked="0"/>
    </xf>
    <xf numFmtId="164" fontId="8" fillId="6" borderId="3" xfId="2" applyNumberFormat="1" applyFont="1" applyFill="1" applyBorder="1" applyAlignment="1" applyProtection="1">
      <alignment horizontal="center" vertical="center"/>
      <protection locked="0"/>
    </xf>
    <xf numFmtId="166" fontId="8" fillId="6" borderId="72" xfId="3" applyNumberFormat="1" applyFont="1" applyFill="1" applyBorder="1" applyAlignment="1" applyProtection="1">
      <alignment horizontal="center" vertical="center"/>
      <protection locked="0"/>
    </xf>
    <xf numFmtId="166" fontId="8" fillId="6" borderId="73" xfId="3" applyNumberFormat="1" applyFont="1" applyFill="1" applyBorder="1" applyAlignment="1" applyProtection="1">
      <alignment horizontal="center" vertical="center"/>
      <protection locked="0"/>
    </xf>
    <xf numFmtId="2" fontId="8" fillId="6" borderId="74" xfId="2" applyNumberFormat="1" applyFont="1" applyFill="1" applyBorder="1" applyAlignment="1" applyProtection="1">
      <alignment horizontal="center" vertical="center"/>
      <protection locked="0"/>
    </xf>
    <xf numFmtId="10" fontId="8" fillId="6" borderId="62" xfId="3" applyNumberFormat="1" applyFont="1" applyFill="1" applyBorder="1" applyAlignment="1" applyProtection="1">
      <alignment horizontal="right" vertical="center"/>
      <protection locked="0"/>
    </xf>
    <xf numFmtId="43" fontId="8" fillId="6" borderId="57" xfId="2" applyNumberFormat="1" applyFont="1" applyFill="1" applyBorder="1" applyAlignment="1" applyProtection="1">
      <alignment horizontal="right" vertical="center"/>
      <protection locked="0"/>
    </xf>
    <xf numFmtId="164" fontId="8" fillId="6" borderId="61" xfId="2" applyNumberFormat="1" applyFont="1" applyFill="1" applyBorder="1" applyAlignment="1" applyProtection="1">
      <alignment horizontal="right" vertical="center"/>
      <protection locked="0"/>
    </xf>
    <xf numFmtId="164" fontId="8" fillId="6" borderId="3" xfId="2" applyNumberFormat="1" applyFont="1" applyFill="1" applyBorder="1" applyAlignment="1" applyProtection="1">
      <alignment horizontal="right" vertical="center"/>
      <protection locked="0"/>
    </xf>
    <xf numFmtId="166" fontId="36" fillId="6" borderId="3" xfId="0" applyNumberFormat="1" applyFont="1" applyFill="1" applyBorder="1" applyProtection="1">
      <protection locked="0"/>
    </xf>
    <xf numFmtId="10" fontId="36" fillId="6" borderId="3" xfId="3" applyNumberFormat="1" applyFont="1" applyFill="1" applyBorder="1" applyProtection="1">
      <protection locked="0"/>
    </xf>
    <xf numFmtId="166" fontId="8" fillId="6" borderId="48" xfId="3" applyNumberFormat="1" applyFont="1" applyFill="1" applyBorder="1" applyAlignment="1" applyProtection="1">
      <alignment horizontal="right" vertical="center"/>
      <protection locked="0"/>
    </xf>
    <xf numFmtId="166" fontId="8" fillId="6" borderId="49" xfId="3" applyNumberFormat="1" applyFont="1" applyFill="1" applyBorder="1" applyAlignment="1" applyProtection="1">
      <alignment horizontal="right" vertical="center"/>
      <protection locked="0"/>
    </xf>
    <xf numFmtId="43" fontId="8" fillId="6" borderId="3" xfId="2" applyNumberFormat="1" applyFont="1" applyFill="1" applyBorder="1" applyAlignment="1" applyProtection="1">
      <alignment horizontal="right" vertical="center"/>
      <protection locked="0"/>
    </xf>
    <xf numFmtId="43" fontId="8" fillId="6" borderId="51" xfId="2" applyNumberFormat="1" applyFont="1" applyFill="1" applyBorder="1" applyAlignment="1" applyProtection="1">
      <alignment horizontal="right" vertical="center"/>
      <protection locked="0"/>
    </xf>
    <xf numFmtId="164" fontId="8" fillId="6" borderId="37" xfId="2" applyNumberFormat="1" applyFont="1" applyFill="1" applyBorder="1" applyAlignment="1" applyProtection="1">
      <alignment horizontal="right" vertical="center"/>
      <protection locked="0"/>
    </xf>
    <xf numFmtId="164" fontId="8" fillId="6" borderId="53" xfId="2" applyNumberFormat="1" applyFont="1" applyFill="1" applyBorder="1" applyAlignment="1" applyProtection="1">
      <alignment horizontal="right" vertical="center"/>
      <protection locked="0"/>
    </xf>
    <xf numFmtId="166" fontId="8" fillId="6" borderId="63" xfId="3" applyNumberFormat="1" applyFont="1" applyFill="1" applyBorder="1" applyAlignment="1" applyProtection="1">
      <alignment horizontal="right" vertical="center"/>
      <protection locked="0"/>
    </xf>
    <xf numFmtId="166" fontId="8" fillId="6" borderId="62" xfId="3" applyNumberFormat="1" applyFont="1" applyFill="1" applyBorder="1" applyAlignment="1" applyProtection="1">
      <alignment horizontal="right" vertical="center"/>
      <protection locked="0"/>
    </xf>
    <xf numFmtId="164" fontId="8" fillId="6" borderId="60" xfId="2" applyNumberFormat="1" applyFont="1" applyFill="1" applyBorder="1" applyAlignment="1" applyProtection="1">
      <alignment horizontal="right" vertical="center"/>
      <protection locked="0"/>
    </xf>
    <xf numFmtId="0" fontId="8" fillId="6" borderId="3" xfId="2" applyNumberFormat="1" applyFont="1" applyFill="1" applyBorder="1" applyAlignment="1" applyProtection="1">
      <alignment horizontal="right" vertical="center"/>
      <protection locked="0"/>
    </xf>
    <xf numFmtId="0" fontId="27" fillId="2" borderId="79" xfId="0" applyFont="1" applyFill="1" applyBorder="1" applyAlignment="1" applyProtection="1">
      <alignment horizontal="center" vertical="center"/>
      <protection locked="0"/>
    </xf>
    <xf numFmtId="0" fontId="3" fillId="8" borderId="78" xfId="0" applyFont="1" applyFill="1" applyBorder="1" applyProtection="1">
      <protection locked="0"/>
    </xf>
    <xf numFmtId="0" fontId="21" fillId="8" borderId="78" xfId="0" applyFont="1" applyFill="1" applyBorder="1" applyAlignment="1" applyProtection="1">
      <alignment vertical="center" wrapText="1"/>
      <protection locked="0"/>
    </xf>
    <xf numFmtId="165" fontId="23" fillId="8" borderId="0" xfId="0" applyNumberFormat="1" applyFont="1" applyFill="1" applyAlignment="1" applyProtection="1">
      <alignment horizontal="left" vertical="center"/>
      <protection locked="0"/>
    </xf>
    <xf numFmtId="171" fontId="8" fillId="6" borderId="3" xfId="2" applyNumberFormat="1" applyFont="1" applyFill="1" applyBorder="1" applyAlignment="1" applyProtection="1">
      <alignment horizontal="center" vertical="center"/>
      <protection locked="0"/>
    </xf>
    <xf numFmtId="2" fontId="8" fillId="6" borderId="3" xfId="3" applyNumberFormat="1" applyFont="1" applyFill="1" applyBorder="1" applyAlignment="1" applyProtection="1">
      <alignment horizontal="center" vertical="center"/>
      <protection locked="0"/>
    </xf>
    <xf numFmtId="2" fontId="8" fillId="6" borderId="3" xfId="2" applyNumberFormat="1" applyFont="1" applyFill="1" applyBorder="1" applyAlignment="1" applyProtection="1">
      <alignment horizontal="right" vertical="center"/>
      <protection locked="0"/>
    </xf>
    <xf numFmtId="2" fontId="8" fillId="6" borderId="51" xfId="2" applyNumberFormat="1" applyFont="1" applyFill="1" applyBorder="1" applyAlignment="1" applyProtection="1">
      <alignment horizontal="right" vertical="center"/>
      <protection locked="0"/>
    </xf>
    <xf numFmtId="2" fontId="8" fillId="6" borderId="57" xfId="2" applyNumberFormat="1" applyFont="1" applyFill="1" applyBorder="1" applyAlignment="1" applyProtection="1">
      <alignment horizontal="right" vertical="center"/>
      <protection locked="0"/>
    </xf>
    <xf numFmtId="0" fontId="8" fillId="0" borderId="0" xfId="0" applyFont="1" applyProtection="1">
      <protection locked="0"/>
    </xf>
    <xf numFmtId="0" fontId="23" fillId="0" borderId="0" xfId="0" applyFont="1" applyProtection="1">
      <protection locked="0"/>
    </xf>
    <xf numFmtId="0" fontId="8" fillId="2" borderId="0" xfId="0" applyFont="1" applyFill="1" applyAlignment="1" applyProtection="1">
      <alignment horizontal="right" vertical="center" wrapText="1"/>
      <protection hidden="1"/>
    </xf>
    <xf numFmtId="10" fontId="32" fillId="2" borderId="75" xfId="0" applyNumberFormat="1" applyFont="1" applyFill="1" applyBorder="1" applyAlignment="1" applyProtection="1">
      <alignment horizontal="center" vertical="center"/>
      <protection locked="0"/>
    </xf>
    <xf numFmtId="10" fontId="32" fillId="2" borderId="76" xfId="0" applyNumberFormat="1" applyFont="1" applyFill="1" applyBorder="1" applyAlignment="1" applyProtection="1">
      <alignment horizontal="center" vertical="center"/>
      <protection locked="0"/>
    </xf>
    <xf numFmtId="0" fontId="39" fillId="2" borderId="47" xfId="0" applyFont="1" applyFill="1" applyBorder="1" applyAlignment="1" applyProtection="1">
      <alignment horizontal="center"/>
      <protection locked="0"/>
    </xf>
    <xf numFmtId="0" fontId="20" fillId="7" borderId="0" xfId="0" applyFont="1" applyFill="1" applyAlignment="1" applyProtection="1">
      <alignment horizontal="center" vertical="center"/>
      <protection locked="0"/>
    </xf>
    <xf numFmtId="0" fontId="27" fillId="2" borderId="0" xfId="0" applyFont="1" applyFill="1" applyAlignment="1" applyProtection="1">
      <alignment horizontal="right" vertical="center" wrapText="1"/>
      <protection locked="0"/>
    </xf>
    <xf numFmtId="0" fontId="32" fillId="2" borderId="76" xfId="0" applyFont="1" applyFill="1" applyBorder="1" applyAlignment="1" applyProtection="1">
      <alignment horizontal="center" vertical="center"/>
      <protection locked="0"/>
    </xf>
    <xf numFmtId="0" fontId="13" fillId="2" borderId="0" xfId="0" applyFont="1" applyFill="1" applyAlignment="1" applyProtection="1">
      <alignment horizontal="left" vertical="top" wrapText="1"/>
      <protection hidden="1"/>
    </xf>
    <xf numFmtId="0" fontId="8" fillId="3" borderId="34" xfId="0" applyFont="1" applyFill="1" applyBorder="1" applyAlignment="1" applyProtection="1">
      <alignment horizontal="left" vertical="center" indent="12"/>
      <protection locked="0"/>
    </xf>
    <xf numFmtId="0" fontId="8" fillId="3" borderId="0" xfId="0" applyFont="1" applyFill="1" applyAlignment="1" applyProtection="1">
      <alignment horizontal="left" vertical="center" indent="12"/>
      <protection locked="0"/>
    </xf>
    <xf numFmtId="0" fontId="8" fillId="3" borderId="0" xfId="0" applyFont="1" applyFill="1" applyAlignment="1" applyProtection="1">
      <alignment horizontal="left" vertical="center" indent="13"/>
      <protection locked="0"/>
    </xf>
    <xf numFmtId="0" fontId="8" fillId="3" borderId="35" xfId="0" applyFont="1" applyFill="1" applyBorder="1" applyAlignment="1" applyProtection="1">
      <alignment horizontal="left" vertical="center" indent="13"/>
      <protection locked="0"/>
    </xf>
    <xf numFmtId="0" fontId="8" fillId="3" borderId="35" xfId="0" applyFont="1" applyFill="1" applyBorder="1" applyAlignment="1" applyProtection="1">
      <alignment horizontal="left" vertical="center" indent="12"/>
      <protection locked="0"/>
    </xf>
    <xf numFmtId="0" fontId="31" fillId="3" borderId="34" xfId="0" applyFont="1" applyFill="1" applyBorder="1" applyAlignment="1" applyProtection="1">
      <alignment horizontal="left" vertical="center" indent="12"/>
      <protection locked="0"/>
    </xf>
    <xf numFmtId="0" fontId="31" fillId="3" borderId="0" xfId="0" applyFont="1" applyFill="1" applyAlignment="1" applyProtection="1">
      <alignment horizontal="left" vertical="center" indent="12"/>
      <protection locked="0"/>
    </xf>
    <xf numFmtId="0" fontId="8" fillId="3" borderId="34" xfId="0" applyFont="1" applyFill="1" applyBorder="1" applyAlignment="1" applyProtection="1">
      <alignment horizontal="left" vertical="center" indent="13"/>
      <protection locked="0"/>
    </xf>
    <xf numFmtId="0" fontId="20" fillId="4" borderId="0" xfId="0" applyFont="1" applyFill="1" applyAlignment="1" applyProtection="1">
      <alignment horizontal="center" vertical="center"/>
      <protection locked="0"/>
    </xf>
    <xf numFmtId="0" fontId="4" fillId="2" borderId="0" xfId="0" applyFont="1" applyFill="1" applyAlignment="1" applyProtection="1">
      <alignment horizontal="center"/>
      <protection locked="0"/>
    </xf>
    <xf numFmtId="0" fontId="3" fillId="2" borderId="0" xfId="0" applyFont="1" applyFill="1" applyAlignment="1" applyProtection="1">
      <alignment horizontal="center"/>
      <protection locked="0"/>
    </xf>
    <xf numFmtId="0" fontId="23" fillId="3" borderId="13" xfId="0" applyFont="1" applyFill="1" applyBorder="1" applyAlignment="1" applyProtection="1">
      <alignment horizontal="center" vertical="center"/>
      <protection locked="0"/>
    </xf>
    <xf numFmtId="0" fontId="23" fillId="3" borderId="14" xfId="0" applyFont="1" applyFill="1" applyBorder="1" applyAlignment="1" applyProtection="1">
      <alignment horizontal="center" vertical="center"/>
      <protection locked="0"/>
    </xf>
    <xf numFmtId="0" fontId="23" fillId="3" borderId="19" xfId="0" applyFont="1" applyFill="1" applyBorder="1" applyAlignment="1" applyProtection="1">
      <alignment horizontal="center" vertical="center"/>
      <protection locked="0"/>
    </xf>
    <xf numFmtId="0" fontId="4" fillId="2" borderId="13"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14" xfId="0" applyFont="1" applyFill="1" applyBorder="1" applyAlignment="1" applyProtection="1">
      <alignment horizontal="center"/>
      <protection locked="0"/>
    </xf>
    <xf numFmtId="0" fontId="32" fillId="2" borderId="0" xfId="0" applyFont="1" applyFill="1" applyAlignment="1" applyProtection="1">
      <alignment horizontal="left" vertical="center"/>
      <protection locked="0"/>
    </xf>
    <xf numFmtId="0" fontId="23" fillId="2" borderId="1" xfId="0" applyFont="1" applyFill="1" applyBorder="1" applyAlignment="1" applyProtection="1">
      <alignment horizontal="center" vertical="center"/>
      <protection locked="0"/>
    </xf>
    <xf numFmtId="0" fontId="4" fillId="2" borderId="0" xfId="0" applyFont="1" applyFill="1" applyAlignment="1" applyProtection="1">
      <alignment horizontal="center"/>
      <protection hidden="1"/>
    </xf>
    <xf numFmtId="0" fontId="3" fillId="2" borderId="0" xfId="0" applyFont="1" applyFill="1" applyAlignment="1" applyProtection="1">
      <alignment horizontal="center"/>
      <protection hidden="1"/>
    </xf>
    <xf numFmtId="0" fontId="20" fillId="4" borderId="0" xfId="0" applyFont="1" applyFill="1" applyAlignment="1" applyProtection="1">
      <alignment horizontal="center" vertical="center"/>
      <protection hidden="1"/>
    </xf>
    <xf numFmtId="0" fontId="30" fillId="3" borderId="0" xfId="0" applyFont="1" applyFill="1" applyAlignment="1" applyProtection="1">
      <alignment horizontal="left" vertical="center"/>
      <protection hidden="1"/>
    </xf>
    <xf numFmtId="0" fontId="27" fillId="2" borderId="0" xfId="0" applyFont="1" applyFill="1" applyAlignment="1" applyProtection="1">
      <alignment horizontal="center" vertical="center" wrapText="1"/>
      <protection locked="0"/>
    </xf>
    <xf numFmtId="10" fontId="32" fillId="0" borderId="11" xfId="3" applyNumberFormat="1" applyFont="1" applyBorder="1" applyAlignment="1" applyProtection="1">
      <alignment horizontal="center" vertical="center"/>
      <protection locked="0"/>
    </xf>
    <xf numFmtId="10" fontId="32" fillId="0" borderId="9" xfId="3" applyNumberFormat="1" applyFont="1" applyBorder="1" applyAlignment="1" applyProtection="1">
      <alignment horizontal="center" vertical="center"/>
      <protection locked="0"/>
    </xf>
    <xf numFmtId="165" fontId="39" fillId="2" borderId="0" xfId="0" applyNumberFormat="1" applyFont="1" applyFill="1" applyAlignment="1" applyProtection="1">
      <alignment horizontal="center"/>
      <protection locked="0"/>
    </xf>
    <xf numFmtId="0" fontId="39" fillId="2" borderId="0" xfId="0" applyFont="1" applyFill="1" applyAlignment="1" applyProtection="1">
      <alignment horizontal="center"/>
      <protection locked="0"/>
    </xf>
    <xf numFmtId="165" fontId="23" fillId="2" borderId="0" xfId="0" applyNumberFormat="1" applyFont="1" applyFill="1" applyAlignment="1" applyProtection="1">
      <alignment horizontal="center" vertical="center" wrapText="1"/>
      <protection locked="0"/>
    </xf>
    <xf numFmtId="165" fontId="39" fillId="2" borderId="0" xfId="0" applyNumberFormat="1" applyFont="1" applyFill="1" applyAlignment="1" applyProtection="1">
      <alignment horizontal="center" vertical="center" wrapText="1"/>
      <protection locked="0"/>
    </xf>
    <xf numFmtId="165" fontId="27" fillId="2" borderId="0" xfId="0" applyNumberFormat="1" applyFont="1" applyFill="1" applyAlignment="1" applyProtection="1">
      <alignment horizontal="left" vertical="center" wrapText="1"/>
      <protection locked="0"/>
    </xf>
    <xf numFmtId="0" fontId="23" fillId="2" borderId="1" xfId="0" applyFont="1" applyFill="1" applyBorder="1" applyAlignment="1" applyProtection="1">
      <alignment horizontal="center"/>
      <protection locked="0"/>
    </xf>
    <xf numFmtId="0" fontId="23" fillId="2" borderId="0" xfId="0" applyFont="1" applyFill="1" applyAlignment="1" applyProtection="1">
      <alignment horizontal="left"/>
      <protection locked="0"/>
    </xf>
    <xf numFmtId="0" fontId="8" fillId="2" borderId="0" xfId="0" applyFont="1" applyFill="1" applyAlignment="1" applyProtection="1">
      <alignment horizontal="left"/>
      <protection locked="0"/>
    </xf>
    <xf numFmtId="0" fontId="23" fillId="2" borderId="0" xfId="0" applyFont="1" applyFill="1" applyAlignment="1" applyProtection="1">
      <alignment horizontal="left" vertical="center"/>
      <protection locked="0"/>
    </xf>
    <xf numFmtId="0" fontId="8" fillId="2" borderId="0" xfId="0" applyFont="1" applyFill="1" applyAlignment="1" applyProtection="1">
      <alignment horizontal="left" vertical="center"/>
      <protection locked="0"/>
    </xf>
    <xf numFmtId="10" fontId="32" fillId="2" borderId="77" xfId="0" applyNumberFormat="1" applyFont="1" applyFill="1" applyBorder="1" applyAlignment="1" applyProtection="1">
      <alignment horizontal="center" vertical="center"/>
      <protection locked="0"/>
    </xf>
    <xf numFmtId="0" fontId="39" fillId="2" borderId="70" xfId="0" applyFont="1" applyFill="1" applyBorder="1" applyAlignment="1" applyProtection="1">
      <alignment horizontal="center"/>
      <protection locked="0"/>
    </xf>
    <xf numFmtId="0" fontId="27" fillId="2" borderId="80" xfId="0" applyFont="1" applyFill="1" applyBorder="1" applyAlignment="1" applyProtection="1">
      <alignment horizontal="right" vertical="center" wrapText="1"/>
      <protection locked="0"/>
    </xf>
    <xf numFmtId="0" fontId="27" fillId="2" borderId="81" xfId="0" applyFont="1" applyFill="1" applyBorder="1" applyAlignment="1" applyProtection="1">
      <alignment horizontal="right" vertical="center" wrapText="1"/>
      <protection locked="0"/>
    </xf>
  </cellXfs>
  <cellStyles count="6">
    <cellStyle name="Comma" xfId="1" builtinId="3"/>
    <cellStyle name="Currency" xfId="2" builtinId="4"/>
    <cellStyle name="Normal" xfId="0" builtinId="0"/>
    <cellStyle name="Normal 2" xfId="5" xr:uid="{CE1AA100-1053-4319-94D7-94FC5237FB44}"/>
    <cellStyle name="Normal 6" xfId="4" xr:uid="{E1FBC472-C5F6-4F9F-9A84-6D553735A899}"/>
    <cellStyle name="Percent" xfId="3" builtinId="5"/>
  </cellStyles>
  <dxfs count="0"/>
  <tableStyles count="0" defaultTableStyle="TableStyleMedium9" defaultPivotStyle="PivotStyleLight16"/>
  <colors>
    <mruColors>
      <color rgb="FFE9F5FB"/>
      <color rgb="FF2F75B5"/>
      <color rgb="FFB0AEAE"/>
      <color rgb="FF616466"/>
      <color rgb="FF393F47"/>
      <color rgb="FF4F81BD"/>
      <color rgb="FF548235"/>
      <color rgb="FFB31B1B"/>
      <color rgb="FFD3D6D7"/>
      <color rgb="FFF9FB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Inputs!$B$37</c:f>
              <c:strCache>
                <c:ptCount val="1"/>
                <c:pt idx="0">
                  <c:v>Hotel - Occupancy</c:v>
                </c:pt>
              </c:strCache>
            </c:strRef>
          </c:tx>
          <c:spPr>
            <a:solidFill>
              <a:srgbClr val="B31B1B"/>
            </a:solidFill>
            <a:ln>
              <a:noFill/>
            </a:ln>
            <a:effectLst/>
          </c:spPr>
          <c:invertIfNegative val="0"/>
          <c:cat>
            <c:numRef>
              <c:f>Inputs!$C$34:$H$34</c:f>
              <c:numCache>
                <c:formatCode>General</c:formatCode>
                <c:ptCount val="6"/>
                <c:pt idx="0">
                  <c:v>2021</c:v>
                </c:pt>
                <c:pt idx="1">
                  <c:v>2022</c:v>
                </c:pt>
                <c:pt idx="2">
                  <c:v>2023</c:v>
                </c:pt>
                <c:pt idx="3">
                  <c:v>2024</c:v>
                </c:pt>
                <c:pt idx="4">
                  <c:v>2025</c:v>
                </c:pt>
                <c:pt idx="5">
                  <c:v>2026</c:v>
                </c:pt>
              </c:numCache>
            </c:numRef>
          </c:cat>
          <c:val>
            <c:numRef>
              <c:f>Inputs!$C$35:$H$35</c:f>
              <c:numCache>
                <c:formatCode>General</c:formatCode>
                <c:ptCount val="6"/>
                <c:pt idx="0">
                  <c:v>0.7</c:v>
                </c:pt>
                <c:pt idx="1">
                  <c:v>0.75</c:v>
                </c:pt>
                <c:pt idx="2">
                  <c:v>0.79</c:v>
                </c:pt>
                <c:pt idx="3">
                  <c:v>0.81</c:v>
                </c:pt>
                <c:pt idx="4">
                  <c:v>0.79</c:v>
                </c:pt>
                <c:pt idx="5">
                  <c:v>0.8</c:v>
                </c:pt>
              </c:numCache>
            </c:numRef>
          </c:val>
          <c:extLst>
            <c:ext xmlns:c16="http://schemas.microsoft.com/office/drawing/2014/chart" uri="{C3380CC4-5D6E-409C-BE32-E72D297353CC}">
              <c16:uniqueId val="{00000000-CBE6-4BD1-A8E1-DCD09926C989}"/>
            </c:ext>
          </c:extLst>
        </c:ser>
        <c:dLbls>
          <c:showLegendKey val="0"/>
          <c:showVal val="0"/>
          <c:showCatName val="0"/>
          <c:showSerName val="0"/>
          <c:showPercent val="0"/>
          <c:showBubbleSize val="0"/>
        </c:dLbls>
        <c:gapWidth val="150"/>
        <c:axId val="2039714000"/>
        <c:axId val="2129633712"/>
      </c:barChart>
      <c:catAx>
        <c:axId val="203971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633712"/>
        <c:crosses val="autoZero"/>
        <c:auto val="1"/>
        <c:lblAlgn val="ctr"/>
        <c:lblOffset val="100"/>
        <c:noMultiLvlLbl val="0"/>
      </c:catAx>
      <c:valAx>
        <c:axId val="212963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1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Hotel</a:t>
            </a:r>
            <a:r>
              <a:rPr lang="en-US" baseline="0"/>
              <a:t> - REVPAR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Hotel REVPAR</c:v>
          </c:tx>
          <c:spPr>
            <a:solidFill>
              <a:srgbClr val="B31B1B"/>
            </a:solidFill>
            <a:ln>
              <a:noFill/>
            </a:ln>
            <a:effectLst/>
          </c:spPr>
          <c:invertIfNegative val="0"/>
          <c:cat>
            <c:numRef>
              <c:f>Inputs!$C$34:$H$34</c:f>
              <c:numCache>
                <c:formatCode>General</c:formatCode>
                <c:ptCount val="6"/>
                <c:pt idx="0">
                  <c:v>2021</c:v>
                </c:pt>
                <c:pt idx="1">
                  <c:v>2022</c:v>
                </c:pt>
                <c:pt idx="2">
                  <c:v>2023</c:v>
                </c:pt>
                <c:pt idx="3">
                  <c:v>2024</c:v>
                </c:pt>
                <c:pt idx="4">
                  <c:v>2025</c:v>
                </c:pt>
                <c:pt idx="5">
                  <c:v>2026</c:v>
                </c:pt>
              </c:numCache>
            </c:numRef>
          </c:cat>
          <c:val>
            <c:numRef>
              <c:f>Inputs!$C$36:$H$36</c:f>
              <c:numCache>
                <c:formatCode>0.00</c:formatCode>
                <c:ptCount val="6"/>
                <c:pt idx="0">
                  <c:v>114.8</c:v>
                </c:pt>
                <c:pt idx="1">
                  <c:v>125.4375</c:v>
                </c:pt>
                <c:pt idx="2">
                  <c:v>133.23350000000002</c:v>
                </c:pt>
                <c:pt idx="3">
                  <c:v>137.70000000000002</c:v>
                </c:pt>
                <c:pt idx="4">
                  <c:v>137.6575</c:v>
                </c:pt>
                <c:pt idx="5">
                  <c:v>146.4</c:v>
                </c:pt>
              </c:numCache>
            </c:numRef>
          </c:val>
          <c:extLst>
            <c:ext xmlns:c16="http://schemas.microsoft.com/office/drawing/2014/chart" uri="{C3380CC4-5D6E-409C-BE32-E72D297353CC}">
              <c16:uniqueId val="{00000000-0A46-4F03-86DE-1A913D87103F}"/>
            </c:ext>
          </c:extLst>
        </c:ser>
        <c:dLbls>
          <c:showLegendKey val="0"/>
          <c:showVal val="0"/>
          <c:showCatName val="0"/>
          <c:showSerName val="0"/>
          <c:showPercent val="0"/>
          <c:showBubbleSize val="0"/>
        </c:dLbls>
        <c:gapWidth val="150"/>
        <c:axId val="2039714000"/>
        <c:axId val="2129633712"/>
      </c:barChart>
      <c:catAx>
        <c:axId val="203971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633712"/>
        <c:crosses val="autoZero"/>
        <c:auto val="1"/>
        <c:lblAlgn val="ctr"/>
        <c:lblOffset val="100"/>
        <c:noMultiLvlLbl val="0"/>
      </c:catAx>
      <c:valAx>
        <c:axId val="2129633712"/>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14000"/>
        <c:crosses val="autoZero"/>
        <c:crossBetween val="between"/>
        <c:majorUnit val="1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t>US Market Projections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58729848385206"/>
          <c:y val="0.22222222222222221"/>
          <c:w val="0.85029135043221182"/>
          <c:h val="0.53615224884630619"/>
        </c:manualLayout>
      </c:layout>
      <c:lineChart>
        <c:grouping val="standard"/>
        <c:varyColors val="0"/>
        <c:ser>
          <c:idx val="0"/>
          <c:order val="0"/>
          <c:tx>
            <c:strRef>
              <c:f>Libor!$B$11</c:f>
              <c:strCache>
                <c:ptCount val="1"/>
                <c:pt idx="0">
                  <c:v>1 Month USD LIBOR Forward Curve</c:v>
                </c:pt>
              </c:strCache>
            </c:strRef>
          </c:tx>
          <c:spPr>
            <a:ln w="25400" cap="rnd">
              <a:solidFill>
                <a:srgbClr val="393F47"/>
              </a:solidFill>
              <a:prstDash val="dash"/>
              <a:round/>
            </a:ln>
            <a:effectLst/>
          </c:spPr>
          <c:marker>
            <c:symbol val="none"/>
          </c:marker>
          <c:cat>
            <c:numRef>
              <c:f>Libor!$C$9:$DS$9</c:f>
              <c:numCache>
                <c:formatCode>m/d/yy;@</c:formatCode>
                <c:ptCount val="12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pt idx="66">
                  <c:v>46203</c:v>
                </c:pt>
                <c:pt idx="67">
                  <c:v>46234</c:v>
                </c:pt>
                <c:pt idx="68">
                  <c:v>46265</c:v>
                </c:pt>
                <c:pt idx="69">
                  <c:v>46295</c:v>
                </c:pt>
                <c:pt idx="70">
                  <c:v>46326</c:v>
                </c:pt>
                <c:pt idx="71">
                  <c:v>46356</c:v>
                </c:pt>
                <c:pt idx="72">
                  <c:v>46387</c:v>
                </c:pt>
                <c:pt idx="73">
                  <c:v>46418</c:v>
                </c:pt>
                <c:pt idx="74">
                  <c:v>46446</c:v>
                </c:pt>
                <c:pt idx="75">
                  <c:v>46477</c:v>
                </c:pt>
                <c:pt idx="76">
                  <c:v>46507</c:v>
                </c:pt>
                <c:pt idx="77">
                  <c:v>46538</c:v>
                </c:pt>
                <c:pt idx="78">
                  <c:v>46568</c:v>
                </c:pt>
                <c:pt idx="79">
                  <c:v>46599</c:v>
                </c:pt>
                <c:pt idx="80">
                  <c:v>46630</c:v>
                </c:pt>
                <c:pt idx="81">
                  <c:v>46660</c:v>
                </c:pt>
                <c:pt idx="82">
                  <c:v>46691</c:v>
                </c:pt>
                <c:pt idx="83">
                  <c:v>46721</c:v>
                </c:pt>
                <c:pt idx="84">
                  <c:v>46752</c:v>
                </c:pt>
                <c:pt idx="85">
                  <c:v>46783</c:v>
                </c:pt>
                <c:pt idx="86">
                  <c:v>46812</c:v>
                </c:pt>
                <c:pt idx="87">
                  <c:v>46843</c:v>
                </c:pt>
                <c:pt idx="88">
                  <c:v>46873</c:v>
                </c:pt>
                <c:pt idx="89">
                  <c:v>46904</c:v>
                </c:pt>
                <c:pt idx="90">
                  <c:v>46934</c:v>
                </c:pt>
                <c:pt idx="91">
                  <c:v>46965</c:v>
                </c:pt>
                <c:pt idx="92">
                  <c:v>46996</c:v>
                </c:pt>
                <c:pt idx="93">
                  <c:v>47026</c:v>
                </c:pt>
                <c:pt idx="94">
                  <c:v>47057</c:v>
                </c:pt>
                <c:pt idx="95">
                  <c:v>47087</c:v>
                </c:pt>
                <c:pt idx="96">
                  <c:v>47118</c:v>
                </c:pt>
                <c:pt idx="97">
                  <c:v>47149</c:v>
                </c:pt>
                <c:pt idx="98">
                  <c:v>47177</c:v>
                </c:pt>
                <c:pt idx="99">
                  <c:v>47208</c:v>
                </c:pt>
                <c:pt idx="100">
                  <c:v>47238</c:v>
                </c:pt>
                <c:pt idx="101">
                  <c:v>47269</c:v>
                </c:pt>
                <c:pt idx="102">
                  <c:v>47299</c:v>
                </c:pt>
                <c:pt idx="103">
                  <c:v>47330</c:v>
                </c:pt>
                <c:pt idx="104">
                  <c:v>47361</c:v>
                </c:pt>
                <c:pt idx="105">
                  <c:v>47391</c:v>
                </c:pt>
                <c:pt idx="106">
                  <c:v>47422</c:v>
                </c:pt>
                <c:pt idx="107">
                  <c:v>47452</c:v>
                </c:pt>
                <c:pt idx="108">
                  <c:v>47483</c:v>
                </c:pt>
                <c:pt idx="109">
                  <c:v>47514</c:v>
                </c:pt>
                <c:pt idx="110">
                  <c:v>47542</c:v>
                </c:pt>
                <c:pt idx="111">
                  <c:v>47573</c:v>
                </c:pt>
                <c:pt idx="112">
                  <c:v>47603</c:v>
                </c:pt>
                <c:pt idx="113">
                  <c:v>47634</c:v>
                </c:pt>
                <c:pt idx="114">
                  <c:v>47664</c:v>
                </c:pt>
                <c:pt idx="115">
                  <c:v>47695</c:v>
                </c:pt>
                <c:pt idx="116">
                  <c:v>47726</c:v>
                </c:pt>
                <c:pt idx="117">
                  <c:v>47756</c:v>
                </c:pt>
                <c:pt idx="118">
                  <c:v>47787</c:v>
                </c:pt>
                <c:pt idx="119">
                  <c:v>47817</c:v>
                </c:pt>
                <c:pt idx="120">
                  <c:v>47848</c:v>
                </c:pt>
              </c:numCache>
            </c:numRef>
          </c:cat>
          <c:val>
            <c:numRef>
              <c:f>Libor!$C$11:$DS$11</c:f>
              <c:numCache>
                <c:formatCode>0.000%</c:formatCode>
                <c:ptCount val="121"/>
                <c:pt idx="0">
                  <c:v>1.4924999999999999E-3</c:v>
                </c:pt>
                <c:pt idx="1">
                  <c:v>1.5746E-3</c:v>
                </c:pt>
                <c:pt idx="2">
                  <c:v>1.6548000000000001E-3</c:v>
                </c:pt>
                <c:pt idx="3">
                  <c:v>1.7305000000000001E-3</c:v>
                </c:pt>
                <c:pt idx="4">
                  <c:v>1.7340000000000001E-3</c:v>
                </c:pt>
                <c:pt idx="5">
                  <c:v>1.6393E-3</c:v>
                </c:pt>
                <c:pt idx="6">
                  <c:v>1.4936000000000001E-3</c:v>
                </c:pt>
                <c:pt idx="7">
                  <c:v>1.3757999999999999E-3</c:v>
                </c:pt>
                <c:pt idx="8">
                  <c:v>1.3131E-3</c:v>
                </c:pt>
                <c:pt idx="9">
                  <c:v>1.3266E-3</c:v>
                </c:pt>
                <c:pt idx="10">
                  <c:v>1.3895999999999999E-3</c:v>
                </c:pt>
                <c:pt idx="11">
                  <c:v>1.4629000000000001E-3</c:v>
                </c:pt>
                <c:pt idx="12">
                  <c:v>1.5439E-3</c:v>
                </c:pt>
                <c:pt idx="13">
                  <c:v>1.6184999999999999E-3</c:v>
                </c:pt>
                <c:pt idx="14">
                  <c:v>1.6576E-3</c:v>
                </c:pt>
                <c:pt idx="15">
                  <c:v>1.6731000000000001E-3</c:v>
                </c:pt>
                <c:pt idx="16">
                  <c:v>1.6505000000000001E-3</c:v>
                </c:pt>
                <c:pt idx="17">
                  <c:v>1.572E-3</c:v>
                </c:pt>
                <c:pt idx="18">
                  <c:v>1.4832000000000001E-3</c:v>
                </c:pt>
                <c:pt idx="19">
                  <c:v>1.4182999999999999E-3</c:v>
                </c:pt>
                <c:pt idx="20">
                  <c:v>1.3636E-3</c:v>
                </c:pt>
                <c:pt idx="21">
                  <c:v>1.3674E-3</c:v>
                </c:pt>
                <c:pt idx="22">
                  <c:v>1.4319999999999999E-3</c:v>
                </c:pt>
                <c:pt idx="23">
                  <c:v>1.5107E-3</c:v>
                </c:pt>
                <c:pt idx="24">
                  <c:v>1.6359E-3</c:v>
                </c:pt>
                <c:pt idx="25">
                  <c:v>1.7925E-3</c:v>
                </c:pt>
                <c:pt idx="26">
                  <c:v>1.9195E-3</c:v>
                </c:pt>
                <c:pt idx="27">
                  <c:v>2.075E-3</c:v>
                </c:pt>
                <c:pt idx="28">
                  <c:v>2.2303000000000002E-3</c:v>
                </c:pt>
                <c:pt idx="29">
                  <c:v>2.3571E-3</c:v>
                </c:pt>
                <c:pt idx="30">
                  <c:v>2.4913000000000001E-3</c:v>
                </c:pt>
                <c:pt idx="31">
                  <c:v>2.6353000000000001E-3</c:v>
                </c:pt>
                <c:pt idx="32">
                  <c:v>2.7579000000000002E-3</c:v>
                </c:pt>
                <c:pt idx="33">
                  <c:v>2.8946000000000002E-3</c:v>
                </c:pt>
                <c:pt idx="34">
                  <c:v>3.0430000000000001E-3</c:v>
                </c:pt>
                <c:pt idx="35">
                  <c:v>3.1805000000000002E-3</c:v>
                </c:pt>
                <c:pt idx="36">
                  <c:v>3.3303E-3</c:v>
                </c:pt>
                <c:pt idx="37">
                  <c:v>3.4998E-3</c:v>
                </c:pt>
                <c:pt idx="38">
                  <c:v>3.6478000000000001E-3</c:v>
                </c:pt>
                <c:pt idx="39">
                  <c:v>3.8257999999999999E-3</c:v>
                </c:pt>
                <c:pt idx="40">
                  <c:v>4.0179999999999999E-3</c:v>
                </c:pt>
                <c:pt idx="41">
                  <c:v>4.1910999999999997E-3</c:v>
                </c:pt>
                <c:pt idx="42">
                  <c:v>4.3829000000000003E-3</c:v>
                </c:pt>
                <c:pt idx="43">
                  <c:v>4.5864E-3</c:v>
                </c:pt>
                <c:pt idx="44">
                  <c:v>4.7821000000000001E-3</c:v>
                </c:pt>
                <c:pt idx="45">
                  <c:v>4.9874999999999997E-3</c:v>
                </c:pt>
                <c:pt idx="46">
                  <c:v>5.2025999999999999E-3</c:v>
                </c:pt>
                <c:pt idx="47">
                  <c:v>5.4098999999999996E-3</c:v>
                </c:pt>
                <c:pt idx="48">
                  <c:v>5.6248000000000001E-3</c:v>
                </c:pt>
                <c:pt idx="49">
                  <c:v>5.8517999999999999E-3</c:v>
                </c:pt>
                <c:pt idx="50">
                  <c:v>6.0464999999999998E-3</c:v>
                </c:pt>
                <c:pt idx="51">
                  <c:v>6.2646000000000004E-3</c:v>
                </c:pt>
                <c:pt idx="52">
                  <c:v>6.4850000000000003E-3</c:v>
                </c:pt>
                <c:pt idx="53">
                  <c:v>6.6765000000000001E-3</c:v>
                </c:pt>
                <c:pt idx="54">
                  <c:v>6.8779000000000002E-3</c:v>
                </c:pt>
                <c:pt idx="55">
                  <c:v>7.0809999999999996E-3</c:v>
                </c:pt>
                <c:pt idx="56">
                  <c:v>7.2712000000000002E-3</c:v>
                </c:pt>
                <c:pt idx="57">
                  <c:v>7.4647000000000003E-3</c:v>
                </c:pt>
                <c:pt idx="58">
                  <c:v>7.6677999999999998E-3</c:v>
                </c:pt>
                <c:pt idx="59">
                  <c:v>7.8446000000000002E-3</c:v>
                </c:pt>
                <c:pt idx="60">
                  <c:v>8.0316999999999993E-3</c:v>
                </c:pt>
                <c:pt idx="61">
                  <c:v>8.2282999999999992E-3</c:v>
                </c:pt>
                <c:pt idx="62">
                  <c:v>8.3823999999999999E-3</c:v>
                </c:pt>
                <c:pt idx="63">
                  <c:v>8.5734000000000001E-3</c:v>
                </c:pt>
                <c:pt idx="64">
                  <c:v>8.7551E-3</c:v>
                </c:pt>
                <c:pt idx="65">
                  <c:v>8.9055999999999996E-3</c:v>
                </c:pt>
                <c:pt idx="66">
                  <c:v>9.0629999999999999E-3</c:v>
                </c:pt>
                <c:pt idx="67">
                  <c:v>9.2271999999999996E-3</c:v>
                </c:pt>
                <c:pt idx="68">
                  <c:v>9.3633999999999992E-3</c:v>
                </c:pt>
                <c:pt idx="69">
                  <c:v>9.5090000000000001E-3</c:v>
                </c:pt>
                <c:pt idx="70">
                  <c:v>9.6644999999999995E-3</c:v>
                </c:pt>
                <c:pt idx="71">
                  <c:v>9.7949000000000005E-3</c:v>
                </c:pt>
                <c:pt idx="72">
                  <c:v>9.9351000000000005E-3</c:v>
                </c:pt>
                <c:pt idx="73">
                  <c:v>1.0087E-2</c:v>
                </c:pt>
                <c:pt idx="74">
                  <c:v>1.0211700000000001E-2</c:v>
                </c:pt>
                <c:pt idx="75">
                  <c:v>1.0354800000000001E-2</c:v>
                </c:pt>
                <c:pt idx="76">
                  <c:v>1.0505199999999999E-2</c:v>
                </c:pt>
                <c:pt idx="77">
                  <c:v>1.06149E-2</c:v>
                </c:pt>
                <c:pt idx="78">
                  <c:v>1.07642E-2</c:v>
                </c:pt>
                <c:pt idx="79">
                  <c:v>1.0906900000000001E-2</c:v>
                </c:pt>
                <c:pt idx="80">
                  <c:v>1.10244E-2</c:v>
                </c:pt>
                <c:pt idx="81">
                  <c:v>1.1150500000000001E-2</c:v>
                </c:pt>
                <c:pt idx="82">
                  <c:v>1.12862E-2</c:v>
                </c:pt>
                <c:pt idx="83">
                  <c:v>1.1395799999999999E-2</c:v>
                </c:pt>
                <c:pt idx="84">
                  <c:v>1.15155E-2</c:v>
                </c:pt>
                <c:pt idx="85">
                  <c:v>1.16474E-2</c:v>
                </c:pt>
                <c:pt idx="86">
                  <c:v>1.17483E-2</c:v>
                </c:pt>
                <c:pt idx="87">
                  <c:v>1.1872799999999999E-2</c:v>
                </c:pt>
                <c:pt idx="88">
                  <c:v>1.2001400000000001E-2</c:v>
                </c:pt>
                <c:pt idx="89">
                  <c:v>1.20994E-2</c:v>
                </c:pt>
                <c:pt idx="90">
                  <c:v>1.22048E-2</c:v>
                </c:pt>
                <c:pt idx="91">
                  <c:v>1.23179E-2</c:v>
                </c:pt>
                <c:pt idx="92">
                  <c:v>1.24019E-2</c:v>
                </c:pt>
                <c:pt idx="93">
                  <c:v>1.2495900000000001E-2</c:v>
                </c:pt>
                <c:pt idx="94">
                  <c:v>1.25986E-2</c:v>
                </c:pt>
                <c:pt idx="95">
                  <c:v>1.26789E-2</c:v>
                </c:pt>
                <c:pt idx="96">
                  <c:v>1.27668E-2</c:v>
                </c:pt>
                <c:pt idx="97">
                  <c:v>1.2867399999999999E-2</c:v>
                </c:pt>
                <c:pt idx="98">
                  <c:v>1.29406E-2</c:v>
                </c:pt>
                <c:pt idx="99">
                  <c:v>1.3031600000000001E-2</c:v>
                </c:pt>
                <c:pt idx="100">
                  <c:v>1.31334E-2</c:v>
                </c:pt>
                <c:pt idx="101">
                  <c:v>1.3210599999999999E-2</c:v>
                </c:pt>
                <c:pt idx="102">
                  <c:v>1.33028E-2</c:v>
                </c:pt>
                <c:pt idx="103">
                  <c:v>1.34077E-2</c:v>
                </c:pt>
                <c:pt idx="104">
                  <c:v>1.3495500000000001E-2</c:v>
                </c:pt>
                <c:pt idx="105">
                  <c:v>1.3594200000000001E-2</c:v>
                </c:pt>
                <c:pt idx="106">
                  <c:v>1.37042E-2</c:v>
                </c:pt>
                <c:pt idx="107">
                  <c:v>1.37959E-2</c:v>
                </c:pt>
                <c:pt idx="108">
                  <c:v>1.3895100000000001E-2</c:v>
                </c:pt>
                <c:pt idx="109">
                  <c:v>1.40044E-2</c:v>
                </c:pt>
                <c:pt idx="110">
                  <c:v>1.40822E-2</c:v>
                </c:pt>
                <c:pt idx="111">
                  <c:v>1.4172300000000001E-2</c:v>
                </c:pt>
                <c:pt idx="112">
                  <c:v>1.42638E-2</c:v>
                </c:pt>
                <c:pt idx="113">
                  <c:v>1.43205E-2</c:v>
                </c:pt>
                <c:pt idx="114">
                  <c:v>1.43813E-2</c:v>
                </c:pt>
                <c:pt idx="115">
                  <c:v>1.4445E-2</c:v>
                </c:pt>
                <c:pt idx="116">
                  <c:v>1.44799E-2</c:v>
                </c:pt>
                <c:pt idx="117">
                  <c:v>1.4518100000000001E-2</c:v>
                </c:pt>
                <c:pt idx="118">
                  <c:v>1.45623E-2</c:v>
                </c:pt>
                <c:pt idx="119">
                  <c:v>1.45799E-2</c:v>
                </c:pt>
                <c:pt idx="120">
                  <c:v>1.46052E-2</c:v>
                </c:pt>
              </c:numCache>
            </c:numRef>
          </c:val>
          <c:smooth val="0"/>
          <c:extLst>
            <c:ext xmlns:c16="http://schemas.microsoft.com/office/drawing/2014/chart" uri="{C3380CC4-5D6E-409C-BE32-E72D297353CC}">
              <c16:uniqueId val="{00000000-E537-40D0-A482-3B8DCE3523D1}"/>
            </c:ext>
          </c:extLst>
        </c:ser>
        <c:ser>
          <c:idx val="1"/>
          <c:order val="1"/>
          <c:tx>
            <c:strRef>
              <c:f>Libor!$B$12</c:f>
              <c:strCache>
                <c:ptCount val="1"/>
                <c:pt idx="0">
                  <c:v>3 Month USD LIBOR Forward Curve</c:v>
                </c:pt>
              </c:strCache>
            </c:strRef>
          </c:tx>
          <c:spPr>
            <a:ln w="25400" cap="rnd">
              <a:solidFill>
                <a:srgbClr val="B31B1B"/>
              </a:solidFill>
              <a:round/>
            </a:ln>
            <a:effectLst/>
          </c:spPr>
          <c:marker>
            <c:symbol val="none"/>
          </c:marker>
          <c:cat>
            <c:numRef>
              <c:f>Libor!$C$9:$DS$9</c:f>
              <c:numCache>
                <c:formatCode>m/d/yy;@</c:formatCode>
                <c:ptCount val="12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pt idx="61">
                  <c:v>46053</c:v>
                </c:pt>
                <c:pt idx="62">
                  <c:v>46081</c:v>
                </c:pt>
                <c:pt idx="63">
                  <c:v>46112</c:v>
                </c:pt>
                <c:pt idx="64">
                  <c:v>46142</c:v>
                </c:pt>
                <c:pt idx="65">
                  <c:v>46173</c:v>
                </c:pt>
                <c:pt idx="66">
                  <c:v>46203</c:v>
                </c:pt>
                <c:pt idx="67">
                  <c:v>46234</c:v>
                </c:pt>
                <c:pt idx="68">
                  <c:v>46265</c:v>
                </c:pt>
                <c:pt idx="69">
                  <c:v>46295</c:v>
                </c:pt>
                <c:pt idx="70">
                  <c:v>46326</c:v>
                </c:pt>
                <c:pt idx="71">
                  <c:v>46356</c:v>
                </c:pt>
                <c:pt idx="72">
                  <c:v>46387</c:v>
                </c:pt>
                <c:pt idx="73">
                  <c:v>46418</c:v>
                </c:pt>
                <c:pt idx="74">
                  <c:v>46446</c:v>
                </c:pt>
                <c:pt idx="75">
                  <c:v>46477</c:v>
                </c:pt>
                <c:pt idx="76">
                  <c:v>46507</c:v>
                </c:pt>
                <c:pt idx="77">
                  <c:v>46538</c:v>
                </c:pt>
                <c:pt idx="78">
                  <c:v>46568</c:v>
                </c:pt>
                <c:pt idx="79">
                  <c:v>46599</c:v>
                </c:pt>
                <c:pt idx="80">
                  <c:v>46630</c:v>
                </c:pt>
                <c:pt idx="81">
                  <c:v>46660</c:v>
                </c:pt>
                <c:pt idx="82">
                  <c:v>46691</c:v>
                </c:pt>
                <c:pt idx="83">
                  <c:v>46721</c:v>
                </c:pt>
                <c:pt idx="84">
                  <c:v>46752</c:v>
                </c:pt>
                <c:pt idx="85">
                  <c:v>46783</c:v>
                </c:pt>
                <c:pt idx="86">
                  <c:v>46812</c:v>
                </c:pt>
                <c:pt idx="87">
                  <c:v>46843</c:v>
                </c:pt>
                <c:pt idx="88">
                  <c:v>46873</c:v>
                </c:pt>
                <c:pt idx="89">
                  <c:v>46904</c:v>
                </c:pt>
                <c:pt idx="90">
                  <c:v>46934</c:v>
                </c:pt>
                <c:pt idx="91">
                  <c:v>46965</c:v>
                </c:pt>
                <c:pt idx="92">
                  <c:v>46996</c:v>
                </c:pt>
                <c:pt idx="93">
                  <c:v>47026</c:v>
                </c:pt>
                <c:pt idx="94">
                  <c:v>47057</c:v>
                </c:pt>
                <c:pt idx="95">
                  <c:v>47087</c:v>
                </c:pt>
                <c:pt idx="96">
                  <c:v>47118</c:v>
                </c:pt>
                <c:pt idx="97">
                  <c:v>47149</c:v>
                </c:pt>
                <c:pt idx="98">
                  <c:v>47177</c:v>
                </c:pt>
                <c:pt idx="99">
                  <c:v>47208</c:v>
                </c:pt>
                <c:pt idx="100">
                  <c:v>47238</c:v>
                </c:pt>
                <c:pt idx="101">
                  <c:v>47269</c:v>
                </c:pt>
                <c:pt idx="102">
                  <c:v>47299</c:v>
                </c:pt>
                <c:pt idx="103">
                  <c:v>47330</c:v>
                </c:pt>
                <c:pt idx="104">
                  <c:v>47361</c:v>
                </c:pt>
                <c:pt idx="105">
                  <c:v>47391</c:v>
                </c:pt>
                <c:pt idx="106">
                  <c:v>47422</c:v>
                </c:pt>
                <c:pt idx="107">
                  <c:v>47452</c:v>
                </c:pt>
                <c:pt idx="108">
                  <c:v>47483</c:v>
                </c:pt>
                <c:pt idx="109">
                  <c:v>47514</c:v>
                </c:pt>
                <c:pt idx="110">
                  <c:v>47542</c:v>
                </c:pt>
                <c:pt idx="111">
                  <c:v>47573</c:v>
                </c:pt>
                <c:pt idx="112">
                  <c:v>47603</c:v>
                </c:pt>
                <c:pt idx="113">
                  <c:v>47634</c:v>
                </c:pt>
                <c:pt idx="114">
                  <c:v>47664</c:v>
                </c:pt>
                <c:pt idx="115">
                  <c:v>47695</c:v>
                </c:pt>
                <c:pt idx="116">
                  <c:v>47726</c:v>
                </c:pt>
                <c:pt idx="117">
                  <c:v>47756</c:v>
                </c:pt>
                <c:pt idx="118">
                  <c:v>47787</c:v>
                </c:pt>
                <c:pt idx="119">
                  <c:v>47817</c:v>
                </c:pt>
                <c:pt idx="120">
                  <c:v>47848</c:v>
                </c:pt>
              </c:numCache>
            </c:numRef>
          </c:cat>
          <c:val>
            <c:numRef>
              <c:f>Libor!$C$12:$DS$12</c:f>
              <c:numCache>
                <c:formatCode>0.000%</c:formatCode>
                <c:ptCount val="121"/>
                <c:pt idx="0">
                  <c:v>2.1475000000000001E-3</c:v>
                </c:pt>
                <c:pt idx="1">
                  <c:v>2.1992000000000001E-3</c:v>
                </c:pt>
                <c:pt idx="2">
                  <c:v>2.2525000000000002E-3</c:v>
                </c:pt>
                <c:pt idx="3">
                  <c:v>2.3008999999999998E-3</c:v>
                </c:pt>
                <c:pt idx="4">
                  <c:v>2.1919999999999999E-3</c:v>
                </c:pt>
                <c:pt idx="5">
                  <c:v>2.0936000000000001E-3</c:v>
                </c:pt>
                <c:pt idx="6">
                  <c:v>1.9846999999999998E-3</c:v>
                </c:pt>
                <c:pt idx="7">
                  <c:v>1.9824E-3</c:v>
                </c:pt>
                <c:pt idx="8">
                  <c:v>1.9799000000000001E-3</c:v>
                </c:pt>
                <c:pt idx="9">
                  <c:v>1.9778E-3</c:v>
                </c:pt>
                <c:pt idx="10">
                  <c:v>2.0344999999999999E-3</c:v>
                </c:pt>
                <c:pt idx="11">
                  <c:v>2.0929E-3</c:v>
                </c:pt>
                <c:pt idx="12">
                  <c:v>2.1459000000000001E-3</c:v>
                </c:pt>
                <c:pt idx="13">
                  <c:v>2.2904000000000002E-3</c:v>
                </c:pt>
                <c:pt idx="14">
                  <c:v>2.4348E-3</c:v>
                </c:pt>
                <c:pt idx="15">
                  <c:v>2.5745999999999998E-3</c:v>
                </c:pt>
                <c:pt idx="16">
                  <c:v>2.6435999999999999E-3</c:v>
                </c:pt>
                <c:pt idx="17">
                  <c:v>2.7020999999999998E-3</c:v>
                </c:pt>
                <c:pt idx="18">
                  <c:v>2.7626999999999999E-3</c:v>
                </c:pt>
                <c:pt idx="19">
                  <c:v>2.8300999999999999E-3</c:v>
                </c:pt>
                <c:pt idx="20">
                  <c:v>2.9020000000000001E-3</c:v>
                </c:pt>
                <c:pt idx="21">
                  <c:v>2.9670999999999999E-3</c:v>
                </c:pt>
                <c:pt idx="22">
                  <c:v>3.0416000000000002E-3</c:v>
                </c:pt>
                <c:pt idx="23">
                  <c:v>3.1159999999999998E-3</c:v>
                </c:pt>
                <c:pt idx="24">
                  <c:v>3.1881000000000001E-3</c:v>
                </c:pt>
                <c:pt idx="25">
                  <c:v>3.2940000000000001E-3</c:v>
                </c:pt>
                <c:pt idx="26">
                  <c:v>3.3838000000000002E-3</c:v>
                </c:pt>
                <c:pt idx="27">
                  <c:v>3.4832000000000001E-3</c:v>
                </c:pt>
                <c:pt idx="28">
                  <c:v>3.6139000000000002E-3</c:v>
                </c:pt>
                <c:pt idx="29">
                  <c:v>3.7282999999999999E-3</c:v>
                </c:pt>
                <c:pt idx="30">
                  <c:v>3.8508000000000001E-3</c:v>
                </c:pt>
                <c:pt idx="31">
                  <c:v>3.9962000000000001E-3</c:v>
                </c:pt>
                <c:pt idx="32">
                  <c:v>4.1463999999999997E-3</c:v>
                </c:pt>
                <c:pt idx="33">
                  <c:v>4.2916999999999999E-3</c:v>
                </c:pt>
                <c:pt idx="34">
                  <c:v>4.4764000000000002E-3</c:v>
                </c:pt>
                <c:pt idx="35">
                  <c:v>4.6386999999999999E-3</c:v>
                </c:pt>
                <c:pt idx="36">
                  <c:v>4.8066000000000003E-3</c:v>
                </c:pt>
                <c:pt idx="37">
                  <c:v>4.9971E-3</c:v>
                </c:pt>
                <c:pt idx="38">
                  <c:v>5.1697000000000002E-3</c:v>
                </c:pt>
                <c:pt idx="39">
                  <c:v>5.3541999999999999E-3</c:v>
                </c:pt>
                <c:pt idx="40">
                  <c:v>5.5518E-3</c:v>
                </c:pt>
                <c:pt idx="41">
                  <c:v>5.7365999999999997E-3</c:v>
                </c:pt>
                <c:pt idx="42">
                  <c:v>5.9341999999999997E-3</c:v>
                </c:pt>
                <c:pt idx="43">
                  <c:v>6.1428000000000003E-3</c:v>
                </c:pt>
                <c:pt idx="44">
                  <c:v>6.3447E-3</c:v>
                </c:pt>
                <c:pt idx="45">
                  <c:v>6.5465000000000002E-3</c:v>
                </c:pt>
                <c:pt idx="46">
                  <c:v>6.7594999999999999E-3</c:v>
                </c:pt>
                <c:pt idx="47">
                  <c:v>6.9724000000000001E-3</c:v>
                </c:pt>
                <c:pt idx="48">
                  <c:v>7.1923000000000004E-3</c:v>
                </c:pt>
                <c:pt idx="49">
                  <c:v>7.3905999999999998E-3</c:v>
                </c:pt>
                <c:pt idx="50">
                  <c:v>7.5957999999999998E-3</c:v>
                </c:pt>
                <c:pt idx="51">
                  <c:v>7.8145999999999997E-3</c:v>
                </c:pt>
                <c:pt idx="52">
                  <c:v>8.0120999999999994E-3</c:v>
                </c:pt>
                <c:pt idx="53">
                  <c:v>8.1965000000000007E-3</c:v>
                </c:pt>
                <c:pt idx="54">
                  <c:v>8.4136999999999997E-3</c:v>
                </c:pt>
                <c:pt idx="55">
                  <c:v>8.5909000000000003E-3</c:v>
                </c:pt>
                <c:pt idx="56">
                  <c:v>8.7871000000000008E-3</c:v>
                </c:pt>
                <c:pt idx="57">
                  <c:v>8.9896000000000004E-3</c:v>
                </c:pt>
                <c:pt idx="58">
                  <c:v>9.1657000000000006E-3</c:v>
                </c:pt>
                <c:pt idx="59">
                  <c:v>9.3539000000000001E-3</c:v>
                </c:pt>
                <c:pt idx="60">
                  <c:v>9.5422000000000007E-3</c:v>
                </c:pt>
                <c:pt idx="61">
                  <c:v>9.7120999999999996E-3</c:v>
                </c:pt>
                <c:pt idx="62">
                  <c:v>9.8820999999999996E-3</c:v>
                </c:pt>
                <c:pt idx="63">
                  <c:v>1.0057699999999999E-2</c:v>
                </c:pt>
                <c:pt idx="64">
                  <c:v>1.02206E-2</c:v>
                </c:pt>
                <c:pt idx="65">
                  <c:v>1.0367899999999999E-2</c:v>
                </c:pt>
                <c:pt idx="66">
                  <c:v>1.05361E-2</c:v>
                </c:pt>
                <c:pt idx="67">
                  <c:v>1.06768E-2</c:v>
                </c:pt>
                <c:pt idx="68">
                  <c:v>1.0827099999999999E-2</c:v>
                </c:pt>
                <c:pt idx="69">
                  <c:v>1.0977499999999999E-2</c:v>
                </c:pt>
                <c:pt idx="70">
                  <c:v>1.11109E-2</c:v>
                </c:pt>
                <c:pt idx="71">
                  <c:v>1.12576E-2</c:v>
                </c:pt>
                <c:pt idx="72">
                  <c:v>1.1382099999999999E-2</c:v>
                </c:pt>
                <c:pt idx="73">
                  <c:v>1.15186E-2</c:v>
                </c:pt>
                <c:pt idx="74">
                  <c:v>1.1659600000000001E-2</c:v>
                </c:pt>
                <c:pt idx="75">
                  <c:v>1.17874E-2</c:v>
                </c:pt>
                <c:pt idx="76">
                  <c:v>1.19273E-2</c:v>
                </c:pt>
                <c:pt idx="77">
                  <c:v>1.2053599999999999E-2</c:v>
                </c:pt>
                <c:pt idx="78">
                  <c:v>1.2193499999999999E-2</c:v>
                </c:pt>
                <c:pt idx="79">
                  <c:v>1.2327599999999999E-2</c:v>
                </c:pt>
                <c:pt idx="80">
                  <c:v>1.2475200000000001E-2</c:v>
                </c:pt>
                <c:pt idx="81">
                  <c:v>1.26003E-2</c:v>
                </c:pt>
                <c:pt idx="82">
                  <c:v>1.2737699999999999E-2</c:v>
                </c:pt>
                <c:pt idx="83">
                  <c:v>1.28795E-2</c:v>
                </c:pt>
                <c:pt idx="84">
                  <c:v>1.3008E-2</c:v>
                </c:pt>
                <c:pt idx="85">
                  <c:v>1.31311E-2</c:v>
                </c:pt>
                <c:pt idx="86">
                  <c:v>1.3254200000000001E-2</c:v>
                </c:pt>
                <c:pt idx="87">
                  <c:v>1.3373299999999999E-2</c:v>
                </c:pt>
                <c:pt idx="88">
                  <c:v>1.34906E-2</c:v>
                </c:pt>
                <c:pt idx="89">
                  <c:v>1.3590100000000001E-2</c:v>
                </c:pt>
                <c:pt idx="90">
                  <c:v>1.3696699999999999E-2</c:v>
                </c:pt>
                <c:pt idx="91">
                  <c:v>1.3789600000000001E-2</c:v>
                </c:pt>
                <c:pt idx="92">
                  <c:v>1.38856E-2</c:v>
                </c:pt>
                <c:pt idx="93">
                  <c:v>1.39785E-2</c:v>
                </c:pt>
                <c:pt idx="94">
                  <c:v>1.4064500000000001E-2</c:v>
                </c:pt>
                <c:pt idx="95">
                  <c:v>1.414E-2</c:v>
                </c:pt>
                <c:pt idx="96">
                  <c:v>1.42182E-2</c:v>
                </c:pt>
                <c:pt idx="97">
                  <c:v>1.43079E-2</c:v>
                </c:pt>
                <c:pt idx="98">
                  <c:v>1.43892E-2</c:v>
                </c:pt>
                <c:pt idx="99">
                  <c:v>1.44761E-2</c:v>
                </c:pt>
                <c:pt idx="100">
                  <c:v>1.45711E-2</c:v>
                </c:pt>
                <c:pt idx="101">
                  <c:v>1.46569E-2</c:v>
                </c:pt>
                <c:pt idx="102">
                  <c:v>1.4751800000000001E-2</c:v>
                </c:pt>
                <c:pt idx="103">
                  <c:v>1.48551E-2</c:v>
                </c:pt>
                <c:pt idx="104">
                  <c:v>1.4948700000000001E-2</c:v>
                </c:pt>
                <c:pt idx="105">
                  <c:v>1.50455E-2</c:v>
                </c:pt>
                <c:pt idx="106">
                  <c:v>1.51539E-2</c:v>
                </c:pt>
                <c:pt idx="107">
                  <c:v>1.52555E-2</c:v>
                </c:pt>
                <c:pt idx="108">
                  <c:v>1.53571E-2</c:v>
                </c:pt>
                <c:pt idx="109">
                  <c:v>1.5438199999999999E-2</c:v>
                </c:pt>
                <c:pt idx="110">
                  <c:v>1.55166E-2</c:v>
                </c:pt>
                <c:pt idx="111">
                  <c:v>1.56028E-2</c:v>
                </c:pt>
                <c:pt idx="112">
                  <c:v>1.56635E-2</c:v>
                </c:pt>
                <c:pt idx="113">
                  <c:v>1.5722099999999999E-2</c:v>
                </c:pt>
                <c:pt idx="114">
                  <c:v>1.57869E-2</c:v>
                </c:pt>
                <c:pt idx="115">
                  <c:v>1.5827999999999998E-2</c:v>
                </c:pt>
                <c:pt idx="116">
                  <c:v>1.5867800000000001E-2</c:v>
                </c:pt>
                <c:pt idx="117">
                  <c:v>1.5907500000000001E-2</c:v>
                </c:pt>
                <c:pt idx="118">
                  <c:v>1.59258E-2</c:v>
                </c:pt>
                <c:pt idx="119">
                  <c:v>1.5944E-2</c:v>
                </c:pt>
                <c:pt idx="120">
                  <c:v>1.5962799999999999E-2</c:v>
                </c:pt>
              </c:numCache>
            </c:numRef>
          </c:val>
          <c:smooth val="0"/>
          <c:extLst>
            <c:ext xmlns:c16="http://schemas.microsoft.com/office/drawing/2014/chart" uri="{C3380CC4-5D6E-409C-BE32-E72D297353CC}">
              <c16:uniqueId val="{00000002-E537-40D0-A482-3B8DCE3523D1}"/>
            </c:ext>
          </c:extLst>
        </c:ser>
        <c:dLbls>
          <c:showLegendKey val="0"/>
          <c:showVal val="0"/>
          <c:showCatName val="0"/>
          <c:showSerName val="0"/>
          <c:showPercent val="0"/>
          <c:showBubbleSize val="0"/>
        </c:dLbls>
        <c:smooth val="0"/>
        <c:axId val="877479807"/>
        <c:axId val="825477183"/>
      </c:lineChart>
      <c:dateAx>
        <c:axId val="8774798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Date</a:t>
                </a:r>
              </a:p>
            </c:rich>
          </c:tx>
          <c:layout>
            <c:manualLayout>
              <c:xMode val="edge"/>
              <c:yMode val="edge"/>
              <c:x val="0.52822499896316577"/>
              <c:y val="0.9206774096484249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25477183"/>
        <c:crosses val="autoZero"/>
        <c:auto val="1"/>
        <c:lblOffset val="100"/>
        <c:baseTimeUnit val="months"/>
      </c:dateAx>
      <c:valAx>
        <c:axId val="82547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Rate</a:t>
                </a:r>
              </a:p>
            </c:rich>
          </c:tx>
          <c:layout>
            <c:manualLayout>
              <c:xMode val="edge"/>
              <c:yMode val="edge"/>
              <c:x val="2.332803066659557E-2"/>
              <c:y val="0.438992912492067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77479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113</xdr:row>
      <xdr:rowOff>0</xdr:rowOff>
    </xdr:from>
    <xdr:to>
      <xdr:col>5</xdr:col>
      <xdr:colOff>0</xdr:colOff>
      <xdr:row>113</xdr:row>
      <xdr:rowOff>0</xdr:rowOff>
    </xdr:to>
    <xdr:cxnSp macro="">
      <xdr:nvCxnSpPr>
        <xdr:cNvPr id="3" name="Straight Connector 2">
          <a:extLst>
            <a:ext uri="{FF2B5EF4-FFF2-40B4-BE49-F238E27FC236}">
              <a16:creationId xmlns:a16="http://schemas.microsoft.com/office/drawing/2014/main" id="{A569B218-BB2C-47A7-9AFE-53F306DCDA34}"/>
            </a:ext>
          </a:extLst>
        </xdr:cNvPr>
        <xdr:cNvCxnSpPr/>
      </xdr:nvCxnSpPr>
      <xdr:spPr>
        <a:xfrm>
          <a:off x="952500" y="3787140"/>
          <a:ext cx="958596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283845</xdr:colOff>
      <xdr:row>5</xdr:row>
      <xdr:rowOff>106680</xdr:rowOff>
    </xdr:from>
    <xdr:to>
      <xdr:col>5</xdr:col>
      <xdr:colOff>0</xdr:colOff>
      <xdr:row>111</xdr:row>
      <xdr:rowOff>142875</xdr:rowOff>
    </xdr:to>
    <xdr:sp macro="" textlink="">
      <xdr:nvSpPr>
        <xdr:cNvPr id="5" name="TextBox 4">
          <a:extLst>
            <a:ext uri="{FF2B5EF4-FFF2-40B4-BE49-F238E27FC236}">
              <a16:creationId xmlns:a16="http://schemas.microsoft.com/office/drawing/2014/main" id="{052CA77D-B729-416E-BF00-8A5D0C63B9CB}"/>
            </a:ext>
          </a:extLst>
        </xdr:cNvPr>
        <xdr:cNvSpPr txBox="1"/>
      </xdr:nvSpPr>
      <xdr:spPr>
        <a:xfrm>
          <a:off x="283845" y="1954530"/>
          <a:ext cx="9326880" cy="2022919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b="1">
              <a:solidFill>
                <a:srgbClr val="393F47"/>
              </a:solidFill>
              <a:latin typeface="Arial" panose="020B0604020202020204" pitchFamily="34" charset="0"/>
              <a:ea typeface="+mn-ea"/>
              <a:cs typeface="Arial" panose="020B0604020202020204" pitchFamily="34" charset="0"/>
            </a:rPr>
            <a:t>Comments</a:t>
          </a:r>
          <a:endParaRPr lang="en-US" sz="1200" b="0">
            <a:solidFill>
              <a:srgbClr val="393F47"/>
            </a:solidFill>
            <a:latin typeface="Arial" panose="020B0604020202020204" pitchFamily="34" charset="0"/>
            <a:ea typeface="+mn-ea"/>
            <a:cs typeface="Arial" panose="020B0604020202020204" pitchFamily="34" charset="0"/>
          </a:endParaRPr>
        </a:p>
        <a:p>
          <a:endParaRPr lang="en-US" sz="600" b="0">
            <a:solidFill>
              <a:srgbClr val="393F47"/>
            </a:solidFill>
            <a:latin typeface="Arial" panose="020B0604020202020204" pitchFamily="34" charset="0"/>
            <a:ea typeface="+mn-ea"/>
            <a:cs typeface="Arial" panose="020B0604020202020204" pitchFamily="34" charset="0"/>
          </a:endParaRPr>
        </a:p>
        <a:p>
          <a:r>
            <a:rPr lang="en-US" sz="1200" b="0">
              <a:solidFill>
                <a:srgbClr val="393F47"/>
              </a:solidFill>
              <a:latin typeface="Arial" panose="020B0604020202020204" pitchFamily="34" charset="0"/>
              <a:ea typeface="+mn-ea"/>
              <a:cs typeface="Arial" panose="020B0604020202020204" pitchFamily="34" charset="0"/>
            </a:rPr>
            <a:t>[1] If model slows down too much, remember to turn calculation options to "Automatic Except for Data Tables" in FORMULA</a:t>
          </a:r>
          <a:r>
            <a:rPr lang="en-US" sz="1200" b="0" baseline="0">
              <a:solidFill>
                <a:srgbClr val="393F47"/>
              </a:solidFill>
              <a:latin typeface="Arial" panose="020B0604020202020204" pitchFamily="34" charset="0"/>
              <a:ea typeface="+mn-ea"/>
              <a:cs typeface="Arial" panose="020B0604020202020204" pitchFamily="34" charset="0"/>
            </a:rPr>
            <a:t> menu. In such case update your calculations by pressing F9.</a:t>
          </a:r>
        </a:p>
        <a:p>
          <a:r>
            <a:rPr lang="en-US" sz="1200" b="0" baseline="0">
              <a:solidFill>
                <a:srgbClr val="393F47"/>
              </a:solidFill>
              <a:latin typeface="Arial" panose="020B0604020202020204" pitchFamily="34" charset="0"/>
              <a:ea typeface="+mn-ea"/>
              <a:cs typeface="Arial" panose="020B0604020202020204" pitchFamily="34" charset="0"/>
            </a:rPr>
            <a:t>[2] The terms L.P./Co-investor are used interchangeably throughout the assignment to designate the same entity. G.P./Sponsor are likewise used interchangeably to designate the same source of capital.</a:t>
          </a:r>
          <a:endParaRPr lang="en-US" sz="1200" b="1">
            <a:solidFill>
              <a:srgbClr val="393F47"/>
            </a:solidFill>
            <a:latin typeface="Arial" panose="020B0604020202020204" pitchFamily="34" charset="0"/>
            <a:ea typeface="+mn-ea"/>
            <a:cs typeface="Arial" panose="020B0604020202020204" pitchFamily="34" charset="0"/>
          </a:endParaRPr>
        </a:p>
        <a:p>
          <a:endParaRPr lang="en-US" sz="1100">
            <a:solidFill>
              <a:srgbClr val="393F47"/>
            </a:solidFill>
            <a:latin typeface="Arial" panose="020B0604020202020204" pitchFamily="34" charset="0"/>
            <a:ea typeface="+mn-ea"/>
            <a:cs typeface="Arial" panose="020B0604020202020204" pitchFamily="34" charset="0"/>
          </a:endParaRPr>
        </a:p>
        <a:p>
          <a:endParaRPr lang="en-US" sz="1100">
            <a:solidFill>
              <a:srgbClr val="393F47"/>
            </a:solidFill>
            <a:latin typeface="Arial" panose="020B0604020202020204" pitchFamily="34" charset="0"/>
            <a:ea typeface="+mn-ea"/>
            <a:cs typeface="Arial" panose="020B0604020202020204" pitchFamily="34" charset="0"/>
          </a:endParaRPr>
        </a:p>
        <a:p>
          <a:r>
            <a:rPr lang="en-US" sz="1200" b="1">
              <a:solidFill>
                <a:srgbClr val="393F47"/>
              </a:solidFill>
              <a:latin typeface="Arial" panose="020B0604020202020204" pitchFamily="34" charset="0"/>
              <a:ea typeface="+mn-ea"/>
              <a:cs typeface="Arial" panose="020B0604020202020204" pitchFamily="34" charset="0"/>
            </a:rPr>
            <a:t>Workbook Navigation</a:t>
          </a:r>
        </a:p>
        <a:p>
          <a:endParaRPr lang="en-US" sz="600" b="1">
            <a:solidFill>
              <a:srgbClr val="393F47"/>
            </a:solidFill>
            <a:latin typeface="Arial" panose="020B0604020202020204" pitchFamily="34" charset="0"/>
            <a:ea typeface="+mn-ea"/>
            <a:cs typeface="Arial" panose="020B0604020202020204" pitchFamily="34" charset="0"/>
          </a:endParaRPr>
        </a:p>
        <a:p>
          <a:r>
            <a:rPr lang="en-US" sz="1200">
              <a:solidFill>
                <a:srgbClr val="393F47"/>
              </a:solidFill>
              <a:latin typeface="Arial" panose="020B0604020202020204" pitchFamily="34" charset="0"/>
              <a:ea typeface="+mn-ea"/>
              <a:cs typeface="Arial" panose="020B0604020202020204" pitchFamily="34" charset="0"/>
            </a:rPr>
            <a:t>Tabs in </a:t>
          </a:r>
          <a:r>
            <a:rPr lang="en-US" sz="1200" b="1">
              <a:solidFill>
                <a:srgbClr val="393F47"/>
              </a:solidFill>
              <a:latin typeface="Arial" panose="020B0604020202020204" pitchFamily="34" charset="0"/>
              <a:ea typeface="+mn-ea"/>
              <a:cs typeface="Arial" panose="020B0604020202020204" pitchFamily="34" charset="0"/>
            </a:rPr>
            <a:t>grey</a:t>
          </a:r>
          <a:r>
            <a:rPr lang="en-US" sz="1200">
              <a:solidFill>
                <a:srgbClr val="393F47"/>
              </a:solidFill>
              <a:latin typeface="Arial" panose="020B0604020202020204" pitchFamily="34" charset="0"/>
              <a:ea typeface="+mn-ea"/>
              <a:cs typeface="Arial" panose="020B0604020202020204" pitchFamily="34" charset="0"/>
            </a:rPr>
            <a:t> capture primarily assumptions</a:t>
          </a:r>
          <a:r>
            <a:rPr lang="en-US" sz="1200" baseline="0">
              <a:solidFill>
                <a:srgbClr val="393F47"/>
              </a:solidFill>
              <a:latin typeface="Arial" panose="020B0604020202020204" pitchFamily="34" charset="0"/>
              <a:ea typeface="+mn-ea"/>
              <a:cs typeface="Arial" panose="020B0604020202020204" pitchFamily="34" charset="0"/>
            </a:rPr>
            <a:t> and</a:t>
          </a:r>
          <a:r>
            <a:rPr lang="en-US" sz="1200">
              <a:solidFill>
                <a:srgbClr val="393F47"/>
              </a:solidFill>
              <a:latin typeface="Arial" panose="020B0604020202020204" pitchFamily="34" charset="0"/>
              <a:ea typeface="+mn-ea"/>
              <a:cs typeface="Arial" panose="020B0604020202020204" pitchFamily="34" charset="0"/>
            </a:rPr>
            <a:t> input variables.</a:t>
          </a:r>
          <a:r>
            <a:rPr lang="en-US" sz="1200" baseline="0">
              <a:solidFill>
                <a:srgbClr val="393F47"/>
              </a:solidFill>
              <a:latin typeface="Arial" panose="020B0604020202020204" pitchFamily="34" charset="0"/>
              <a:ea typeface="+mn-ea"/>
              <a:cs typeface="Arial" panose="020B0604020202020204" pitchFamily="34" charset="0"/>
            </a:rPr>
            <a:t> There is nothing to change in these tabs.</a:t>
          </a:r>
        </a:p>
        <a:p>
          <a:r>
            <a:rPr lang="en-US" sz="1200">
              <a:solidFill>
                <a:srgbClr val="393F47"/>
              </a:solidFill>
              <a:latin typeface="Arial" panose="020B0604020202020204" pitchFamily="34" charset="0"/>
              <a:ea typeface="+mn-ea"/>
              <a:cs typeface="Arial" panose="020B0604020202020204" pitchFamily="34" charset="0"/>
            </a:rPr>
            <a:t>Tabs in </a:t>
          </a:r>
          <a:r>
            <a:rPr lang="en-US" sz="1200" b="1">
              <a:solidFill>
                <a:srgbClr val="4F81BD"/>
              </a:solidFill>
              <a:latin typeface="Arial" panose="020B0604020202020204" pitchFamily="34" charset="0"/>
              <a:ea typeface="+mn-ea"/>
              <a:cs typeface="Arial" panose="020B0604020202020204" pitchFamily="34" charset="0"/>
            </a:rPr>
            <a:t>blue</a:t>
          </a:r>
          <a:r>
            <a:rPr lang="en-US" sz="1200">
              <a:solidFill>
                <a:srgbClr val="393F47"/>
              </a:solidFill>
              <a:latin typeface="Arial" panose="020B0604020202020204" pitchFamily="34" charset="0"/>
              <a:ea typeface="+mn-ea"/>
              <a:cs typeface="Arial" panose="020B0604020202020204" pitchFamily="34" charset="0"/>
            </a:rPr>
            <a:t> are the scenario tab and the summary analysis where all data tables</a:t>
          </a:r>
          <a:r>
            <a:rPr lang="en-US" sz="1200" baseline="0">
              <a:solidFill>
                <a:srgbClr val="393F47"/>
              </a:solidFill>
              <a:latin typeface="Arial" panose="020B0604020202020204" pitchFamily="34" charset="0"/>
              <a:ea typeface="+mn-ea"/>
              <a:cs typeface="Arial" panose="020B0604020202020204" pitchFamily="34" charset="0"/>
            </a:rPr>
            <a:t> are derived. </a:t>
          </a:r>
          <a:r>
            <a:rPr lang="en-US" sz="1200">
              <a:solidFill>
                <a:srgbClr val="393F47"/>
              </a:solidFill>
              <a:latin typeface="Arial" panose="020B0604020202020204" pitchFamily="34" charset="0"/>
              <a:ea typeface="+mn-ea"/>
              <a:cs typeface="Arial" panose="020B0604020202020204" pitchFamily="34" charset="0"/>
            </a:rPr>
            <a:t>This is also the place</a:t>
          </a:r>
          <a:r>
            <a:rPr lang="en-US" sz="1200" baseline="0">
              <a:solidFill>
                <a:srgbClr val="393F47"/>
              </a:solidFill>
              <a:latin typeface="Arial" panose="020B0604020202020204" pitchFamily="34" charset="0"/>
              <a:ea typeface="+mn-ea"/>
              <a:cs typeface="Arial" panose="020B0604020202020204" pitchFamily="34" charset="0"/>
            </a:rPr>
            <a:t> where students are asked to write short answers to their analysis.</a:t>
          </a:r>
        </a:p>
        <a:p>
          <a:r>
            <a:rPr lang="en-US" sz="1200" baseline="0">
              <a:solidFill>
                <a:srgbClr val="393F47"/>
              </a:solidFill>
              <a:latin typeface="Arial" panose="020B0604020202020204" pitchFamily="34" charset="0"/>
              <a:ea typeface="+mn-ea"/>
              <a:cs typeface="Arial" panose="020B0604020202020204" pitchFamily="34" charset="0"/>
            </a:rPr>
            <a:t>Tabs in </a:t>
          </a:r>
          <a:r>
            <a:rPr lang="en-US" sz="1200" b="1" baseline="0">
              <a:solidFill>
                <a:srgbClr val="C00000"/>
              </a:solidFill>
              <a:latin typeface="Arial" panose="020B0604020202020204" pitchFamily="34" charset="0"/>
              <a:ea typeface="+mn-ea"/>
              <a:cs typeface="Arial" panose="020B0604020202020204" pitchFamily="34" charset="0"/>
            </a:rPr>
            <a:t>red</a:t>
          </a:r>
          <a:r>
            <a:rPr lang="en-US" sz="1200" baseline="0">
              <a:solidFill>
                <a:srgbClr val="393F47"/>
              </a:solidFill>
              <a:latin typeface="Arial" panose="020B0604020202020204" pitchFamily="34" charset="0"/>
              <a:ea typeface="+mn-ea"/>
              <a:cs typeface="Arial" panose="020B0604020202020204" pitchFamily="34" charset="0"/>
            </a:rPr>
            <a:t> are provided. They include the pro-forma NOI, the DCF valuation and the capital accounts for the first deal structure with Fulcrum Capital and Eagle Investments.</a:t>
          </a:r>
        </a:p>
        <a:p>
          <a:r>
            <a:rPr lang="en-US" sz="1200" baseline="0">
              <a:solidFill>
                <a:srgbClr val="393F47"/>
              </a:solidFill>
              <a:latin typeface="Arial" panose="020B0604020202020204" pitchFamily="34" charset="0"/>
              <a:ea typeface="+mn-ea"/>
              <a:cs typeface="Arial" panose="020B0604020202020204" pitchFamily="34" charset="0"/>
            </a:rPr>
            <a:t>Tab in </a:t>
          </a:r>
          <a:r>
            <a:rPr lang="en-US" sz="1200" b="1" baseline="0">
              <a:solidFill>
                <a:schemeClr val="accent3">
                  <a:lumMod val="75000"/>
                </a:schemeClr>
              </a:solidFill>
              <a:latin typeface="Arial" panose="020B0604020202020204" pitchFamily="34" charset="0"/>
              <a:ea typeface="+mn-ea"/>
              <a:cs typeface="Arial" panose="020B0604020202020204" pitchFamily="34" charset="0"/>
            </a:rPr>
            <a:t>green</a:t>
          </a:r>
          <a:r>
            <a:rPr lang="en-US" sz="1200" baseline="0">
              <a:solidFill>
                <a:srgbClr val="393F47"/>
              </a:solidFill>
              <a:latin typeface="Arial" panose="020B0604020202020204" pitchFamily="34" charset="0"/>
              <a:ea typeface="+mn-ea"/>
              <a:cs typeface="Arial" panose="020B0604020202020204" pitchFamily="34" charset="0"/>
            </a:rPr>
            <a:t> is related to question 1. In "Q1 - CAP Acct.2" students are asked to derive the equity cash flows resulting from the alternative funding described below with SCP.</a:t>
          </a:r>
        </a:p>
        <a:p>
          <a:r>
            <a:rPr lang="en-US" sz="1200" baseline="0">
              <a:solidFill>
                <a:srgbClr val="393F47"/>
              </a:solidFill>
              <a:latin typeface="Arial" panose="020B0604020202020204" pitchFamily="34" charset="0"/>
              <a:ea typeface="+mn-ea"/>
              <a:cs typeface="Arial" panose="020B0604020202020204" pitchFamily="34" charset="0"/>
            </a:rPr>
            <a:t>Tab in </a:t>
          </a:r>
          <a:r>
            <a:rPr lang="en-US" sz="1200" b="1" baseline="0">
              <a:solidFill>
                <a:schemeClr val="accent6">
                  <a:lumMod val="75000"/>
                </a:schemeClr>
              </a:solidFill>
              <a:latin typeface="Arial" panose="020B0604020202020204" pitchFamily="34" charset="0"/>
              <a:ea typeface="+mn-ea"/>
              <a:cs typeface="Arial" panose="020B0604020202020204" pitchFamily="34" charset="0"/>
            </a:rPr>
            <a:t>orange</a:t>
          </a:r>
          <a:r>
            <a:rPr lang="en-US" sz="1200" baseline="0">
              <a:solidFill>
                <a:srgbClr val="393F47"/>
              </a:solidFill>
              <a:latin typeface="Arial" panose="020B0604020202020204" pitchFamily="34" charset="0"/>
              <a:ea typeface="+mn-ea"/>
              <a:cs typeface="Arial" panose="020B0604020202020204" pitchFamily="34" charset="0"/>
            </a:rPr>
            <a:t> is related to question 2. In "Q2 - Equity Waterfall" students are asked to split the equity cash flows based on a partnership agreement with Eagle Investments described below.</a:t>
          </a:r>
        </a:p>
        <a:p>
          <a:r>
            <a:rPr lang="en-US" sz="1200" baseline="0">
              <a:solidFill>
                <a:srgbClr val="393F47"/>
              </a:solidFill>
              <a:latin typeface="Arial" panose="020B0604020202020204" pitchFamily="34" charset="0"/>
              <a:ea typeface="+mn-ea"/>
              <a:cs typeface="Arial" panose="020B0604020202020204" pitchFamily="34" charset="0"/>
            </a:rPr>
            <a:t>Tab in </a:t>
          </a:r>
          <a:r>
            <a:rPr lang="en-US" sz="1200" b="1" baseline="0">
              <a:solidFill>
                <a:schemeClr val="tx2">
                  <a:lumMod val="75000"/>
                </a:schemeClr>
              </a:solidFill>
              <a:latin typeface="Arial" panose="020B0604020202020204" pitchFamily="34" charset="0"/>
              <a:ea typeface="+mn-ea"/>
              <a:cs typeface="Arial" panose="020B0604020202020204" pitchFamily="34" charset="0"/>
            </a:rPr>
            <a:t>navy blue</a:t>
          </a:r>
          <a:r>
            <a:rPr lang="en-US" sz="1200" baseline="0">
              <a:solidFill>
                <a:schemeClr val="tx2">
                  <a:lumMod val="75000"/>
                </a:schemeClr>
              </a:solidFill>
              <a:latin typeface="Arial" panose="020B0604020202020204" pitchFamily="34" charset="0"/>
              <a:ea typeface="+mn-ea"/>
              <a:cs typeface="Arial" panose="020B0604020202020204" pitchFamily="34" charset="0"/>
            </a:rPr>
            <a:t> </a:t>
          </a:r>
          <a:r>
            <a:rPr lang="en-US" sz="1200" baseline="0">
              <a:solidFill>
                <a:srgbClr val="393F47"/>
              </a:solidFill>
              <a:latin typeface="Arial" panose="020B0604020202020204" pitchFamily="34" charset="0"/>
              <a:ea typeface="+mn-ea"/>
              <a:cs typeface="Arial" panose="020B0604020202020204" pitchFamily="34" charset="0"/>
            </a:rPr>
            <a:t>is for question 3. In "Q3 - Equity Waterfall" students must now share the net equity cash flows from "Q1 - CAP Acct.2" with the terms of the partnership with SCP available below.</a:t>
          </a:r>
          <a:endParaRPr lang="en-US" sz="1200">
            <a:solidFill>
              <a:srgbClr val="393F47"/>
            </a:solidFill>
            <a:latin typeface="Arial" panose="020B0604020202020204" pitchFamily="34" charset="0"/>
            <a:ea typeface="+mn-ea"/>
            <a:cs typeface="Arial" panose="020B0604020202020204" pitchFamily="34" charset="0"/>
          </a:endParaRPr>
        </a:p>
        <a:p>
          <a:endParaRPr lang="en-US" sz="1100">
            <a:solidFill>
              <a:srgbClr val="393F47"/>
            </a:solidFill>
            <a:latin typeface="Arial" panose="020B0604020202020204" pitchFamily="34" charset="0"/>
            <a:ea typeface="+mn-ea"/>
            <a:cs typeface="Arial" panose="020B0604020202020204" pitchFamily="34" charset="0"/>
          </a:endParaRPr>
        </a:p>
        <a:p>
          <a:endParaRPr lang="en-US" sz="1100">
            <a:solidFill>
              <a:srgbClr val="393F47"/>
            </a:solidFill>
            <a:latin typeface="Arial" panose="020B0604020202020204" pitchFamily="34" charset="0"/>
            <a:ea typeface="+mn-ea"/>
            <a:cs typeface="Arial" panose="020B0604020202020204" pitchFamily="34" charset="0"/>
          </a:endParaRPr>
        </a:p>
        <a:p>
          <a:r>
            <a:rPr lang="en-US" sz="1200" b="1" baseline="0">
              <a:solidFill>
                <a:srgbClr val="393F47"/>
              </a:solidFill>
              <a:latin typeface="Arial" panose="020B0604020202020204" pitchFamily="34" charset="0"/>
              <a:ea typeface="+mn-ea"/>
              <a:cs typeface="Arial" panose="020B0604020202020204" pitchFamily="34" charset="0"/>
            </a:rPr>
            <a:t>Context</a:t>
          </a:r>
        </a:p>
        <a:p>
          <a:endParaRPr lang="en-US" sz="600" b="1" baseline="0">
            <a:solidFill>
              <a:srgbClr val="393F47"/>
            </a:solidFill>
            <a:latin typeface="Arial" panose="020B0604020202020204" pitchFamily="34" charset="0"/>
            <a:ea typeface="+mn-ea"/>
            <a:cs typeface="Arial" panose="020B0604020202020204" pitchFamily="34" charset="0"/>
          </a:endParaRPr>
        </a:p>
        <a:p>
          <a:r>
            <a:rPr lang="en-US" sz="1200" baseline="0">
              <a:solidFill>
                <a:srgbClr val="393F47"/>
              </a:solidFill>
              <a:latin typeface="Arial" panose="020B0604020202020204" pitchFamily="34" charset="0"/>
              <a:ea typeface="+mn-ea"/>
              <a:cs typeface="Arial" panose="020B0604020202020204" pitchFamily="34" charset="0"/>
            </a:rPr>
            <a:t>A funding opportunity as come up for the hotel property described in the inputs. Funding is available from two possible sources: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rgbClr val="393F47"/>
              </a:solidFill>
              <a:latin typeface="Arial" panose="020B0604020202020204" pitchFamily="34" charset="0"/>
              <a:ea typeface="+mn-ea"/>
              <a:cs typeface="Arial" panose="020B0604020202020204" pitchFamily="34" charset="0"/>
            </a:rPr>
            <a:t>[Deal Structure 1]</a:t>
          </a:r>
          <a:r>
            <a:rPr lang="en-US" sz="1200" baseline="0">
              <a:solidFill>
                <a:srgbClr val="393F47"/>
              </a:solidFill>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393F47"/>
              </a:solidFill>
              <a:latin typeface="Arial" panose="020B0604020202020204" pitchFamily="34" charset="0"/>
              <a:ea typeface="+mn-ea"/>
              <a:cs typeface="Arial" panose="020B0604020202020204" pitchFamily="34" charset="0"/>
            </a:rPr>
            <a:t>Fulcrum Capital is offering a preferred equity stake of 5,000,000 with a preferred return of 9%. This funding would take place sequentially after 100% of the common equity has been deployed. The construction loan would only be made available once 100% of the preferred equity is in the deal. Under this scenario, Eagle Investments, would take an L.P. position providing 90% of the necessary equity. Net equity cash flows (post-fees but pre-promote) would be distributed as follows</a:t>
          </a:r>
          <a:r>
            <a:rPr lang="en-US" sz="1200" i="1" baseline="0">
              <a:solidFill>
                <a:srgbClr val="393F47"/>
              </a:solidFill>
              <a:latin typeface="Arial" panose="020B0604020202020204" pitchFamily="34" charset="0"/>
              <a:ea typeface="+mn-ea"/>
              <a:cs typeface="Arial" panose="020B0604020202020204" pitchFamily="34" charset="0"/>
            </a:rPr>
            <a:t>: </a:t>
          </a:r>
          <a:r>
            <a:rPr lang="en-US" sz="1200" b="0" i="1">
              <a:solidFill>
                <a:srgbClr val="393F47"/>
              </a:solidFill>
              <a:effectLst/>
              <a:latin typeface="Arial" panose="020B0604020202020204" pitchFamily="34" charset="0"/>
              <a:ea typeface="+mn-ea"/>
              <a:cs typeface="Arial" panose="020B0604020202020204" pitchFamily="34" charset="0"/>
            </a:rPr>
            <a:t>L.P. will receive 100% of distributions until it has returned all of its invested capital and received a 1.25x equity multiple; then, G.P. will receive all distributions to reach the same hurdle (i.e. "catch-up"); Then distribution will be split 50% to L.P. and 50% to G.P. until L.P. achieves a 1.4x equity multiple; Thereafter, distributions will be split 40% to L.P. and 60% to G.P..</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rgbClr val="393F47"/>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i="0">
              <a:solidFill>
                <a:srgbClr val="393F47"/>
              </a:solidFill>
              <a:effectLst/>
              <a:latin typeface="Arial" panose="020B0604020202020204" pitchFamily="34" charset="0"/>
              <a:ea typeface="+mn-ea"/>
              <a:cs typeface="Arial" panose="020B0604020202020204" pitchFamily="34" charset="0"/>
            </a:rPr>
            <a:t>[Deal Structure 2] </a:t>
          </a:r>
        </a:p>
        <a:p>
          <a:pPr marL="0" marR="0" lvl="0" indent="0" defTabSz="914400" eaLnBrk="1" fontAlgn="auto" latinLnBrk="0" hangingPunct="1">
            <a:lnSpc>
              <a:spcPct val="100000"/>
            </a:lnSpc>
            <a:spcBef>
              <a:spcPts val="0"/>
            </a:spcBef>
            <a:spcAft>
              <a:spcPts val="0"/>
            </a:spcAft>
            <a:buClrTx/>
            <a:buSzTx/>
            <a:buFontTx/>
            <a:buNone/>
            <a:tabLst/>
            <a:defRPr/>
          </a:pPr>
          <a:r>
            <a:rPr lang="en-US" sz="1200" b="0" i="0">
              <a:solidFill>
                <a:srgbClr val="393F47"/>
              </a:solidFill>
              <a:effectLst/>
              <a:latin typeface="Arial" panose="020B0604020202020204" pitchFamily="34" charset="0"/>
              <a:ea typeface="+mn-ea"/>
              <a:cs typeface="Arial" panose="020B0604020202020204" pitchFamily="34" charset="0"/>
            </a:rPr>
            <a:t>SCP is interested in taking a larger contribution in the deal. They offer to take </a:t>
          </a:r>
          <a:r>
            <a:rPr lang="en-US" sz="1200" b="1" i="0">
              <a:solidFill>
                <a:srgbClr val="393F47"/>
              </a:solidFill>
              <a:effectLst/>
              <a:latin typeface="Arial" panose="020B0604020202020204" pitchFamily="34" charset="0"/>
              <a:ea typeface="+mn-ea"/>
              <a:cs typeface="Arial" panose="020B0604020202020204" pitchFamily="34" charset="0"/>
            </a:rPr>
            <a:t>BOTH</a:t>
          </a:r>
          <a:r>
            <a:rPr lang="en-US" sz="1200" b="0" i="0">
              <a:solidFill>
                <a:srgbClr val="393F47"/>
              </a:solidFill>
              <a:effectLst/>
              <a:latin typeface="Arial" panose="020B0604020202020204" pitchFamily="34" charset="0"/>
              <a:ea typeface="+mn-ea"/>
              <a:cs typeface="Arial" panose="020B0604020202020204" pitchFamily="34" charset="0"/>
            </a:rPr>
            <a:t> a preferred equity stake and a L.P. stake</a:t>
          </a:r>
          <a:r>
            <a:rPr lang="en-US" sz="1200" b="0" i="0" baseline="0">
              <a:solidFill>
                <a:srgbClr val="393F47"/>
              </a:solidFill>
              <a:effectLst/>
              <a:latin typeface="Arial" panose="020B0604020202020204" pitchFamily="34" charset="0"/>
              <a:ea typeface="+mn-ea"/>
              <a:cs typeface="Arial" panose="020B0604020202020204" pitchFamily="34" charset="0"/>
            </a:rPr>
            <a:t> in the deal. Their preferred equity would total 5,000,000 with a preferred return of 12%. This funding would take place concurrently to the common equity such that the development costs and loan fees (rows 39 and 40) are covered 45% by the common equity and 55% by the preferred equity. If one of these two sources runs out before the other one, funding switches to 100% of the available source. The construction loan will be drawn only once both the preferred equity and the common equity are fully deployed. Repayment will be sequentially allocated to (1) construction loan, (2) preferred equity and (3) common equity. SCP will additionally take a L.P. position in the deal providing 90% of the equity needed. </a:t>
          </a:r>
          <a:r>
            <a:rPr lang="en-US" sz="1200" baseline="0">
              <a:solidFill>
                <a:srgbClr val="393F47"/>
              </a:solidFill>
              <a:effectLst/>
              <a:latin typeface="Arial" panose="020B0604020202020204" pitchFamily="34" charset="0"/>
              <a:ea typeface="+mn-ea"/>
              <a:cs typeface="Arial" panose="020B0604020202020204" pitchFamily="34" charset="0"/>
            </a:rPr>
            <a:t>Net equity cash flows (post fees) would be distributed as follows: </a:t>
          </a:r>
          <a:r>
            <a:rPr lang="en-US" sz="1200" b="0" i="1">
              <a:solidFill>
                <a:srgbClr val="393F47"/>
              </a:solidFill>
              <a:effectLst/>
              <a:latin typeface="Arial" panose="020B0604020202020204" pitchFamily="34" charset="0"/>
              <a:ea typeface="+mn-ea"/>
              <a:cs typeface="Arial" panose="020B0604020202020204" pitchFamily="34" charset="0"/>
            </a:rPr>
            <a:t>L.P. will receive 100% of distributions until it has returned all of its invested capital and received the greater of a 5% IRR </a:t>
          </a:r>
          <a:r>
            <a:rPr lang="en-US" sz="1200" b="1" i="1">
              <a:solidFill>
                <a:srgbClr val="393F47"/>
              </a:solidFill>
              <a:effectLst/>
              <a:latin typeface="Arial" panose="020B0604020202020204" pitchFamily="34" charset="0"/>
              <a:ea typeface="+mn-ea"/>
              <a:cs typeface="Arial" panose="020B0604020202020204" pitchFamily="34" charset="0"/>
            </a:rPr>
            <a:t>AND</a:t>
          </a:r>
          <a:r>
            <a:rPr lang="en-US" sz="1200" b="0" i="1">
              <a:solidFill>
                <a:srgbClr val="393F47"/>
              </a:solidFill>
              <a:effectLst/>
              <a:latin typeface="Arial" panose="020B0604020202020204" pitchFamily="34" charset="0"/>
              <a:ea typeface="+mn-ea"/>
              <a:cs typeface="Arial" panose="020B0604020202020204" pitchFamily="34" charset="0"/>
            </a:rPr>
            <a:t> a 1.25x equity multiple; then, G.P. will receive all distributions to reach the same hurdle (i.e. "catch-up"); Then distribution will be split 50% to L.P. and 50% to G.P. until L.P. achieves the greater of a 10% IRR </a:t>
          </a:r>
          <a:r>
            <a:rPr lang="en-US" sz="1200" b="1" i="1">
              <a:solidFill>
                <a:srgbClr val="393F47"/>
              </a:solidFill>
              <a:effectLst/>
              <a:latin typeface="Arial" panose="020B0604020202020204" pitchFamily="34" charset="0"/>
              <a:ea typeface="+mn-ea"/>
              <a:cs typeface="Arial" panose="020B0604020202020204" pitchFamily="34" charset="0"/>
            </a:rPr>
            <a:t>AND</a:t>
          </a:r>
          <a:r>
            <a:rPr lang="en-US" sz="1200" b="0" i="1">
              <a:solidFill>
                <a:srgbClr val="393F47"/>
              </a:solidFill>
              <a:effectLst/>
              <a:latin typeface="Arial" panose="020B0604020202020204" pitchFamily="34" charset="0"/>
              <a:ea typeface="+mn-ea"/>
              <a:cs typeface="Arial" panose="020B0604020202020204" pitchFamily="34" charset="0"/>
            </a:rPr>
            <a:t> a 1.4x equity multiple; Thereafter, distributions will be split 40% to L.P. and 60% to G.P..</a:t>
          </a:r>
          <a:endParaRPr lang="en-US" sz="1200">
            <a:solidFill>
              <a:srgbClr val="393F47"/>
            </a:solidFill>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i="0">
            <a:solidFill>
              <a:srgbClr val="393F47"/>
            </a:solidFill>
            <a:effectLst/>
            <a:latin typeface="Arial" panose="020B0604020202020204" pitchFamily="34" charset="0"/>
            <a:cs typeface="Arial" panose="020B0604020202020204" pitchFamily="34" charset="0"/>
          </a:endParaRPr>
        </a:p>
        <a:p>
          <a:r>
            <a:rPr lang="en-US" sz="1200" baseline="0">
              <a:solidFill>
                <a:srgbClr val="393F47"/>
              </a:solidFill>
              <a:latin typeface="Arial" panose="020B0604020202020204" pitchFamily="34" charset="0"/>
              <a:ea typeface="+mn-ea"/>
              <a:cs typeface="Arial" panose="020B0604020202020204" pitchFamily="34" charset="0"/>
            </a:rPr>
            <a:t>Your task is to make a recommendation regarding how to structure the deal. You should recommend either working with Fulcrum Capital and Eagle Investments or working with SCP. Recommendations should be backed up with a strong quantitative analysis as well as some qualitative considerations.</a:t>
          </a:r>
        </a:p>
        <a:p>
          <a:endParaRPr lang="en-US" sz="1100" baseline="0">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rgbClr val="393F47"/>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393F47"/>
              </a:solidFill>
              <a:effectLst/>
              <a:latin typeface="Arial" panose="020B0604020202020204" pitchFamily="34" charset="0"/>
              <a:ea typeface="+mn-ea"/>
              <a:cs typeface="Arial" panose="020B0604020202020204" pitchFamily="34" charset="0"/>
            </a:rPr>
            <a:t>Methodology</a:t>
          </a:r>
        </a:p>
        <a:p>
          <a:pPr marL="0" marR="0" lvl="0" indent="0" defTabSz="914400" eaLnBrk="1" fontAlgn="auto" latinLnBrk="0" hangingPunct="1">
            <a:lnSpc>
              <a:spcPct val="100000"/>
            </a:lnSpc>
            <a:spcBef>
              <a:spcPts val="0"/>
            </a:spcBef>
            <a:spcAft>
              <a:spcPts val="0"/>
            </a:spcAft>
            <a:buClrTx/>
            <a:buSzTx/>
            <a:buFontTx/>
            <a:buNone/>
            <a:tabLst/>
            <a:defRPr/>
          </a:pPr>
          <a:endParaRPr lang="en-US" sz="600">
            <a:solidFill>
              <a:srgbClr val="393F47"/>
            </a:solidFill>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393F47"/>
              </a:solidFill>
              <a:effectLst/>
              <a:latin typeface="Arial" panose="020B0604020202020204" pitchFamily="34" charset="0"/>
              <a:ea typeface="+mn-ea"/>
              <a:cs typeface="Arial" panose="020B0604020202020204" pitchFamily="34" charset="0"/>
            </a:rPr>
            <a:t>Net equity cash flows (post-fees) for the </a:t>
          </a:r>
          <a:r>
            <a:rPr lang="en-US" sz="1200" b="1" baseline="0">
              <a:solidFill>
                <a:srgbClr val="393F47"/>
              </a:solidFill>
              <a:effectLst/>
              <a:latin typeface="Arial" panose="020B0604020202020204" pitchFamily="34" charset="0"/>
              <a:ea typeface="+mn-ea"/>
              <a:cs typeface="Arial" panose="020B0604020202020204" pitchFamily="34" charset="0"/>
            </a:rPr>
            <a:t>first</a:t>
          </a:r>
          <a:r>
            <a:rPr lang="en-US" sz="1200" baseline="0">
              <a:solidFill>
                <a:srgbClr val="393F47"/>
              </a:solidFill>
              <a:effectLst/>
              <a:latin typeface="Arial" panose="020B0604020202020204" pitchFamily="34" charset="0"/>
              <a:ea typeface="+mn-ea"/>
              <a:cs typeface="Arial" panose="020B0604020202020204" pitchFamily="34" charset="0"/>
            </a:rPr>
            <a:t> alternative with the preferred equity stake from Fulcrum Capital can be found in "</a:t>
          </a:r>
          <a:r>
            <a:rPr lang="en-US" sz="1200" i="1" baseline="0">
              <a:solidFill>
                <a:srgbClr val="393F47"/>
              </a:solidFill>
              <a:effectLst/>
              <a:latin typeface="Arial" panose="020B0604020202020204" pitchFamily="34" charset="0"/>
              <a:ea typeface="+mn-ea"/>
              <a:cs typeface="Arial" panose="020B0604020202020204" pitchFamily="34" charset="0"/>
            </a:rPr>
            <a:t>Provided - CAP Acct. 1</a:t>
          </a:r>
          <a:r>
            <a:rPr lang="en-US" sz="1200" baseline="0">
              <a:solidFill>
                <a:srgbClr val="393F47"/>
              </a:solidFill>
              <a:effectLst/>
              <a:latin typeface="Arial" panose="020B0604020202020204" pitchFamily="34" charset="0"/>
              <a:ea typeface="+mn-ea"/>
              <a:cs typeface="Arial" panose="020B0604020202020204" pitchFamily="34" charset="0"/>
            </a:rPr>
            <a:t>". Equity cash flows net of fees can be found in row 117. This is similar to what we have done in class, so you don't have to redo it.</a:t>
          </a:r>
          <a:endParaRPr lang="en-US" sz="1200">
            <a:solidFill>
              <a:srgbClr val="393F47"/>
            </a:solidFill>
            <a:effectLst/>
            <a:latin typeface="Arial" panose="020B0604020202020204" pitchFamily="34" charset="0"/>
            <a:cs typeface="Arial" panose="020B0604020202020204" pitchFamily="34" charset="0"/>
          </a:endParaRPr>
        </a:p>
        <a:p>
          <a:endParaRPr lang="en-US" sz="1200" baseline="0">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393F47"/>
              </a:solidFill>
              <a:latin typeface="Arial" panose="020B0604020202020204" pitchFamily="34" charset="0"/>
              <a:ea typeface="+mn-ea"/>
              <a:cs typeface="Arial" panose="020B0604020202020204" pitchFamily="34" charset="0"/>
            </a:rPr>
            <a:t>Questions 1, 2, 3 and 4 are modeling questions and require essentially to build the appropriate model. On the other hand, </a:t>
          </a:r>
          <a:r>
            <a:rPr lang="en-US" sz="1200" baseline="0">
              <a:solidFill>
                <a:srgbClr val="393F47"/>
              </a:solidFill>
              <a:effectLst/>
              <a:latin typeface="Arial" panose="020B0604020202020204" pitchFamily="34" charset="0"/>
              <a:ea typeface="+mn-ea"/>
              <a:cs typeface="Arial" panose="020B0604020202020204" pitchFamily="34" charset="0"/>
            </a:rPr>
            <a:t>answers to questions 5, 6 and 7 require a careful analysis and should not be limited to just excel outputs. We expect you to compile your analysis in a textbox. Your final answer to each question should weight in the quantitative outputs from your model with qualitative aspects regarding the deal. </a:t>
          </a:r>
          <a:endParaRPr lang="en-US" sz="1200">
            <a:solidFill>
              <a:srgbClr val="393F47"/>
            </a:solidFill>
            <a:effectLst/>
            <a:latin typeface="Arial" panose="020B0604020202020204" pitchFamily="34" charset="0"/>
            <a:cs typeface="Arial" panose="020B0604020202020204" pitchFamily="34" charset="0"/>
          </a:endParaRPr>
        </a:p>
        <a:p>
          <a:endParaRPr lang="en-US" sz="1100" baseline="0">
            <a:solidFill>
              <a:srgbClr val="393F47"/>
            </a:solidFill>
            <a:latin typeface="Arial" panose="020B0604020202020204" pitchFamily="34" charset="0"/>
            <a:ea typeface="+mn-ea"/>
            <a:cs typeface="Arial" panose="020B0604020202020204" pitchFamily="34" charset="0"/>
          </a:endParaRPr>
        </a:p>
        <a:p>
          <a:pPr marL="0" indent="0"/>
          <a:r>
            <a:rPr lang="en-US" sz="1200" b="1" baseline="0">
              <a:solidFill>
                <a:srgbClr val="393F47"/>
              </a:solidFill>
              <a:latin typeface="Arial" panose="020B0604020202020204" pitchFamily="34" charset="0"/>
              <a:ea typeface="+mn-ea"/>
              <a:cs typeface="Arial" panose="020B0604020202020204" pitchFamily="34" charset="0"/>
            </a:rPr>
            <a:t>Question </a:t>
          </a:r>
          <a:r>
            <a:rPr lang="en-US" sz="1200" b="1" i="0" baseline="0">
              <a:solidFill>
                <a:srgbClr val="393F47"/>
              </a:solidFill>
              <a:effectLst/>
              <a:latin typeface="Arial" panose="020B0604020202020204" pitchFamily="34" charset="0"/>
              <a:ea typeface="+mn-ea"/>
              <a:cs typeface="Arial" panose="020B0604020202020204" pitchFamily="34" charset="0"/>
            </a:rPr>
            <a:t>1: </a:t>
          </a:r>
          <a:r>
            <a:rPr lang="en-US" sz="1200" b="0" i="1" baseline="0">
              <a:solidFill>
                <a:srgbClr val="393F47"/>
              </a:solidFill>
              <a:effectLst/>
              <a:latin typeface="Arial" panose="020B0604020202020204" pitchFamily="34" charset="0"/>
              <a:ea typeface="+mn-ea"/>
              <a:cs typeface="Arial" panose="020B0604020202020204" pitchFamily="34" charset="0"/>
            </a:rPr>
            <a:t>(15 points)</a:t>
          </a:r>
        </a:p>
        <a:p>
          <a:r>
            <a:rPr lang="en-US" sz="1200" baseline="0">
              <a:solidFill>
                <a:srgbClr val="393F47"/>
              </a:solidFill>
              <a:latin typeface="Arial" panose="020B0604020202020204" pitchFamily="34" charset="0"/>
              <a:ea typeface="+mn-ea"/>
              <a:cs typeface="Arial" panose="020B0604020202020204" pitchFamily="34" charset="0"/>
            </a:rPr>
            <a:t>Your first task is to derive the gross equity cash flows (pre-fees) for the preferred equity stake offered by SCP under the </a:t>
          </a:r>
          <a:r>
            <a:rPr lang="en-US" sz="1200" b="1" baseline="0">
              <a:solidFill>
                <a:srgbClr val="393F47"/>
              </a:solidFill>
              <a:latin typeface="Arial" panose="020B0604020202020204" pitchFamily="34" charset="0"/>
              <a:ea typeface="+mn-ea"/>
              <a:cs typeface="Arial" panose="020B0604020202020204" pitchFamily="34" charset="0"/>
            </a:rPr>
            <a:t>second</a:t>
          </a:r>
          <a:r>
            <a:rPr lang="en-US" sz="1200" baseline="0">
              <a:solidFill>
                <a:srgbClr val="393F47"/>
              </a:solidFill>
              <a:latin typeface="Arial" panose="020B0604020202020204" pitchFamily="34" charset="0"/>
              <a:ea typeface="+mn-ea"/>
              <a:cs typeface="Arial" panose="020B0604020202020204" pitchFamily="34" charset="0"/>
            </a:rPr>
            <a:t> deal structure. Do this task in the "</a:t>
          </a:r>
          <a:r>
            <a:rPr lang="en-US" sz="1200" i="1" baseline="0">
              <a:solidFill>
                <a:srgbClr val="393F47"/>
              </a:solidFill>
              <a:latin typeface="Arial" panose="020B0604020202020204" pitchFamily="34" charset="0"/>
              <a:ea typeface="+mn-ea"/>
              <a:cs typeface="Arial" panose="020B0604020202020204" pitchFamily="34" charset="0"/>
            </a:rPr>
            <a:t>Q1 - CAP Acct. 2</a:t>
          </a:r>
          <a:r>
            <a:rPr lang="en-US" sz="1200" baseline="0">
              <a:solidFill>
                <a:srgbClr val="393F47"/>
              </a:solidFill>
              <a:latin typeface="Arial" panose="020B0604020202020204" pitchFamily="34" charset="0"/>
              <a:ea typeface="+mn-ea"/>
              <a:cs typeface="Arial" panose="020B0604020202020204" pitchFamily="34" charset="0"/>
            </a:rPr>
            <a:t>" </a:t>
          </a:r>
          <a:r>
            <a:rPr lang="en-US" sz="1200" b="1" baseline="0">
              <a:solidFill>
                <a:schemeClr val="accent3">
                  <a:lumMod val="50000"/>
                </a:schemeClr>
              </a:solidFill>
              <a:latin typeface="Arial" panose="020B0604020202020204" pitchFamily="34" charset="0"/>
              <a:ea typeface="+mn-ea"/>
              <a:cs typeface="Arial" panose="020B0604020202020204" pitchFamily="34" charset="0"/>
            </a:rPr>
            <a:t>green</a:t>
          </a:r>
          <a:r>
            <a:rPr lang="en-US" sz="1200" baseline="0">
              <a:solidFill>
                <a:srgbClr val="393F47"/>
              </a:solidFill>
              <a:latin typeface="Arial" panose="020B0604020202020204" pitchFamily="34" charset="0"/>
              <a:ea typeface="+mn-ea"/>
              <a:cs typeface="Arial" panose="020B0604020202020204" pitchFamily="34" charset="0"/>
            </a:rPr>
            <a:t> tab. Your effort should focus on modifying the capital accounts for the common equity funding (rows 76 and 77), the preferred equity funding (row 83) and the construction loan funding (row 89). Make sure your capital accounts balance and you have no errors in the CHECK row (row 66). Any error message there will simply imply that there is a mistake in your calculations.</a:t>
          </a:r>
        </a:p>
        <a:p>
          <a:endParaRPr lang="en-US" sz="1100" baseline="0">
            <a:solidFill>
              <a:srgbClr val="393F47"/>
            </a:solidFill>
            <a:latin typeface="Arial" panose="020B0604020202020204" pitchFamily="34" charset="0"/>
            <a:ea typeface="+mn-ea"/>
            <a:cs typeface="Arial" panose="020B0604020202020204" pitchFamily="34" charset="0"/>
          </a:endParaRPr>
        </a:p>
        <a:p>
          <a:r>
            <a:rPr lang="en-US" sz="1200" b="0" i="0" baseline="0">
              <a:solidFill>
                <a:srgbClr val="393F47"/>
              </a:solidFill>
              <a:effectLst/>
              <a:latin typeface="Arial" panose="020B0604020202020204" pitchFamily="34" charset="0"/>
              <a:ea typeface="+mn-ea"/>
              <a:cs typeface="Arial" panose="020B0604020202020204" pitchFamily="34" charset="0"/>
            </a:rPr>
            <a:t>Your second task is to subtract out the fees from the gross equity cash flows to derive the cash flows to equity net of fees in row 118. Evaluate the "net return" to the co-investor and the sponsor assuming the partnership pays the following fees:</a:t>
          </a:r>
          <a:endParaRPr lang="en-US" sz="1200">
            <a:solidFill>
              <a:srgbClr val="393F47"/>
            </a:solidFill>
            <a:effectLst/>
            <a:latin typeface="Arial" panose="020B0604020202020204" pitchFamily="34" charset="0"/>
            <a:cs typeface="Arial" panose="020B0604020202020204" pitchFamily="34" charset="0"/>
          </a:endParaRPr>
        </a:p>
        <a:p>
          <a:r>
            <a:rPr lang="en-US" sz="1200" b="0" i="0" baseline="0">
              <a:solidFill>
                <a:srgbClr val="393F47"/>
              </a:solidFill>
              <a:effectLst/>
              <a:latin typeface="Arial" panose="020B0604020202020204" pitchFamily="34" charset="0"/>
              <a:ea typeface="+mn-ea"/>
              <a:cs typeface="Arial" panose="020B0604020202020204" pitchFamily="34" charset="0"/>
            </a:rPr>
            <a:t>     [a.] Acquisition fee of 1.0% of land value.	</a:t>
          </a:r>
          <a:endParaRPr lang="en-US" sz="1200">
            <a:solidFill>
              <a:srgbClr val="393F47"/>
            </a:solidFill>
            <a:effectLst/>
            <a:latin typeface="Arial" panose="020B0604020202020204" pitchFamily="34" charset="0"/>
            <a:cs typeface="Arial" panose="020B0604020202020204" pitchFamily="34" charset="0"/>
          </a:endParaRPr>
        </a:p>
        <a:p>
          <a:r>
            <a:rPr lang="en-US" sz="1200" b="0" i="0" baseline="0">
              <a:solidFill>
                <a:srgbClr val="393F47"/>
              </a:solidFill>
              <a:effectLst/>
              <a:latin typeface="Arial" panose="020B0604020202020204" pitchFamily="34" charset="0"/>
              <a:ea typeface="+mn-ea"/>
              <a:cs typeface="Arial" panose="020B0604020202020204" pitchFamily="34" charset="0"/>
            </a:rPr>
            <a:t>     [b.] Asset management fee of 0.8% of invested equity.</a:t>
          </a:r>
          <a:endParaRPr lang="en-US" sz="1200">
            <a:solidFill>
              <a:srgbClr val="393F47"/>
            </a:solidFill>
            <a:effectLst/>
            <a:latin typeface="Arial" panose="020B0604020202020204" pitchFamily="34" charset="0"/>
            <a:cs typeface="Arial" panose="020B0604020202020204" pitchFamily="34" charset="0"/>
          </a:endParaRPr>
        </a:p>
        <a:p>
          <a:r>
            <a:rPr lang="en-US" sz="1200" b="0" i="0" baseline="0">
              <a:solidFill>
                <a:srgbClr val="393F47"/>
              </a:solidFill>
              <a:effectLst/>
              <a:latin typeface="Arial" panose="020B0604020202020204" pitchFamily="34" charset="0"/>
              <a:ea typeface="+mn-ea"/>
              <a:cs typeface="Arial" panose="020B0604020202020204" pitchFamily="34" charset="0"/>
            </a:rPr>
            <a:t>     [c.] Disposition fee of 0.50% of net proceeds to equity from sale (gross proceeds less sales costs less permanent loan repayment).</a:t>
          </a:r>
          <a:endParaRPr lang="en-US" sz="1200">
            <a:solidFill>
              <a:srgbClr val="393F47"/>
            </a:solidFill>
            <a:effectLst/>
            <a:latin typeface="Arial" panose="020B0604020202020204" pitchFamily="34" charset="0"/>
            <a:cs typeface="Arial" panose="020B0604020202020204" pitchFamily="34" charset="0"/>
          </a:endParaRPr>
        </a:p>
        <a:p>
          <a:endParaRPr lang="en-US" sz="1100" baseline="0">
            <a:solidFill>
              <a:srgbClr val="393F47"/>
            </a:solidFill>
            <a:latin typeface="Arial" panose="020B0604020202020204" pitchFamily="34" charset="0"/>
            <a:ea typeface="+mn-ea"/>
            <a:cs typeface="Arial" panose="020B0604020202020204" pitchFamily="34" charset="0"/>
          </a:endParaRPr>
        </a:p>
        <a:p>
          <a:pPr marL="0" indent="0"/>
          <a:r>
            <a:rPr lang="en-US" sz="1200" b="1" baseline="0">
              <a:solidFill>
                <a:srgbClr val="393F47"/>
              </a:solidFill>
              <a:effectLst/>
              <a:latin typeface="Arial" panose="020B0604020202020204" pitchFamily="34" charset="0"/>
              <a:ea typeface="+mn-ea"/>
              <a:cs typeface="Arial" panose="020B0604020202020204" pitchFamily="34" charset="0"/>
            </a:rPr>
            <a:t>Question 2: </a:t>
          </a:r>
          <a:r>
            <a:rPr lang="en-US" sz="1200" b="0" i="1" baseline="0">
              <a:solidFill>
                <a:srgbClr val="393F47"/>
              </a:solidFill>
              <a:effectLst/>
              <a:latin typeface="Arial" panose="020B0604020202020204" pitchFamily="34" charset="0"/>
              <a:ea typeface="+mn-ea"/>
              <a:cs typeface="Arial" panose="020B0604020202020204" pitchFamily="34" charset="0"/>
            </a:rPr>
            <a:t>(15 points)</a:t>
          </a:r>
        </a:p>
        <a:p>
          <a:r>
            <a:rPr lang="en-US" sz="1200" b="0" i="0" baseline="0">
              <a:solidFill>
                <a:srgbClr val="393F47"/>
              </a:solidFill>
              <a:effectLst/>
              <a:latin typeface="Arial" panose="020B0604020202020204" pitchFamily="34" charset="0"/>
              <a:ea typeface="+mn-ea"/>
              <a:cs typeface="Arial" panose="020B0604020202020204" pitchFamily="34" charset="0"/>
            </a:rPr>
            <a:t>Your task is to distribute the net equity cash flows from the </a:t>
          </a:r>
          <a:r>
            <a:rPr lang="en-US" sz="1200" b="1" i="0" baseline="0">
              <a:solidFill>
                <a:srgbClr val="393F47"/>
              </a:solidFill>
              <a:effectLst/>
              <a:latin typeface="Arial" panose="020B0604020202020204" pitchFamily="34" charset="0"/>
              <a:ea typeface="+mn-ea"/>
              <a:cs typeface="Arial" panose="020B0604020202020204" pitchFamily="34" charset="0"/>
            </a:rPr>
            <a:t>first</a:t>
          </a:r>
          <a:r>
            <a:rPr lang="en-US" sz="1200" b="0" i="0" baseline="0">
              <a:solidFill>
                <a:srgbClr val="393F47"/>
              </a:solidFill>
              <a:effectLst/>
              <a:latin typeface="Arial" panose="020B0604020202020204" pitchFamily="34" charset="0"/>
              <a:ea typeface="+mn-ea"/>
              <a:cs typeface="Arial" panose="020B0604020202020204" pitchFamily="34" charset="0"/>
            </a:rPr>
            <a:t> deal structure (available in row 117 of </a:t>
          </a:r>
          <a:r>
            <a:rPr lang="en-US" sz="1200" baseline="0">
              <a:solidFill>
                <a:srgbClr val="393F47"/>
              </a:solidFill>
              <a:effectLst/>
              <a:latin typeface="Arial" panose="020B0604020202020204" pitchFamily="34" charset="0"/>
              <a:ea typeface="+mn-ea"/>
              <a:cs typeface="Arial" panose="020B0604020202020204" pitchFamily="34" charset="0"/>
            </a:rPr>
            <a:t>"</a:t>
          </a:r>
          <a:r>
            <a:rPr lang="en-US" sz="1200" i="1" baseline="0">
              <a:solidFill>
                <a:srgbClr val="393F47"/>
              </a:solidFill>
              <a:effectLst/>
              <a:latin typeface="Arial" panose="020B0604020202020204" pitchFamily="34" charset="0"/>
              <a:ea typeface="+mn-ea"/>
              <a:cs typeface="Arial" panose="020B0604020202020204" pitchFamily="34" charset="0"/>
            </a:rPr>
            <a:t>Provided - CAP Acct. 1</a:t>
          </a:r>
          <a:r>
            <a:rPr lang="en-US" sz="1200" baseline="0">
              <a:solidFill>
                <a:srgbClr val="393F47"/>
              </a:solidFill>
              <a:effectLst/>
              <a:latin typeface="Arial" panose="020B0604020202020204" pitchFamily="34" charset="0"/>
              <a:ea typeface="+mn-ea"/>
              <a:cs typeface="Arial" panose="020B0604020202020204" pitchFamily="34" charset="0"/>
            </a:rPr>
            <a:t>") in the "</a:t>
          </a:r>
          <a:r>
            <a:rPr lang="en-US" sz="1200" i="1" baseline="0">
              <a:solidFill>
                <a:srgbClr val="393F47"/>
              </a:solidFill>
              <a:effectLst/>
              <a:latin typeface="Arial" panose="020B0604020202020204" pitchFamily="34" charset="0"/>
              <a:ea typeface="+mn-ea"/>
              <a:cs typeface="Arial" panose="020B0604020202020204" pitchFamily="34" charset="0"/>
            </a:rPr>
            <a:t>Q2 - Equity Waterfall 1</a:t>
          </a:r>
          <a:r>
            <a:rPr lang="en-US" sz="1200" baseline="0">
              <a:solidFill>
                <a:srgbClr val="393F47"/>
              </a:solidFill>
              <a:effectLst/>
              <a:latin typeface="Arial" panose="020B0604020202020204" pitchFamily="34" charset="0"/>
              <a:ea typeface="+mn-ea"/>
              <a:cs typeface="Arial" panose="020B0604020202020204" pitchFamily="34" charset="0"/>
            </a:rPr>
            <a:t>" </a:t>
          </a:r>
          <a:r>
            <a:rPr lang="en-US" sz="1200" b="1" baseline="0">
              <a:solidFill>
                <a:schemeClr val="accent6">
                  <a:lumMod val="75000"/>
                </a:schemeClr>
              </a:solidFill>
              <a:effectLst/>
              <a:latin typeface="Arial" panose="020B0604020202020204" pitchFamily="34" charset="0"/>
              <a:ea typeface="+mn-ea"/>
              <a:cs typeface="Arial" panose="020B0604020202020204" pitchFamily="34" charset="0"/>
            </a:rPr>
            <a:t>orange</a:t>
          </a:r>
          <a:r>
            <a:rPr lang="en-US" sz="1200" baseline="0">
              <a:solidFill>
                <a:srgbClr val="393F47"/>
              </a:solidFill>
              <a:effectLst/>
              <a:latin typeface="Arial" panose="020B0604020202020204" pitchFamily="34" charset="0"/>
              <a:ea typeface="+mn-ea"/>
              <a:cs typeface="Arial" panose="020B0604020202020204" pitchFamily="34" charset="0"/>
            </a:rPr>
            <a:t> tab to match the partnership terms offered by Eagle Investment. Derive the "net returns" for both the L.P. (E116) and the G.P. Note that the acquisition, asset management and disposition fees are paid by the partnership to the G.P./Sponsor. Make therefore sure to derive the "Net returns" for the G.P. inclusive of these fees (row 124).</a:t>
          </a:r>
          <a:endParaRPr lang="en-US" sz="1200">
            <a:solidFill>
              <a:srgbClr val="393F47"/>
            </a:solidFill>
            <a:effectLst/>
            <a:latin typeface="Arial" panose="020B0604020202020204" pitchFamily="34" charset="0"/>
            <a:cs typeface="Arial" panose="020B0604020202020204" pitchFamily="34" charset="0"/>
          </a:endParaRPr>
        </a:p>
        <a:p>
          <a:endParaRPr lang="en-US" sz="1100" b="0" i="0" baseline="0">
            <a:solidFill>
              <a:srgbClr val="393F47"/>
            </a:solidFill>
            <a:effectLst/>
            <a:latin typeface="Arial" panose="020B0604020202020204" pitchFamily="34" charset="0"/>
            <a:ea typeface="+mn-ea"/>
            <a:cs typeface="Arial" panose="020B0604020202020204" pitchFamily="34" charset="0"/>
          </a:endParaRPr>
        </a:p>
        <a:p>
          <a:r>
            <a:rPr lang="en-US" sz="1200" b="1" i="0" baseline="0">
              <a:solidFill>
                <a:srgbClr val="393F47"/>
              </a:solidFill>
              <a:effectLst/>
              <a:latin typeface="Arial" panose="020B0604020202020204" pitchFamily="34" charset="0"/>
              <a:ea typeface="+mn-ea"/>
              <a:cs typeface="Arial" panose="020B0604020202020204" pitchFamily="34" charset="0"/>
            </a:rPr>
            <a:t>Question 3: </a:t>
          </a:r>
          <a:r>
            <a:rPr lang="en-US" sz="1200" b="0" i="1" baseline="0">
              <a:solidFill>
                <a:srgbClr val="393F47"/>
              </a:solidFill>
              <a:effectLst/>
              <a:latin typeface="Arial" panose="020B0604020202020204" pitchFamily="34" charset="0"/>
              <a:ea typeface="+mn-ea"/>
              <a:cs typeface="Arial" panose="020B0604020202020204" pitchFamily="34" charset="0"/>
            </a:rPr>
            <a:t>(20 points)</a:t>
          </a:r>
          <a:endParaRPr lang="en-US" sz="1200" b="1" i="0" baseline="0">
            <a:solidFill>
              <a:srgbClr val="393F47"/>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rgbClr val="393F47"/>
              </a:solidFill>
              <a:effectLst/>
              <a:latin typeface="Arial" panose="020B0604020202020204" pitchFamily="34" charset="0"/>
              <a:ea typeface="+mn-ea"/>
              <a:cs typeface="Arial" panose="020B0604020202020204" pitchFamily="34" charset="0"/>
            </a:rPr>
            <a:t>To finish evaluating fully both alternatives, </a:t>
          </a:r>
          <a:r>
            <a:rPr lang="en-US" sz="1200" b="0" i="0" baseline="0">
              <a:solidFill>
                <a:srgbClr val="393F47"/>
              </a:solidFill>
              <a:effectLst/>
              <a:latin typeface="Arial" panose="020B0604020202020204" pitchFamily="34" charset="0"/>
              <a:ea typeface="+mn-ea"/>
              <a:cs typeface="Arial" panose="020B0604020202020204" pitchFamily="34" charset="0"/>
            </a:rPr>
            <a:t>your task is to now distribute the net equity cash flows from the </a:t>
          </a:r>
          <a:r>
            <a:rPr lang="en-US" sz="1200" b="1" i="0" baseline="0">
              <a:solidFill>
                <a:srgbClr val="393F47"/>
              </a:solidFill>
              <a:effectLst/>
              <a:latin typeface="Arial" panose="020B0604020202020204" pitchFamily="34" charset="0"/>
              <a:ea typeface="+mn-ea"/>
              <a:cs typeface="Arial" panose="020B0604020202020204" pitchFamily="34" charset="0"/>
            </a:rPr>
            <a:t>second</a:t>
          </a:r>
          <a:r>
            <a:rPr lang="en-US" sz="1200" b="0" i="0" baseline="0">
              <a:solidFill>
                <a:srgbClr val="393F47"/>
              </a:solidFill>
              <a:effectLst/>
              <a:latin typeface="Arial" panose="020B0604020202020204" pitchFamily="34" charset="0"/>
              <a:ea typeface="+mn-ea"/>
              <a:cs typeface="Arial" panose="020B0604020202020204" pitchFamily="34" charset="0"/>
            </a:rPr>
            <a:t> deal structure (available in row 118 of </a:t>
          </a:r>
          <a:r>
            <a:rPr lang="en-US" sz="1200" baseline="0">
              <a:solidFill>
                <a:srgbClr val="393F47"/>
              </a:solidFill>
              <a:effectLst/>
              <a:latin typeface="Arial" panose="020B0604020202020204" pitchFamily="34" charset="0"/>
              <a:ea typeface="+mn-ea"/>
              <a:cs typeface="Arial" panose="020B0604020202020204" pitchFamily="34" charset="0"/>
            </a:rPr>
            <a:t>"</a:t>
          </a:r>
          <a:r>
            <a:rPr lang="en-US" sz="1200" i="1" baseline="0">
              <a:solidFill>
                <a:srgbClr val="393F47"/>
              </a:solidFill>
              <a:effectLst/>
              <a:latin typeface="Arial" panose="020B0604020202020204" pitchFamily="34" charset="0"/>
              <a:ea typeface="+mn-ea"/>
              <a:cs typeface="Arial" panose="020B0604020202020204" pitchFamily="34" charset="0"/>
            </a:rPr>
            <a:t>Q1 - CAP Acct. 2</a:t>
          </a:r>
          <a:r>
            <a:rPr lang="en-US" sz="1200" baseline="0">
              <a:solidFill>
                <a:srgbClr val="393F47"/>
              </a:solidFill>
              <a:effectLst/>
              <a:latin typeface="Arial" panose="020B0604020202020204" pitchFamily="34" charset="0"/>
              <a:ea typeface="+mn-ea"/>
              <a:cs typeface="Arial" panose="020B0604020202020204" pitchFamily="34" charset="0"/>
            </a:rPr>
            <a:t>") in the "</a:t>
          </a:r>
          <a:r>
            <a:rPr lang="en-US" sz="1200" i="1" baseline="0">
              <a:solidFill>
                <a:srgbClr val="393F47"/>
              </a:solidFill>
              <a:effectLst/>
              <a:latin typeface="Arial" panose="020B0604020202020204" pitchFamily="34" charset="0"/>
              <a:ea typeface="+mn-ea"/>
              <a:cs typeface="Arial" panose="020B0604020202020204" pitchFamily="34" charset="0"/>
            </a:rPr>
            <a:t>Q3 - Equity Waterfall 2</a:t>
          </a:r>
          <a:r>
            <a:rPr lang="en-US" sz="1200" baseline="0">
              <a:solidFill>
                <a:srgbClr val="393F47"/>
              </a:solidFill>
              <a:effectLst/>
              <a:latin typeface="Arial" panose="020B0604020202020204" pitchFamily="34" charset="0"/>
              <a:ea typeface="+mn-ea"/>
              <a:cs typeface="Arial" panose="020B0604020202020204" pitchFamily="34" charset="0"/>
            </a:rPr>
            <a:t>" </a:t>
          </a:r>
          <a:r>
            <a:rPr lang="en-US" sz="1200" b="1" baseline="0">
              <a:solidFill>
                <a:schemeClr val="tx2">
                  <a:lumMod val="75000"/>
                </a:schemeClr>
              </a:solidFill>
              <a:effectLst/>
              <a:latin typeface="Arial" panose="020B0604020202020204" pitchFamily="34" charset="0"/>
              <a:ea typeface="+mn-ea"/>
              <a:cs typeface="Arial" panose="020B0604020202020204" pitchFamily="34" charset="0"/>
            </a:rPr>
            <a:t>navy blue</a:t>
          </a:r>
          <a:r>
            <a:rPr lang="en-US" sz="1200" baseline="0">
              <a:solidFill>
                <a:srgbClr val="393F47"/>
              </a:solidFill>
              <a:effectLst/>
              <a:latin typeface="Arial" panose="020B0604020202020204" pitchFamily="34" charset="0"/>
              <a:ea typeface="+mn-ea"/>
              <a:cs typeface="Arial" panose="020B0604020202020204" pitchFamily="34" charset="0"/>
            </a:rPr>
            <a:t> tab to match the partnership terms offered by SCP under the second deal structure.</a:t>
          </a:r>
          <a:r>
            <a:rPr lang="en-US" sz="1200" b="0" baseline="0">
              <a:solidFill>
                <a:srgbClr val="393F47"/>
              </a:solidFill>
              <a:effectLst/>
              <a:latin typeface="Arial" panose="020B0604020202020204" pitchFamily="34" charset="0"/>
              <a:ea typeface="+mn-ea"/>
              <a:cs typeface="Arial" panose="020B0604020202020204" pitchFamily="34" charset="0"/>
            </a:rPr>
            <a:t> </a:t>
          </a:r>
          <a:r>
            <a:rPr lang="en-US" sz="1200" b="0" i="0" baseline="0">
              <a:solidFill>
                <a:srgbClr val="393F47"/>
              </a:solidFill>
              <a:effectLst/>
              <a:latin typeface="Arial" panose="020B0604020202020204" pitchFamily="34" charset="0"/>
              <a:ea typeface="+mn-ea"/>
              <a:cs typeface="Arial" panose="020B0604020202020204" pitchFamily="34" charset="0"/>
            </a:rPr>
            <a:t>Note that the partnership agreement with SCP differs from the structure with Eagle Investments in that two hurdles must be met (EMx hurdle </a:t>
          </a:r>
          <a:r>
            <a:rPr lang="en-US" sz="1200" b="1" i="0" baseline="0">
              <a:solidFill>
                <a:srgbClr val="393F47"/>
              </a:solidFill>
              <a:effectLst/>
              <a:latin typeface="Arial" panose="020B0604020202020204" pitchFamily="34" charset="0"/>
              <a:ea typeface="+mn-ea"/>
              <a:cs typeface="Arial" panose="020B0604020202020204" pitchFamily="34" charset="0"/>
            </a:rPr>
            <a:t>AND</a:t>
          </a:r>
          <a:r>
            <a:rPr lang="en-US" sz="1200" b="0" i="0" baseline="0">
              <a:solidFill>
                <a:srgbClr val="393F47"/>
              </a:solidFill>
              <a:effectLst/>
              <a:latin typeface="Arial" panose="020B0604020202020204" pitchFamily="34" charset="0"/>
              <a:ea typeface="+mn-ea"/>
              <a:cs typeface="Arial" panose="020B0604020202020204" pitchFamily="34" charset="0"/>
            </a:rPr>
            <a:t> IRR hurdle) before moving on to the next tier of distribution. As before </a:t>
          </a:r>
          <a:r>
            <a:rPr lang="en-US" sz="1200" baseline="0">
              <a:solidFill>
                <a:srgbClr val="393F47"/>
              </a:solidFill>
              <a:effectLst/>
              <a:latin typeface="Arial" panose="020B0604020202020204" pitchFamily="34" charset="0"/>
              <a:ea typeface="+mn-ea"/>
              <a:cs typeface="Arial" panose="020B0604020202020204" pitchFamily="34" charset="0"/>
            </a:rPr>
            <a:t>"Net returns" for the G.P. must add back the acquisition/asset management/disposition fees to their post promote cash flows (row 130). This time the net returns to SCP must also include the preferred equity cash flows since SCP cumulates stakes in both the preferred equity stack and the common equity stack (row 140).</a:t>
          </a:r>
          <a:endParaRPr lang="en-US" sz="1200">
            <a:solidFill>
              <a:srgbClr val="393F47"/>
            </a:solidFill>
            <a:effectLst/>
            <a:latin typeface="Arial" panose="020B0604020202020204" pitchFamily="34" charset="0"/>
            <a:cs typeface="Arial" panose="020B0604020202020204" pitchFamily="34" charset="0"/>
          </a:endParaRPr>
        </a:p>
        <a:p>
          <a:pPr eaLnBrk="1" fontAlgn="auto" latinLnBrk="0" hangingPunct="1"/>
          <a:endParaRPr lang="en-US" sz="1100" baseline="0">
            <a:solidFill>
              <a:srgbClr val="393F47"/>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i="0" baseline="0">
              <a:solidFill>
                <a:srgbClr val="393F47"/>
              </a:solidFill>
              <a:effectLst/>
              <a:latin typeface="Arial" panose="020B0604020202020204" pitchFamily="34" charset="0"/>
              <a:ea typeface="+mn-ea"/>
              <a:cs typeface="Arial" panose="020B0604020202020204" pitchFamily="34" charset="0"/>
            </a:rPr>
            <a:t>Question 4: </a:t>
          </a:r>
          <a:r>
            <a:rPr lang="en-US" sz="1200" b="0" i="1">
              <a:solidFill>
                <a:srgbClr val="393F47"/>
              </a:solidFill>
              <a:latin typeface="Arial" panose="020B0604020202020204" pitchFamily="34" charset="0"/>
              <a:ea typeface="+mn-ea"/>
              <a:cs typeface="Arial" panose="020B0604020202020204" pitchFamily="34" charset="0"/>
            </a:rPr>
            <a:t>(10 points)</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Prepare a sensitivity analysis using data tables with self-referencing IF statements in the "</a:t>
          </a:r>
          <a:r>
            <a:rPr lang="en-US" sz="1200" i="1" baseline="0">
              <a:solidFill>
                <a:srgbClr val="393F47"/>
              </a:solidFill>
              <a:effectLst/>
              <a:latin typeface="Arial" panose="020B0604020202020204" pitchFamily="34" charset="0"/>
              <a:ea typeface="+mn-ea"/>
              <a:cs typeface="Arial" panose="020B0604020202020204" pitchFamily="34" charset="0"/>
            </a:rPr>
            <a:t>Summary Analysis</a:t>
          </a:r>
          <a:r>
            <a:rPr lang="en-US" sz="1200" baseline="0">
              <a:solidFill>
                <a:srgbClr val="393F47"/>
              </a:solidFill>
              <a:effectLst/>
              <a:latin typeface="Arial" panose="020B0604020202020204" pitchFamily="34" charset="0"/>
              <a:ea typeface="+mn-ea"/>
              <a:cs typeface="Arial" panose="020B0604020202020204" pitchFamily="34" charset="0"/>
            </a:rPr>
            <a:t>" tab. Make sure to collect for </a:t>
          </a:r>
          <a:r>
            <a:rPr lang="en-US" sz="1200" b="1" baseline="0">
              <a:solidFill>
                <a:srgbClr val="393F47"/>
              </a:solidFill>
              <a:effectLst/>
              <a:latin typeface="Arial" panose="020B0604020202020204" pitchFamily="34" charset="0"/>
              <a:ea typeface="+mn-ea"/>
              <a:cs typeface="Arial" panose="020B0604020202020204" pitchFamily="34" charset="0"/>
            </a:rPr>
            <a:t>BOTH</a:t>
          </a:r>
          <a:r>
            <a:rPr lang="en-US" sz="1200" baseline="0">
              <a:solidFill>
                <a:srgbClr val="393F47"/>
              </a:solidFill>
              <a:effectLst/>
              <a:latin typeface="Arial" panose="020B0604020202020204" pitchFamily="34" charset="0"/>
              <a:ea typeface="+mn-ea"/>
              <a:cs typeface="Arial" panose="020B0604020202020204" pitchFamily="34" charset="0"/>
            </a:rPr>
            <a:t> deal structures and under each of the economic scenarios: </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      [1] The net equity (post-fees but pre-promote): IRR, EMx, Net Profits.</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      [2] The L.P. net equity (post-fees, post promote and when appropriate inclusive of preferred equity cash flows): IRR, EMx and Net Profits. </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      [3] The G.P. net equity (inclusive of fees and post promote): IRR, EMx and Net Profits.</a:t>
          </a:r>
          <a:endParaRPr lang="en-US" sz="1200" b="1" i="0" baseline="0">
            <a:solidFill>
              <a:srgbClr val="393F47"/>
            </a:solidFill>
            <a:effectLst/>
            <a:latin typeface="Arial" panose="020B0604020202020204" pitchFamily="34" charset="0"/>
            <a:ea typeface="+mn-ea"/>
            <a:cs typeface="Arial" panose="020B0604020202020204" pitchFamily="34" charset="0"/>
          </a:endParaRPr>
        </a:p>
        <a:p>
          <a:pPr marL="0" indent="0" eaLnBrk="1" fontAlgn="auto" latinLnBrk="0" hangingPunct="1"/>
          <a:endParaRPr lang="en-US" sz="1100" b="1" i="0" baseline="0">
            <a:solidFill>
              <a:srgbClr val="393F47"/>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i="0" baseline="0">
              <a:solidFill>
                <a:srgbClr val="393F47"/>
              </a:solidFill>
              <a:effectLst/>
              <a:latin typeface="Arial" panose="020B0604020202020204" pitchFamily="34" charset="0"/>
              <a:ea typeface="+mn-ea"/>
              <a:cs typeface="Arial" panose="020B0604020202020204" pitchFamily="34" charset="0"/>
            </a:rPr>
            <a:t>Question 5: </a:t>
          </a:r>
          <a:r>
            <a:rPr lang="en-US" sz="1200" b="0" i="1">
              <a:solidFill>
                <a:srgbClr val="393F47"/>
              </a:solidFill>
              <a:latin typeface="Arial" panose="020B0604020202020204" pitchFamily="34" charset="0"/>
              <a:ea typeface="+mn-ea"/>
              <a:cs typeface="Arial" panose="020B0604020202020204" pitchFamily="34" charset="0"/>
            </a:rPr>
            <a:t>(10 points)</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Compare net equity returns (post-fees but pre-promote) between the two deal structures. Which alternative yields the highest expected returns? Which alternative yields the smallest potential losses? What deal structures comes with the highest returns per unit of risk? What would you recommend? Make sure to discuss your recommendation. </a:t>
          </a:r>
          <a:endParaRPr lang="en-US" sz="1200">
            <a:solidFill>
              <a:srgbClr val="393F47"/>
            </a:solidFill>
            <a:effectLst/>
            <a:latin typeface="Arial" panose="020B0604020202020204" pitchFamily="34" charset="0"/>
            <a:cs typeface="Arial" panose="020B0604020202020204" pitchFamily="34" charset="0"/>
          </a:endParaRPr>
        </a:p>
        <a:p>
          <a:endParaRPr lang="en-US" sz="1100" baseline="0">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rgbClr val="393F47"/>
              </a:solidFill>
              <a:latin typeface="Arial" panose="020B0604020202020204" pitchFamily="34" charset="0"/>
              <a:ea typeface="+mn-ea"/>
              <a:cs typeface="Arial" panose="020B0604020202020204" pitchFamily="34" charset="0"/>
            </a:rPr>
            <a:t>Question 6: </a:t>
          </a:r>
          <a:r>
            <a:rPr lang="en-US" sz="1200" b="0" i="1">
              <a:solidFill>
                <a:srgbClr val="393F47"/>
              </a:solidFill>
              <a:latin typeface="Arial" panose="020B0604020202020204" pitchFamily="34" charset="0"/>
              <a:ea typeface="+mn-ea"/>
              <a:cs typeface="Arial" panose="020B0604020202020204" pitchFamily="34" charset="0"/>
            </a:rPr>
            <a:t>(10 points)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393F47"/>
              </a:solidFill>
              <a:latin typeface="Arial" panose="020B0604020202020204" pitchFamily="34" charset="0"/>
              <a:ea typeface="+mn-ea"/>
              <a:cs typeface="Arial" panose="020B0604020202020204" pitchFamily="34" charset="0"/>
            </a:rPr>
            <a:t>Compare L.P.s total returns between the two deal structures. </a:t>
          </a:r>
          <a:r>
            <a:rPr lang="en-US" sz="1200" baseline="0">
              <a:solidFill>
                <a:srgbClr val="393F47"/>
              </a:solidFill>
              <a:effectLst/>
              <a:latin typeface="Arial" panose="020B0604020202020204" pitchFamily="34" charset="0"/>
              <a:ea typeface="+mn-ea"/>
              <a:cs typeface="Arial" panose="020B0604020202020204" pitchFamily="34" charset="0"/>
            </a:rPr>
            <a:t>Which alternative yields the highest expected returns? Which alternative yields the smallest potential losses? What deal structures comes with the highest returns per unit of risk? How would this impact the co-investor performance? What would you recommend? Make sure to discuss your recommendation. </a:t>
          </a:r>
          <a:endParaRPr lang="en-US" sz="1200">
            <a:solidFill>
              <a:srgbClr val="393F47"/>
            </a:solidFill>
            <a:effectLst/>
            <a:latin typeface="Arial" panose="020B0604020202020204" pitchFamily="34" charset="0"/>
            <a:cs typeface="Arial" panose="020B0604020202020204" pitchFamily="34" charset="0"/>
          </a:endParaRPr>
        </a:p>
        <a:p>
          <a:endParaRPr lang="en-US" sz="1100" baseline="0">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393F47"/>
              </a:solidFill>
              <a:latin typeface="Arial" panose="020B0604020202020204" pitchFamily="34" charset="0"/>
              <a:ea typeface="+mn-ea"/>
              <a:cs typeface="Arial" panose="020B0604020202020204" pitchFamily="34" charset="0"/>
            </a:rPr>
            <a:t>Question 7: </a:t>
          </a:r>
          <a:r>
            <a:rPr lang="en-US" sz="1200" b="0" i="1">
              <a:solidFill>
                <a:srgbClr val="393F47"/>
              </a:solidFill>
              <a:latin typeface="Arial" panose="020B0604020202020204" pitchFamily="34" charset="0"/>
              <a:ea typeface="+mn-ea"/>
              <a:cs typeface="Arial" panose="020B0604020202020204" pitchFamily="34" charset="0"/>
            </a:rPr>
            <a:t>(10 points)</a:t>
          </a:r>
        </a:p>
        <a:p>
          <a:pPr eaLnBrk="1" fontAlgn="auto" latinLnBrk="0" hangingPunct="1"/>
          <a:r>
            <a:rPr lang="en-US" sz="1200" baseline="0">
              <a:solidFill>
                <a:srgbClr val="393F47"/>
              </a:solidFill>
              <a:effectLst/>
              <a:latin typeface="Arial" panose="020B0604020202020204" pitchFamily="34" charset="0"/>
              <a:ea typeface="+mn-ea"/>
              <a:cs typeface="Arial" panose="020B0604020202020204" pitchFamily="34" charset="0"/>
            </a:rPr>
            <a:t>Compare Sponsor/G.P.s total returns between the two deal structures. Which alternative yields the highest expected returns? Which alternative yields the smallest potential losses? What deal structures comes with the highest returns per unit of risk? How does that funding choice impact the sponsor? Make sure to discuss your recommendation.</a:t>
          </a:r>
          <a:endParaRPr lang="en-US" sz="1200">
            <a:solidFill>
              <a:srgbClr val="393F47"/>
            </a:solidFill>
            <a:effectLst/>
            <a:latin typeface="Arial" panose="020B0604020202020204" pitchFamily="34" charset="0"/>
            <a:cs typeface="Arial" panose="020B0604020202020204" pitchFamily="34" charset="0"/>
          </a:endParaRPr>
        </a:p>
        <a:p>
          <a:endParaRPr lang="en-US" sz="1100" b="1">
            <a:solidFill>
              <a:srgbClr val="393F47"/>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rgbClr val="393F47"/>
              </a:solidFill>
              <a:latin typeface="Arial" panose="020B0604020202020204" pitchFamily="34" charset="0"/>
              <a:ea typeface="+mn-ea"/>
              <a:cs typeface="Arial" panose="020B0604020202020204" pitchFamily="34" charset="0"/>
            </a:rPr>
            <a:t>Question 8: </a:t>
          </a:r>
          <a:r>
            <a:rPr lang="en-US" sz="1200" b="0" i="1">
              <a:solidFill>
                <a:srgbClr val="393F47"/>
              </a:solidFill>
              <a:latin typeface="Arial" panose="020B0604020202020204" pitchFamily="34" charset="0"/>
              <a:ea typeface="+mn-ea"/>
              <a:cs typeface="Arial" panose="020B0604020202020204" pitchFamily="34" charset="0"/>
            </a:rPr>
            <a:t>(10 points)</a:t>
          </a:r>
        </a:p>
        <a:p>
          <a:r>
            <a:rPr lang="en-US" sz="1200" b="0" i="0" u="none" strike="noStrike" baseline="0">
              <a:solidFill>
                <a:srgbClr val="393F47"/>
              </a:solidFill>
              <a:latin typeface="Arial" panose="020B0604020202020204" pitchFamily="34" charset="0"/>
              <a:ea typeface="+mn-ea"/>
              <a:cs typeface="Arial" panose="020B0604020202020204" pitchFamily="34" charset="0"/>
            </a:rPr>
            <a:t>Conclude this case by including all aspects of your analysis to make a thoughtful recommendation regarding how to structure this deal. Your recommendation should include risk adjusted metrics, simplicity of execution and possibility to modify the deal (and if so to what). </a:t>
          </a:r>
        </a:p>
      </xdr:txBody>
    </xdr:sp>
    <xdr:clientData/>
  </xdr:twoCellAnchor>
  <xdr:twoCellAnchor editAs="oneCell">
    <xdr:from>
      <xdr:col>1</xdr:col>
      <xdr:colOff>0</xdr:colOff>
      <xdr:row>113</xdr:row>
      <xdr:rowOff>25066</xdr:rowOff>
    </xdr:from>
    <xdr:to>
      <xdr:col>4</xdr:col>
      <xdr:colOff>554236</xdr:colOff>
      <xdr:row>117</xdr:row>
      <xdr:rowOff>213060</xdr:rowOff>
    </xdr:to>
    <xdr:pic>
      <xdr:nvPicPr>
        <xdr:cNvPr id="11" name="Picture 10">
          <a:extLst>
            <a:ext uri="{FF2B5EF4-FFF2-40B4-BE49-F238E27FC236}">
              <a16:creationId xmlns:a16="http://schemas.microsoft.com/office/drawing/2014/main" id="{725C464F-6AAE-4177-A5B4-45E3AAECD1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257" y="22170691"/>
          <a:ext cx="5868183" cy="8773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87</xdr:row>
      <xdr:rowOff>224790</xdr:rowOff>
    </xdr:from>
    <xdr:to>
      <xdr:col>10</xdr:col>
      <xdr:colOff>1905</xdr:colOff>
      <xdr:row>87</xdr:row>
      <xdr:rowOff>224790</xdr:rowOff>
    </xdr:to>
    <xdr:cxnSp macro="">
      <xdr:nvCxnSpPr>
        <xdr:cNvPr id="7" name="Straight Connector 6">
          <a:extLst>
            <a:ext uri="{FF2B5EF4-FFF2-40B4-BE49-F238E27FC236}">
              <a16:creationId xmlns:a16="http://schemas.microsoft.com/office/drawing/2014/main" id="{18505350-78DA-4AA9-BCD0-CDDA946BDF8E}"/>
            </a:ext>
          </a:extLst>
        </xdr:cNvPr>
        <xdr:cNvCxnSpPr/>
      </xdr:nvCxnSpPr>
      <xdr:spPr>
        <a:xfrm flipV="1">
          <a:off x="285750" y="16988790"/>
          <a:ext cx="11984355"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7620</xdr:colOff>
      <xdr:row>37</xdr:row>
      <xdr:rowOff>45720</xdr:rowOff>
    </xdr:from>
    <xdr:to>
      <xdr:col>3</xdr:col>
      <xdr:colOff>487680</xdr:colOff>
      <xdr:row>51</xdr:row>
      <xdr:rowOff>121920</xdr:rowOff>
    </xdr:to>
    <xdr:graphicFrame macro="">
      <xdr:nvGraphicFramePr>
        <xdr:cNvPr id="2" name="Chart 1">
          <a:extLst>
            <a:ext uri="{FF2B5EF4-FFF2-40B4-BE49-F238E27FC236}">
              <a16:creationId xmlns:a16="http://schemas.microsoft.com/office/drawing/2014/main" id="{F316FD7D-7DCD-452E-9FA3-D03EEE8ED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37</xdr:row>
      <xdr:rowOff>45720</xdr:rowOff>
    </xdr:from>
    <xdr:to>
      <xdr:col>7</xdr:col>
      <xdr:colOff>1531620</xdr:colOff>
      <xdr:row>51</xdr:row>
      <xdr:rowOff>121920</xdr:rowOff>
    </xdr:to>
    <xdr:graphicFrame macro="">
      <xdr:nvGraphicFramePr>
        <xdr:cNvPr id="9" name="Chart 8">
          <a:extLst>
            <a:ext uri="{FF2B5EF4-FFF2-40B4-BE49-F238E27FC236}">
              <a16:creationId xmlns:a16="http://schemas.microsoft.com/office/drawing/2014/main" id="{8B4E44F7-FFDD-4D0D-86F7-6398D4D4C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88</xdr:row>
      <xdr:rowOff>9525</xdr:rowOff>
    </xdr:from>
    <xdr:to>
      <xdr:col>4</xdr:col>
      <xdr:colOff>1029483</xdr:colOff>
      <xdr:row>93</xdr:row>
      <xdr:rowOff>1003</xdr:rowOff>
    </xdr:to>
    <xdr:pic>
      <xdr:nvPicPr>
        <xdr:cNvPr id="4" name="Picture 3">
          <a:extLst>
            <a:ext uri="{FF2B5EF4-FFF2-40B4-BE49-F238E27FC236}">
              <a16:creationId xmlns:a16="http://schemas.microsoft.com/office/drawing/2014/main" id="{60216FEA-AAD1-4BC4-8588-B8CAE2705F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750" y="17002125"/>
          <a:ext cx="5868183" cy="8773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55</xdr:row>
      <xdr:rowOff>224790</xdr:rowOff>
    </xdr:from>
    <xdr:to>
      <xdr:col>12</xdr:col>
      <xdr:colOff>883920</xdr:colOff>
      <xdr:row>55</xdr:row>
      <xdr:rowOff>224790</xdr:rowOff>
    </xdr:to>
    <xdr:cxnSp macro="">
      <xdr:nvCxnSpPr>
        <xdr:cNvPr id="4" name="Straight Connector 3">
          <a:extLst>
            <a:ext uri="{FF2B5EF4-FFF2-40B4-BE49-F238E27FC236}">
              <a16:creationId xmlns:a16="http://schemas.microsoft.com/office/drawing/2014/main" id="{358F0921-7BD8-4D88-9D81-2DFF67FFB35B}"/>
            </a:ext>
          </a:extLst>
        </xdr:cNvPr>
        <xdr:cNvCxnSpPr/>
      </xdr:nvCxnSpPr>
      <xdr:spPr>
        <a:xfrm flipV="1">
          <a:off x="285750" y="10816590"/>
          <a:ext cx="12513945"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56</xdr:row>
      <xdr:rowOff>9525</xdr:rowOff>
    </xdr:from>
    <xdr:to>
      <xdr:col>5</xdr:col>
      <xdr:colOff>638958</xdr:colOff>
      <xdr:row>60</xdr:row>
      <xdr:rowOff>191503</xdr:rowOff>
    </xdr:to>
    <xdr:pic>
      <xdr:nvPicPr>
        <xdr:cNvPr id="3" name="Picture 2">
          <a:extLst>
            <a:ext uri="{FF2B5EF4-FFF2-40B4-BE49-F238E27FC236}">
              <a16:creationId xmlns:a16="http://schemas.microsoft.com/office/drawing/2014/main" id="{ECF73C7F-7AE5-4DF9-97B7-01FC4D541A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10829925"/>
          <a:ext cx="5868183" cy="8773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960120</xdr:colOff>
      <xdr:row>13</xdr:row>
      <xdr:rowOff>163830</xdr:rowOff>
    </xdr:from>
    <xdr:to>
      <xdr:col>10</xdr:col>
      <xdr:colOff>68580</xdr:colOff>
      <xdr:row>33</xdr:row>
      <xdr:rowOff>15240</xdr:rowOff>
    </xdr:to>
    <xdr:graphicFrame macro="">
      <xdr:nvGraphicFramePr>
        <xdr:cNvPr id="3" name="Chart 2">
          <a:extLst>
            <a:ext uri="{FF2B5EF4-FFF2-40B4-BE49-F238E27FC236}">
              <a16:creationId xmlns:a16="http://schemas.microsoft.com/office/drawing/2014/main" id="{3A11BC4E-51B6-4F35-BDA8-F23841457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35</xdr:row>
      <xdr:rowOff>15240</xdr:rowOff>
    </xdr:from>
    <xdr:to>
      <xdr:col>12</xdr:col>
      <xdr:colOff>556260</xdr:colOff>
      <xdr:row>35</xdr:row>
      <xdr:rowOff>15240</xdr:rowOff>
    </xdr:to>
    <xdr:cxnSp macro="">
      <xdr:nvCxnSpPr>
        <xdr:cNvPr id="6" name="Straight Connector 5">
          <a:extLst>
            <a:ext uri="{FF2B5EF4-FFF2-40B4-BE49-F238E27FC236}">
              <a16:creationId xmlns:a16="http://schemas.microsoft.com/office/drawing/2014/main" id="{5B996E71-849D-4100-B00C-383166BCE799}"/>
            </a:ext>
          </a:extLst>
        </xdr:cNvPr>
        <xdr:cNvCxnSpPr/>
      </xdr:nvCxnSpPr>
      <xdr:spPr>
        <a:xfrm flipV="1">
          <a:off x="285750" y="6501765"/>
          <a:ext cx="914781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35</xdr:row>
      <xdr:rowOff>9525</xdr:rowOff>
    </xdr:from>
    <xdr:to>
      <xdr:col>7</xdr:col>
      <xdr:colOff>229383</xdr:colOff>
      <xdr:row>39</xdr:row>
      <xdr:rowOff>191503</xdr:rowOff>
    </xdr:to>
    <xdr:pic>
      <xdr:nvPicPr>
        <xdr:cNvPr id="4" name="Picture 3">
          <a:extLst>
            <a:ext uri="{FF2B5EF4-FFF2-40B4-BE49-F238E27FC236}">
              <a16:creationId xmlns:a16="http://schemas.microsoft.com/office/drawing/2014/main" id="{46135B68-1A06-4024-B0D7-60904CEF64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5750" y="6496050"/>
          <a:ext cx="5868183" cy="8773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38</xdr:row>
      <xdr:rowOff>3810</xdr:rowOff>
    </xdr:from>
    <xdr:to>
      <xdr:col>12</xdr:col>
      <xdr:colOff>716280</xdr:colOff>
      <xdr:row>38</xdr:row>
      <xdr:rowOff>3810</xdr:rowOff>
    </xdr:to>
    <xdr:cxnSp macro="">
      <xdr:nvCxnSpPr>
        <xdr:cNvPr id="4" name="Straight Connector 3">
          <a:extLst>
            <a:ext uri="{FF2B5EF4-FFF2-40B4-BE49-F238E27FC236}">
              <a16:creationId xmlns:a16="http://schemas.microsoft.com/office/drawing/2014/main" id="{16B0B4AA-AC4D-4E2F-B4AF-7541DBA219AB}"/>
            </a:ext>
          </a:extLst>
        </xdr:cNvPr>
        <xdr:cNvCxnSpPr/>
      </xdr:nvCxnSpPr>
      <xdr:spPr>
        <a:xfrm flipV="1">
          <a:off x="285750" y="7728585"/>
          <a:ext cx="1669923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1629291</xdr:colOff>
      <xdr:row>7</xdr:row>
      <xdr:rowOff>155319</xdr:rowOff>
    </xdr:from>
    <xdr:to>
      <xdr:col>12</xdr:col>
      <xdr:colOff>481440</xdr:colOff>
      <xdr:row>35</xdr:row>
      <xdr:rowOff>182879</xdr:rowOff>
    </xdr:to>
    <xdr:grpSp>
      <xdr:nvGrpSpPr>
        <xdr:cNvPr id="51" name="Group 50">
          <a:extLst>
            <a:ext uri="{FF2B5EF4-FFF2-40B4-BE49-F238E27FC236}">
              <a16:creationId xmlns:a16="http://schemas.microsoft.com/office/drawing/2014/main" id="{427E7A5B-DDF1-4A67-81CC-234DC92EA68F}"/>
            </a:ext>
          </a:extLst>
        </xdr:cNvPr>
        <xdr:cNvGrpSpPr>
          <a:grpSpLocks noChangeAspect="1"/>
        </xdr:cNvGrpSpPr>
      </xdr:nvGrpSpPr>
      <xdr:grpSpPr>
        <a:xfrm>
          <a:off x="9259821" y="1629351"/>
          <a:ext cx="8737656" cy="5357175"/>
          <a:chOff x="905391" y="722906"/>
          <a:chExt cx="8392389" cy="5813985"/>
        </a:xfrm>
      </xdr:grpSpPr>
      <xdr:grpSp>
        <xdr:nvGrpSpPr>
          <xdr:cNvPr id="6" name="Group 5">
            <a:extLst>
              <a:ext uri="{FF2B5EF4-FFF2-40B4-BE49-F238E27FC236}">
                <a16:creationId xmlns:a16="http://schemas.microsoft.com/office/drawing/2014/main" id="{EE36EAB4-7F85-4BB0-8D2F-7574583DFF16}"/>
              </a:ext>
            </a:extLst>
          </xdr:cNvPr>
          <xdr:cNvGrpSpPr/>
        </xdr:nvGrpSpPr>
        <xdr:grpSpPr>
          <a:xfrm>
            <a:off x="905391" y="722906"/>
            <a:ext cx="8392389" cy="5813985"/>
            <a:chOff x="1545471" y="722906"/>
            <a:chExt cx="6548349" cy="5813985"/>
          </a:xfrm>
        </xdr:grpSpPr>
        <xdr:cxnSp macro="">
          <xdr:nvCxnSpPr>
            <xdr:cNvPr id="7" name="Straight Arrow Connector 6">
              <a:extLst>
                <a:ext uri="{FF2B5EF4-FFF2-40B4-BE49-F238E27FC236}">
                  <a16:creationId xmlns:a16="http://schemas.microsoft.com/office/drawing/2014/main" id="{2C618E7A-69FA-4CE3-A01B-6E68E11F88F8}"/>
                </a:ext>
              </a:extLst>
            </xdr:cNvPr>
            <xdr:cNvCxnSpPr>
              <a:cxnSpLocks/>
              <a:stCxn id="12" idx="2"/>
            </xdr:cNvCxnSpPr>
          </xdr:nvCxnSpPr>
          <xdr:spPr>
            <a:xfrm flipH="1">
              <a:off x="4806831" y="2514599"/>
              <a:ext cx="0" cy="631244"/>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64CB00E3-4C13-4B1E-A216-4738E8999C75}"/>
                </a:ext>
              </a:extLst>
            </xdr:cNvPr>
            <xdr:cNvCxnSpPr/>
          </xdr:nvCxnSpPr>
          <xdr:spPr>
            <a:xfrm>
              <a:off x="1545471" y="1272022"/>
              <a:ext cx="2834640" cy="0"/>
            </a:xfrm>
            <a:prstGeom prst="line">
              <a:avLst/>
            </a:prstGeom>
            <a:ln w="19050">
              <a:solidFill>
                <a:srgbClr val="2F75B5"/>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a:extLst>
                <a:ext uri="{FF2B5EF4-FFF2-40B4-BE49-F238E27FC236}">
                  <a16:creationId xmlns:a16="http://schemas.microsoft.com/office/drawing/2014/main" id="{EA9079F2-AF46-4481-85E7-F7F0456C45E0}"/>
                </a:ext>
              </a:extLst>
            </xdr:cNvPr>
            <xdr:cNvCxnSpPr/>
          </xdr:nvCxnSpPr>
          <xdr:spPr>
            <a:xfrm>
              <a:off x="5216233" y="1272022"/>
              <a:ext cx="2834640" cy="0"/>
            </a:xfrm>
            <a:prstGeom prst="line">
              <a:avLst/>
            </a:prstGeom>
            <a:ln w="19050">
              <a:solidFill>
                <a:srgbClr val="2F75B5"/>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BDFD335E-F7C4-4917-B679-DCA67E50FB1F}"/>
                </a:ext>
              </a:extLst>
            </xdr:cNvPr>
            <xdr:cNvCxnSpPr/>
          </xdr:nvCxnSpPr>
          <xdr:spPr>
            <a:xfrm>
              <a:off x="4383574" y="1272021"/>
              <a:ext cx="0" cy="46482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 name="Straight Arrow Connector 10">
              <a:extLst>
                <a:ext uri="{FF2B5EF4-FFF2-40B4-BE49-F238E27FC236}">
                  <a16:creationId xmlns:a16="http://schemas.microsoft.com/office/drawing/2014/main" id="{811E458D-283A-47B4-A509-5BBA52969C00}"/>
                </a:ext>
              </a:extLst>
            </xdr:cNvPr>
            <xdr:cNvCxnSpPr/>
          </xdr:nvCxnSpPr>
          <xdr:spPr>
            <a:xfrm>
              <a:off x="5224545" y="1272021"/>
              <a:ext cx="0" cy="46482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Rectangle 11">
              <a:extLst>
                <a:ext uri="{FF2B5EF4-FFF2-40B4-BE49-F238E27FC236}">
                  <a16:creationId xmlns:a16="http://schemas.microsoft.com/office/drawing/2014/main" id="{B3D91A90-0271-480C-A49E-09B22394A495}"/>
                </a:ext>
              </a:extLst>
            </xdr:cNvPr>
            <xdr:cNvSpPr/>
          </xdr:nvSpPr>
          <xdr:spPr>
            <a:xfrm>
              <a:off x="3701237" y="2148839"/>
              <a:ext cx="2222264"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latin typeface="Arial" panose="020B0604020202020204" pitchFamily="34" charset="0"/>
                <a:cs typeface="Arial" panose="020B0604020202020204" pitchFamily="34" charset="0"/>
              </a:endParaRPr>
            </a:p>
          </xdr:txBody>
        </xdr:sp>
        <xdr:sp macro="" textlink="">
          <xdr:nvSpPr>
            <xdr:cNvPr id="13" name="TextBox 11">
              <a:extLst>
                <a:ext uri="{FF2B5EF4-FFF2-40B4-BE49-F238E27FC236}">
                  <a16:creationId xmlns:a16="http://schemas.microsoft.com/office/drawing/2014/main" id="{34350139-854A-4A06-AF40-E444D7DEA521}"/>
                </a:ext>
              </a:extLst>
            </xdr:cNvPr>
            <xdr:cNvSpPr txBox="1"/>
          </xdr:nvSpPr>
          <xdr:spPr>
            <a:xfrm>
              <a:off x="3783673" y="1733669"/>
              <a:ext cx="2072633"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Capital Accounts</a:t>
              </a:r>
            </a:p>
          </xdr:txBody>
        </xdr:sp>
        <xdr:sp macro="" textlink="">
          <xdr:nvSpPr>
            <xdr:cNvPr id="14" name="TextBox 12">
              <a:extLst>
                <a:ext uri="{FF2B5EF4-FFF2-40B4-BE49-F238E27FC236}">
                  <a16:creationId xmlns:a16="http://schemas.microsoft.com/office/drawing/2014/main" id="{2D0082E1-AE29-4C63-96F9-56BAC1B21938}"/>
                </a:ext>
              </a:extLst>
            </xdr:cNvPr>
            <xdr:cNvSpPr txBox="1"/>
          </xdr:nvSpPr>
          <xdr:spPr>
            <a:xfrm>
              <a:off x="3693617" y="2177426"/>
              <a:ext cx="2222264"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Equity CF net of Fees</a:t>
              </a:r>
            </a:p>
          </xdr:txBody>
        </xdr:sp>
        <xdr:sp macro="" textlink="">
          <xdr:nvSpPr>
            <xdr:cNvPr id="15" name="TextBox 13">
              <a:extLst>
                <a:ext uri="{FF2B5EF4-FFF2-40B4-BE49-F238E27FC236}">
                  <a16:creationId xmlns:a16="http://schemas.microsoft.com/office/drawing/2014/main" id="{77A96F61-8FA6-4120-AFC7-48FF28EC9E20}"/>
                </a:ext>
              </a:extLst>
            </xdr:cNvPr>
            <xdr:cNvSpPr txBox="1"/>
          </xdr:nvSpPr>
          <xdr:spPr>
            <a:xfrm>
              <a:off x="1775331" y="725676"/>
              <a:ext cx="2222264"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NOI + Sale Proceeds</a:t>
              </a:r>
            </a:p>
          </xdr:txBody>
        </xdr:sp>
        <xdr:sp macro="" textlink="">
          <xdr:nvSpPr>
            <xdr:cNvPr id="16" name="TextBox 14">
              <a:extLst>
                <a:ext uri="{FF2B5EF4-FFF2-40B4-BE49-F238E27FC236}">
                  <a16:creationId xmlns:a16="http://schemas.microsoft.com/office/drawing/2014/main" id="{D12071B8-E3A0-4EDB-BD80-A2608418D503}"/>
                </a:ext>
              </a:extLst>
            </xdr:cNvPr>
            <xdr:cNvSpPr txBox="1"/>
          </xdr:nvSpPr>
          <xdr:spPr>
            <a:xfrm>
              <a:off x="5501640" y="722906"/>
              <a:ext cx="2508348"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Development Costs + Loan Repayment</a:t>
              </a:r>
            </a:p>
          </xdr:txBody>
        </xdr:sp>
        <xdr:sp macro="" textlink="">
          <xdr:nvSpPr>
            <xdr:cNvPr id="17" name="TextBox 15">
              <a:extLst>
                <a:ext uri="{FF2B5EF4-FFF2-40B4-BE49-F238E27FC236}">
                  <a16:creationId xmlns:a16="http://schemas.microsoft.com/office/drawing/2014/main" id="{EB6ED474-B6FF-4BFC-A792-01E4D15BC2C5}"/>
                </a:ext>
              </a:extLst>
            </xdr:cNvPr>
            <xdr:cNvSpPr txBox="1"/>
          </xdr:nvSpPr>
          <xdr:spPr>
            <a:xfrm>
              <a:off x="1548934" y="2107631"/>
              <a:ext cx="1371600" cy="4572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Co-Investor (L.P.)</a:t>
              </a:r>
            </a:p>
            <a:p>
              <a:pPr algn="ctr"/>
              <a:r>
                <a:rPr lang="en-US" sz="1200">
                  <a:solidFill>
                    <a:srgbClr val="B31B1B"/>
                  </a:solidFill>
                  <a:latin typeface="Arial" panose="020B0604020202020204" pitchFamily="34" charset="0"/>
                  <a:cs typeface="Arial" panose="020B0604020202020204" pitchFamily="34" charset="0"/>
                </a:rPr>
                <a:t>Contributed 90%</a:t>
              </a:r>
            </a:p>
          </xdr:txBody>
        </xdr:sp>
        <xdr:sp macro="" textlink="">
          <xdr:nvSpPr>
            <xdr:cNvPr id="18" name="TextBox 16">
              <a:extLst>
                <a:ext uri="{FF2B5EF4-FFF2-40B4-BE49-F238E27FC236}">
                  <a16:creationId xmlns:a16="http://schemas.microsoft.com/office/drawing/2014/main" id="{652E84BE-7828-4896-A887-3ABD9EB95213}"/>
                </a:ext>
              </a:extLst>
            </xdr:cNvPr>
            <xdr:cNvSpPr txBox="1"/>
          </xdr:nvSpPr>
          <xdr:spPr>
            <a:xfrm>
              <a:off x="6722220" y="2098779"/>
              <a:ext cx="1371600" cy="4572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Sponsor (G.P.)</a:t>
              </a:r>
            </a:p>
            <a:p>
              <a:pPr algn="ctr"/>
              <a:r>
                <a:rPr lang="en-US" sz="1200">
                  <a:solidFill>
                    <a:srgbClr val="B31B1B"/>
                  </a:solidFill>
                  <a:latin typeface="Arial" panose="020B0604020202020204" pitchFamily="34" charset="0"/>
                  <a:cs typeface="Arial" panose="020B0604020202020204" pitchFamily="34" charset="0"/>
                </a:rPr>
                <a:t>Contributed 10%</a:t>
              </a:r>
            </a:p>
          </xdr:txBody>
        </xdr:sp>
        <xdr:sp macro="" textlink="">
          <xdr:nvSpPr>
            <xdr:cNvPr id="19" name="TextBox 17">
              <a:extLst>
                <a:ext uri="{FF2B5EF4-FFF2-40B4-BE49-F238E27FC236}">
                  <a16:creationId xmlns:a16="http://schemas.microsoft.com/office/drawing/2014/main" id="{CCA1AB4E-8EB5-4AB5-BC7C-4E29595C460F}"/>
                </a:ext>
              </a:extLst>
            </xdr:cNvPr>
            <xdr:cNvSpPr txBox="1"/>
          </xdr:nvSpPr>
          <xdr:spPr>
            <a:xfrm>
              <a:off x="3776052" y="2683944"/>
              <a:ext cx="2072633" cy="242136"/>
            </a:xfrm>
            <a:prstGeom prst="rect">
              <a:avLst/>
            </a:prstGeom>
            <a:solidFill>
              <a:schemeClr val="bg1"/>
            </a:solid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1</a:t>
              </a:r>
            </a:p>
          </xdr:txBody>
        </xdr:sp>
        <xdr:sp macro="" textlink="">
          <xdr:nvSpPr>
            <xdr:cNvPr id="20" name="Rectangle 19">
              <a:extLst>
                <a:ext uri="{FF2B5EF4-FFF2-40B4-BE49-F238E27FC236}">
                  <a16:creationId xmlns:a16="http://schemas.microsoft.com/office/drawing/2014/main" id="{11375C10-40F3-4545-9E8A-6854274191F2}"/>
                </a:ext>
              </a:extLst>
            </xdr:cNvPr>
            <xdr:cNvSpPr/>
          </xdr:nvSpPr>
          <xdr:spPr>
            <a:xfrm>
              <a:off x="3542603" y="3139658"/>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1" name="TextBox 22">
              <a:extLst>
                <a:ext uri="{FF2B5EF4-FFF2-40B4-BE49-F238E27FC236}">
                  <a16:creationId xmlns:a16="http://schemas.microsoft.com/office/drawing/2014/main" id="{354786B7-851F-4CCF-8C2B-FEF2DFC41283}"/>
                </a:ext>
              </a:extLst>
            </xdr:cNvPr>
            <xdr:cNvSpPr txBox="1"/>
          </xdr:nvSpPr>
          <xdr:spPr>
            <a:xfrm>
              <a:off x="3646515" y="3170300"/>
              <a:ext cx="232478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Preferred Distribution</a:t>
              </a:r>
            </a:p>
          </xdr:txBody>
        </xdr:sp>
        <xdr:sp macro="" textlink="">
          <xdr:nvSpPr>
            <xdr:cNvPr id="22" name="TextBox 24">
              <a:extLst>
                <a:ext uri="{FF2B5EF4-FFF2-40B4-BE49-F238E27FC236}">
                  <a16:creationId xmlns:a16="http://schemas.microsoft.com/office/drawing/2014/main" id="{F5463393-5EB7-44DC-BA23-AA3FBE73E3BB}"/>
                </a:ext>
              </a:extLst>
            </xdr:cNvPr>
            <xdr:cNvSpPr txBox="1"/>
          </xdr:nvSpPr>
          <xdr:spPr>
            <a:xfrm>
              <a:off x="1546860" y="3093611"/>
              <a:ext cx="1371600" cy="44640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100% of Equity CF</a:t>
              </a:r>
            </a:p>
            <a:p>
              <a:pPr algn="ctr"/>
              <a:r>
                <a:rPr lang="en-US" sz="1200">
                  <a:solidFill>
                    <a:srgbClr val="393F47"/>
                  </a:solidFill>
                  <a:latin typeface="Arial" panose="020B0604020202020204" pitchFamily="34" charset="0"/>
                  <a:cs typeface="Arial" panose="020B0604020202020204" pitchFamily="34" charset="0"/>
                </a:rPr>
                <a:t>Until EMx = 1.25x</a:t>
              </a:r>
            </a:p>
          </xdr:txBody>
        </xdr:sp>
        <xdr:cxnSp macro="">
          <xdr:nvCxnSpPr>
            <xdr:cNvPr id="24" name="Straight Arrow Connector 23">
              <a:extLst>
                <a:ext uri="{FF2B5EF4-FFF2-40B4-BE49-F238E27FC236}">
                  <a16:creationId xmlns:a16="http://schemas.microsoft.com/office/drawing/2014/main" id="{855703A8-3DE1-4B03-8423-97851C8299D7}"/>
                </a:ext>
              </a:extLst>
            </xdr:cNvPr>
            <xdr:cNvCxnSpPr>
              <a:cxnSpLocks/>
            </xdr:cNvCxnSpPr>
          </xdr:nvCxnSpPr>
          <xdr:spPr>
            <a:xfrm flipH="1">
              <a:off x="3088865" y="3325337"/>
              <a:ext cx="457200" cy="0"/>
            </a:xfrm>
            <a:prstGeom prst="straightConnector1">
              <a:avLst/>
            </a:prstGeom>
            <a:ln w="19050">
              <a:solidFill>
                <a:srgbClr val="4F81BD"/>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Straight Arrow Connector 25">
              <a:extLst>
                <a:ext uri="{FF2B5EF4-FFF2-40B4-BE49-F238E27FC236}">
                  <a16:creationId xmlns:a16="http://schemas.microsoft.com/office/drawing/2014/main" id="{C16649A5-5FB6-4504-A2F0-9E89582938A4}"/>
                </a:ext>
              </a:extLst>
            </xdr:cNvPr>
            <xdr:cNvCxnSpPr>
              <a:cxnSpLocks/>
              <a:stCxn id="20" idx="2"/>
            </xdr:cNvCxnSpPr>
          </xdr:nvCxnSpPr>
          <xdr:spPr>
            <a:xfrm flipH="1">
              <a:off x="4806831" y="3505418"/>
              <a:ext cx="2078" cy="633697"/>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TextBox 30">
              <a:extLst>
                <a:ext uri="{FF2B5EF4-FFF2-40B4-BE49-F238E27FC236}">
                  <a16:creationId xmlns:a16="http://schemas.microsoft.com/office/drawing/2014/main" id="{4007E09C-AEB8-46AF-88C0-320142E138C5}"/>
                </a:ext>
              </a:extLst>
            </xdr:cNvPr>
            <xdr:cNvSpPr txBox="1"/>
          </xdr:nvSpPr>
          <xdr:spPr>
            <a:xfrm>
              <a:off x="3768600" y="3679307"/>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2</a:t>
              </a:r>
            </a:p>
          </xdr:txBody>
        </xdr:sp>
        <xdr:sp macro="" textlink="">
          <xdr:nvSpPr>
            <xdr:cNvPr id="28" name="Rectangle 27">
              <a:extLst>
                <a:ext uri="{FF2B5EF4-FFF2-40B4-BE49-F238E27FC236}">
                  <a16:creationId xmlns:a16="http://schemas.microsoft.com/office/drawing/2014/main" id="{ACFDEB2E-1383-408C-89B1-953ABFCA1D0B}"/>
                </a:ext>
              </a:extLst>
            </xdr:cNvPr>
            <xdr:cNvSpPr/>
          </xdr:nvSpPr>
          <xdr:spPr>
            <a:xfrm>
              <a:off x="3542603" y="4152203"/>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9" name="TextBox 34">
              <a:extLst>
                <a:ext uri="{FF2B5EF4-FFF2-40B4-BE49-F238E27FC236}">
                  <a16:creationId xmlns:a16="http://schemas.microsoft.com/office/drawing/2014/main" id="{EA50B2DA-C07A-41B2-8C2F-090EEC7D60A3}"/>
                </a:ext>
              </a:extLst>
            </xdr:cNvPr>
            <xdr:cNvSpPr txBox="1"/>
          </xdr:nvSpPr>
          <xdr:spPr>
            <a:xfrm>
              <a:off x="3600795" y="4179117"/>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Catch-up Distribution</a:t>
              </a:r>
            </a:p>
          </xdr:txBody>
        </xdr:sp>
        <xdr:cxnSp macro="">
          <xdr:nvCxnSpPr>
            <xdr:cNvPr id="33" name="Straight Arrow Connector 32">
              <a:extLst>
                <a:ext uri="{FF2B5EF4-FFF2-40B4-BE49-F238E27FC236}">
                  <a16:creationId xmlns:a16="http://schemas.microsoft.com/office/drawing/2014/main" id="{EDEAEEB3-AA3B-4670-A4AB-8D0290FC3CDF}"/>
                </a:ext>
              </a:extLst>
            </xdr:cNvPr>
            <xdr:cNvCxnSpPr>
              <a:cxnSpLocks/>
            </xdr:cNvCxnSpPr>
          </xdr:nvCxnSpPr>
          <xdr:spPr>
            <a:xfrm flipH="1">
              <a:off x="6074522" y="4327988"/>
              <a:ext cx="457200" cy="0"/>
            </a:xfrm>
            <a:prstGeom prst="straightConnector1">
              <a:avLst/>
            </a:prstGeom>
            <a:ln w="19050">
              <a:solidFill>
                <a:srgbClr val="2F75B5"/>
              </a:solidFill>
              <a:headEnd type="triangl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4" name="Rectangle 33">
              <a:extLst>
                <a:ext uri="{FF2B5EF4-FFF2-40B4-BE49-F238E27FC236}">
                  <a16:creationId xmlns:a16="http://schemas.microsoft.com/office/drawing/2014/main" id="{0748FE37-5981-4A3F-A7FB-F0F565B9BBEF}"/>
                </a:ext>
              </a:extLst>
            </xdr:cNvPr>
            <xdr:cNvSpPr/>
          </xdr:nvSpPr>
          <xdr:spPr>
            <a:xfrm>
              <a:off x="3542599" y="5158182"/>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35" name="TextBox 46">
              <a:extLst>
                <a:ext uri="{FF2B5EF4-FFF2-40B4-BE49-F238E27FC236}">
                  <a16:creationId xmlns:a16="http://schemas.microsoft.com/office/drawing/2014/main" id="{9ACB68E7-5AFC-4622-A981-FFD4F8DC84D4}"/>
                </a:ext>
              </a:extLst>
            </xdr:cNvPr>
            <xdr:cNvSpPr txBox="1"/>
          </xdr:nvSpPr>
          <xdr:spPr>
            <a:xfrm>
              <a:off x="3608411" y="5193347"/>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Promote Distribution 1</a:t>
              </a:r>
            </a:p>
          </xdr:txBody>
        </xdr:sp>
        <xdr:sp macro="" textlink="">
          <xdr:nvSpPr>
            <xdr:cNvPr id="36" name="TextBox 47">
              <a:extLst>
                <a:ext uri="{FF2B5EF4-FFF2-40B4-BE49-F238E27FC236}">
                  <a16:creationId xmlns:a16="http://schemas.microsoft.com/office/drawing/2014/main" id="{D326C688-5F69-4974-83E8-201A31B8E3F2}"/>
                </a:ext>
              </a:extLst>
            </xdr:cNvPr>
            <xdr:cNvSpPr txBox="1"/>
          </xdr:nvSpPr>
          <xdr:spPr>
            <a:xfrm>
              <a:off x="1550320" y="5110484"/>
              <a:ext cx="1371600" cy="44640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50% of Equity CF</a:t>
              </a:r>
            </a:p>
            <a:p>
              <a:pPr algn="ctr"/>
              <a:r>
                <a:rPr lang="en-US" sz="1200">
                  <a:solidFill>
                    <a:srgbClr val="393F47"/>
                  </a:solidFill>
                  <a:latin typeface="Arial" panose="020B0604020202020204" pitchFamily="34" charset="0"/>
                  <a:cs typeface="Arial" panose="020B0604020202020204" pitchFamily="34" charset="0"/>
                </a:rPr>
                <a:t>Until EMx = 1.4x</a:t>
              </a:r>
            </a:p>
          </xdr:txBody>
        </xdr:sp>
        <xdr:cxnSp macro="">
          <xdr:nvCxnSpPr>
            <xdr:cNvPr id="37" name="Straight Arrow Connector 36">
              <a:extLst>
                <a:ext uri="{FF2B5EF4-FFF2-40B4-BE49-F238E27FC236}">
                  <a16:creationId xmlns:a16="http://schemas.microsoft.com/office/drawing/2014/main" id="{9F062CAE-D76B-4741-BFA9-84E5113BA721}"/>
                </a:ext>
              </a:extLst>
            </xdr:cNvPr>
            <xdr:cNvCxnSpPr>
              <a:cxnSpLocks/>
            </xdr:cNvCxnSpPr>
          </xdr:nvCxnSpPr>
          <xdr:spPr>
            <a:xfrm flipH="1">
              <a:off x="3088861" y="5336241"/>
              <a:ext cx="457200" cy="0"/>
            </a:xfrm>
            <a:prstGeom prst="straightConnector1">
              <a:avLst/>
            </a:prstGeom>
            <a:ln w="19050">
              <a:solidFill>
                <a:srgbClr val="4F81BD"/>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49">
              <a:extLst>
                <a:ext uri="{FF2B5EF4-FFF2-40B4-BE49-F238E27FC236}">
                  <a16:creationId xmlns:a16="http://schemas.microsoft.com/office/drawing/2014/main" id="{02F597CF-48E8-44A0-B5B5-C7199002F921}"/>
                </a:ext>
              </a:extLst>
            </xdr:cNvPr>
            <xdr:cNvSpPr txBox="1"/>
          </xdr:nvSpPr>
          <xdr:spPr>
            <a:xfrm>
              <a:off x="6710449" y="5204086"/>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50% of Equity CF</a:t>
              </a:r>
            </a:p>
          </xdr:txBody>
        </xdr:sp>
        <xdr:cxnSp macro="">
          <xdr:nvCxnSpPr>
            <xdr:cNvPr id="39" name="Straight Arrow Connector 38">
              <a:extLst>
                <a:ext uri="{FF2B5EF4-FFF2-40B4-BE49-F238E27FC236}">
                  <a16:creationId xmlns:a16="http://schemas.microsoft.com/office/drawing/2014/main" id="{049543D3-37D3-4954-9790-3447DDA9EE2C}"/>
                </a:ext>
              </a:extLst>
            </xdr:cNvPr>
            <xdr:cNvCxnSpPr>
              <a:cxnSpLocks/>
            </xdr:cNvCxnSpPr>
          </xdr:nvCxnSpPr>
          <xdr:spPr>
            <a:xfrm flipH="1">
              <a:off x="6074518" y="5333967"/>
              <a:ext cx="457200" cy="0"/>
            </a:xfrm>
            <a:prstGeom prst="straightConnector1">
              <a:avLst/>
            </a:prstGeom>
            <a:ln w="19050">
              <a:solidFill>
                <a:srgbClr val="4F81BD"/>
              </a:solidFill>
              <a:headEnd type="triangle"/>
              <a:tailEnd type="none"/>
            </a:ln>
          </xdr:spPr>
          <xdr:style>
            <a:lnRef idx="1">
              <a:schemeClr val="accent1"/>
            </a:lnRef>
            <a:fillRef idx="0">
              <a:schemeClr val="accent1"/>
            </a:fillRef>
            <a:effectRef idx="0">
              <a:schemeClr val="accent1"/>
            </a:effectRef>
            <a:fontRef idx="minor">
              <a:schemeClr val="tx1"/>
            </a:fontRef>
          </xdr:style>
        </xdr:cxnSp>
        <xdr:cxnSp macro="">
          <xdr:nvCxnSpPr>
            <xdr:cNvPr id="40" name="Straight Arrow Connector 39">
              <a:extLst>
                <a:ext uri="{FF2B5EF4-FFF2-40B4-BE49-F238E27FC236}">
                  <a16:creationId xmlns:a16="http://schemas.microsoft.com/office/drawing/2014/main" id="{0E1C0E59-B705-499A-898B-AA2FAD97D956}"/>
                </a:ext>
              </a:extLst>
            </xdr:cNvPr>
            <xdr:cNvCxnSpPr>
              <a:cxnSpLocks/>
              <a:stCxn id="28" idx="2"/>
            </xdr:cNvCxnSpPr>
          </xdr:nvCxnSpPr>
          <xdr:spPr>
            <a:xfrm>
              <a:off x="4808909" y="4517963"/>
              <a:ext cx="0" cy="63805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TextBox 44">
              <a:extLst>
                <a:ext uri="{FF2B5EF4-FFF2-40B4-BE49-F238E27FC236}">
                  <a16:creationId xmlns:a16="http://schemas.microsoft.com/office/drawing/2014/main" id="{F52A7E40-D520-4F5E-990B-7E449A9A971C}"/>
                </a:ext>
              </a:extLst>
            </xdr:cNvPr>
            <xdr:cNvSpPr txBox="1"/>
          </xdr:nvSpPr>
          <xdr:spPr>
            <a:xfrm>
              <a:off x="3779808" y="4661047"/>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3</a:t>
              </a:r>
            </a:p>
          </xdr:txBody>
        </xdr:sp>
        <xdr:sp macro="" textlink="">
          <xdr:nvSpPr>
            <xdr:cNvPr id="42" name="Rectangle 41">
              <a:extLst>
                <a:ext uri="{FF2B5EF4-FFF2-40B4-BE49-F238E27FC236}">
                  <a16:creationId xmlns:a16="http://schemas.microsoft.com/office/drawing/2014/main" id="{21B4761C-1E52-4EAA-BB63-FA4601FAED0B}"/>
                </a:ext>
              </a:extLst>
            </xdr:cNvPr>
            <xdr:cNvSpPr/>
          </xdr:nvSpPr>
          <xdr:spPr>
            <a:xfrm>
              <a:off x="3541907" y="6171131"/>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43" name="TextBox 53">
              <a:extLst>
                <a:ext uri="{FF2B5EF4-FFF2-40B4-BE49-F238E27FC236}">
                  <a16:creationId xmlns:a16="http://schemas.microsoft.com/office/drawing/2014/main" id="{89E08C66-E4ED-4F61-A304-795DDC06DE2A}"/>
                </a:ext>
              </a:extLst>
            </xdr:cNvPr>
            <xdr:cNvSpPr txBox="1"/>
          </xdr:nvSpPr>
          <xdr:spPr>
            <a:xfrm>
              <a:off x="3653439" y="6206296"/>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Promote Distribution 2</a:t>
              </a:r>
            </a:p>
          </xdr:txBody>
        </xdr:sp>
        <xdr:sp macro="" textlink="">
          <xdr:nvSpPr>
            <xdr:cNvPr id="44" name="TextBox 54">
              <a:extLst>
                <a:ext uri="{FF2B5EF4-FFF2-40B4-BE49-F238E27FC236}">
                  <a16:creationId xmlns:a16="http://schemas.microsoft.com/office/drawing/2014/main" id="{D11BE677-41FD-4709-9CCB-440B3F03EF98}"/>
                </a:ext>
              </a:extLst>
            </xdr:cNvPr>
            <xdr:cNvSpPr txBox="1"/>
          </xdr:nvSpPr>
          <xdr:spPr>
            <a:xfrm>
              <a:off x="1550320" y="6208168"/>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40% of Equity CF</a:t>
              </a:r>
            </a:p>
          </xdr:txBody>
        </xdr:sp>
        <xdr:cxnSp macro="">
          <xdr:nvCxnSpPr>
            <xdr:cNvPr id="45" name="Straight Arrow Connector 44">
              <a:extLst>
                <a:ext uri="{FF2B5EF4-FFF2-40B4-BE49-F238E27FC236}">
                  <a16:creationId xmlns:a16="http://schemas.microsoft.com/office/drawing/2014/main" id="{389FC9F5-A693-4BDA-A6CC-F13E23D1A4F0}"/>
                </a:ext>
              </a:extLst>
            </xdr:cNvPr>
            <xdr:cNvCxnSpPr>
              <a:cxnSpLocks/>
            </xdr:cNvCxnSpPr>
          </xdr:nvCxnSpPr>
          <xdr:spPr>
            <a:xfrm flipH="1">
              <a:off x="3088169" y="6349190"/>
              <a:ext cx="4572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6" name="TextBox 56">
              <a:extLst>
                <a:ext uri="{FF2B5EF4-FFF2-40B4-BE49-F238E27FC236}">
                  <a16:creationId xmlns:a16="http://schemas.microsoft.com/office/drawing/2014/main" id="{970AE75C-D242-4209-8FD0-6C1F429874FA}"/>
                </a:ext>
              </a:extLst>
            </xdr:cNvPr>
            <xdr:cNvSpPr txBox="1"/>
          </xdr:nvSpPr>
          <xdr:spPr>
            <a:xfrm>
              <a:off x="6709745" y="6205901"/>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60% of Equity CF</a:t>
              </a:r>
            </a:p>
          </xdr:txBody>
        </xdr:sp>
        <xdr:cxnSp macro="">
          <xdr:nvCxnSpPr>
            <xdr:cNvPr id="47" name="Straight Arrow Connector 46">
              <a:extLst>
                <a:ext uri="{FF2B5EF4-FFF2-40B4-BE49-F238E27FC236}">
                  <a16:creationId xmlns:a16="http://schemas.microsoft.com/office/drawing/2014/main" id="{62606564-0FA6-4041-93E4-4A97BC84D6D4}"/>
                </a:ext>
              </a:extLst>
            </xdr:cNvPr>
            <xdr:cNvCxnSpPr>
              <a:cxnSpLocks/>
            </xdr:cNvCxnSpPr>
          </xdr:nvCxnSpPr>
          <xdr:spPr>
            <a:xfrm flipH="1">
              <a:off x="6073826" y="6339296"/>
              <a:ext cx="457200" cy="0"/>
            </a:xfrm>
            <a:prstGeom prst="straightConnector1">
              <a:avLst/>
            </a:prstGeom>
            <a:ln w="19050">
              <a:solidFill>
                <a:srgbClr val="2F75B5"/>
              </a:solidFill>
              <a:headEnd type="triangle"/>
              <a:tailEnd type="none"/>
            </a:ln>
          </xdr:spPr>
          <xdr:style>
            <a:lnRef idx="1">
              <a:schemeClr val="accent1"/>
            </a:lnRef>
            <a:fillRef idx="0">
              <a:schemeClr val="accent1"/>
            </a:fillRef>
            <a:effectRef idx="0">
              <a:schemeClr val="accent1"/>
            </a:effectRef>
            <a:fontRef idx="minor">
              <a:schemeClr val="tx1"/>
            </a:fontRef>
          </xdr:style>
        </xdr:cxnSp>
        <xdr:cxnSp macro="">
          <xdr:nvCxnSpPr>
            <xdr:cNvPr id="48" name="Straight Arrow Connector 47">
              <a:extLst>
                <a:ext uri="{FF2B5EF4-FFF2-40B4-BE49-F238E27FC236}">
                  <a16:creationId xmlns:a16="http://schemas.microsoft.com/office/drawing/2014/main" id="{131722EB-8D5C-4BA5-80E8-10E62F929487}"/>
                </a:ext>
              </a:extLst>
            </xdr:cNvPr>
            <xdr:cNvCxnSpPr>
              <a:cxnSpLocks/>
              <a:stCxn id="34" idx="2"/>
            </xdr:cNvCxnSpPr>
          </xdr:nvCxnSpPr>
          <xdr:spPr>
            <a:xfrm>
              <a:off x="4808905" y="5523942"/>
              <a:ext cx="0" cy="632824"/>
            </a:xfrm>
            <a:prstGeom prst="straightConnector1">
              <a:avLst/>
            </a:prstGeom>
            <a:ln w="19050">
              <a:solidFill>
                <a:srgbClr val="4F81BD"/>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9" name="TextBox 58">
              <a:extLst>
                <a:ext uri="{FF2B5EF4-FFF2-40B4-BE49-F238E27FC236}">
                  <a16:creationId xmlns:a16="http://schemas.microsoft.com/office/drawing/2014/main" id="{F466295B-9E30-4F9B-8180-11DE4B448B23}"/>
                </a:ext>
              </a:extLst>
            </xdr:cNvPr>
            <xdr:cNvSpPr txBox="1"/>
          </xdr:nvSpPr>
          <xdr:spPr>
            <a:xfrm>
              <a:off x="3770915" y="5669724"/>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Thereafter</a:t>
              </a:r>
            </a:p>
          </xdr:txBody>
        </xdr:sp>
      </xdr:grpSp>
      <xdr:sp macro="" textlink="">
        <xdr:nvSpPr>
          <xdr:cNvPr id="50" name="TextBox 35">
            <a:extLst>
              <a:ext uri="{FF2B5EF4-FFF2-40B4-BE49-F238E27FC236}">
                <a16:creationId xmlns:a16="http://schemas.microsoft.com/office/drawing/2014/main" id="{57F49D81-217A-4679-9523-B1B2F531C21D}"/>
              </a:ext>
            </a:extLst>
          </xdr:cNvPr>
          <xdr:cNvSpPr txBox="1"/>
        </xdr:nvSpPr>
        <xdr:spPr>
          <a:xfrm>
            <a:off x="7519551" y="4099041"/>
            <a:ext cx="1757848" cy="446404"/>
          </a:xfrm>
          <a:prstGeom prst="rect">
            <a:avLst/>
          </a:prstGeom>
          <a:noFill/>
          <a:ln>
            <a:no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100% of Equity CF</a:t>
            </a:r>
          </a:p>
          <a:p>
            <a:pPr algn="ctr"/>
            <a:r>
              <a:rPr lang="en-US" sz="1200">
                <a:solidFill>
                  <a:srgbClr val="393F47"/>
                </a:solidFill>
                <a:latin typeface="Arial" panose="020B0604020202020204" pitchFamily="34" charset="0"/>
                <a:cs typeface="Arial" panose="020B0604020202020204" pitchFamily="34" charset="0"/>
              </a:rPr>
              <a:t>Until EMx = 1.25x</a:t>
            </a:r>
          </a:p>
        </xdr:txBody>
      </xdr:sp>
    </xdr:grpSp>
    <xdr:clientData/>
  </xdr:twoCellAnchor>
  <xdr:twoCellAnchor editAs="oneCell">
    <xdr:from>
      <xdr:col>0</xdr:col>
      <xdr:colOff>259080</xdr:colOff>
      <xdr:row>7</xdr:row>
      <xdr:rowOff>152400</xdr:rowOff>
    </xdr:from>
    <xdr:to>
      <xdr:col>5</xdr:col>
      <xdr:colOff>819150</xdr:colOff>
      <xdr:row>28</xdr:row>
      <xdr:rowOff>108314</xdr:rowOff>
    </xdr:to>
    <xdr:grpSp>
      <xdr:nvGrpSpPr>
        <xdr:cNvPr id="52" name="Group 51">
          <a:extLst>
            <a:ext uri="{FF2B5EF4-FFF2-40B4-BE49-F238E27FC236}">
              <a16:creationId xmlns:a16="http://schemas.microsoft.com/office/drawing/2014/main" id="{F5B195AA-B614-4F59-B9FF-BD5DF70199DD}"/>
            </a:ext>
          </a:extLst>
        </xdr:cNvPr>
        <xdr:cNvGrpSpPr>
          <a:grpSpLocks noChangeAspect="1"/>
        </xdr:cNvGrpSpPr>
      </xdr:nvGrpSpPr>
      <xdr:grpSpPr>
        <a:xfrm>
          <a:off x="277749" y="1626432"/>
          <a:ext cx="8111352" cy="3790517"/>
          <a:chOff x="744716" y="1306961"/>
          <a:chExt cx="10813259" cy="5293897"/>
        </a:xfrm>
      </xdr:grpSpPr>
      <xdr:cxnSp macro="">
        <xdr:nvCxnSpPr>
          <xdr:cNvPr id="53" name="Straight Connector 52">
            <a:extLst>
              <a:ext uri="{FF2B5EF4-FFF2-40B4-BE49-F238E27FC236}">
                <a16:creationId xmlns:a16="http://schemas.microsoft.com/office/drawing/2014/main" id="{AC929056-360A-4ED3-A4B8-8BAB96C30DB8}"/>
              </a:ext>
            </a:extLst>
          </xdr:cNvPr>
          <xdr:cNvCxnSpPr>
            <a:cxnSpLocks/>
          </xdr:cNvCxnSpPr>
        </xdr:nvCxnSpPr>
        <xdr:spPr>
          <a:xfrm>
            <a:off x="7260269" y="2014848"/>
            <a:ext cx="0" cy="3053906"/>
          </a:xfrm>
          <a:prstGeom prst="line">
            <a:avLst/>
          </a:prstGeom>
          <a:ln>
            <a:solidFill>
              <a:srgbClr val="B31B1B">
                <a:alpha val="6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cxnSp macro="">
        <xdr:nvCxnSpPr>
          <xdr:cNvPr id="54" name="Straight Arrow Connector 53">
            <a:extLst>
              <a:ext uri="{FF2B5EF4-FFF2-40B4-BE49-F238E27FC236}">
                <a16:creationId xmlns:a16="http://schemas.microsoft.com/office/drawing/2014/main" id="{C82411A9-1795-4712-8BE7-D543DEF50295}"/>
              </a:ext>
            </a:extLst>
          </xdr:cNvPr>
          <xdr:cNvCxnSpPr>
            <a:cxnSpLocks/>
          </xdr:cNvCxnSpPr>
        </xdr:nvCxnSpPr>
        <xdr:spPr>
          <a:xfrm>
            <a:off x="1543050" y="2014848"/>
            <a:ext cx="9271247"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5733559A-C41E-4A70-A404-FB37605A8C65}"/>
              </a:ext>
            </a:extLst>
          </xdr:cNvPr>
          <xdr:cNvCxnSpPr/>
        </xdr:nvCxnSpPr>
        <xdr:spPr>
          <a:xfrm flipV="1">
            <a:off x="1543050" y="1943826"/>
            <a:ext cx="0" cy="621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128F8F1-85D5-41D4-9C21-2F652CEFDDA5}"/>
              </a:ext>
            </a:extLst>
          </xdr:cNvPr>
          <xdr:cNvCxnSpPr/>
        </xdr:nvCxnSpPr>
        <xdr:spPr>
          <a:xfrm flipV="1">
            <a:off x="5992242" y="1940867"/>
            <a:ext cx="0" cy="621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A33D89B6-5532-458B-9F0C-85146B440266}"/>
              </a:ext>
            </a:extLst>
          </xdr:cNvPr>
          <xdr:cNvCxnSpPr/>
        </xdr:nvCxnSpPr>
        <xdr:spPr>
          <a:xfrm flipV="1">
            <a:off x="10308269" y="1952704"/>
            <a:ext cx="0" cy="62144"/>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8" name="TextBox 13">
            <a:extLst>
              <a:ext uri="{FF2B5EF4-FFF2-40B4-BE49-F238E27FC236}">
                <a16:creationId xmlns:a16="http://schemas.microsoft.com/office/drawing/2014/main" id="{9C0EF219-8F9C-489E-BD73-5716AF0D5ACC}"/>
              </a:ext>
            </a:extLst>
          </xdr:cNvPr>
          <xdr:cNvSpPr txBox="1"/>
        </xdr:nvSpPr>
        <xdr:spPr>
          <a:xfrm>
            <a:off x="744716" y="1306961"/>
            <a:ext cx="2212087"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Start Construction</a:t>
            </a:r>
          </a:p>
        </xdr:txBody>
      </xdr:sp>
      <xdr:sp macro="" textlink="">
        <xdr:nvSpPr>
          <xdr:cNvPr id="59" name="TextBox 14">
            <a:extLst>
              <a:ext uri="{FF2B5EF4-FFF2-40B4-BE49-F238E27FC236}">
                <a16:creationId xmlns:a16="http://schemas.microsoft.com/office/drawing/2014/main" id="{19CAC33A-D63D-40B5-9576-F81000FA2293}"/>
              </a:ext>
            </a:extLst>
          </xdr:cNvPr>
          <xdr:cNvSpPr txBox="1"/>
        </xdr:nvSpPr>
        <xdr:spPr>
          <a:xfrm>
            <a:off x="5515758" y="1306961"/>
            <a:ext cx="1106044"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Opening</a:t>
            </a:r>
          </a:p>
        </xdr:txBody>
      </xdr:sp>
      <xdr:sp macro="" textlink="">
        <xdr:nvSpPr>
          <xdr:cNvPr id="60" name="TextBox 15">
            <a:extLst>
              <a:ext uri="{FF2B5EF4-FFF2-40B4-BE49-F238E27FC236}">
                <a16:creationId xmlns:a16="http://schemas.microsoft.com/office/drawing/2014/main" id="{BF1D0B32-4179-404C-81AF-ABF787FEF3E0}"/>
              </a:ext>
            </a:extLst>
          </xdr:cNvPr>
          <xdr:cNvSpPr txBox="1"/>
        </xdr:nvSpPr>
        <xdr:spPr>
          <a:xfrm>
            <a:off x="10040411" y="1306961"/>
            <a:ext cx="766878" cy="375623"/>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Sale</a:t>
            </a:r>
          </a:p>
        </xdr:txBody>
      </xdr:sp>
      <xdr:sp macro="" textlink="">
        <xdr:nvSpPr>
          <xdr:cNvPr id="61" name="TextBox 16">
            <a:extLst>
              <a:ext uri="{FF2B5EF4-FFF2-40B4-BE49-F238E27FC236}">
                <a16:creationId xmlns:a16="http://schemas.microsoft.com/office/drawing/2014/main" id="{AF35EB72-640D-4FFF-989F-74BB07B28877}"/>
              </a:ext>
            </a:extLst>
          </xdr:cNvPr>
          <xdr:cNvSpPr txBox="1"/>
        </xdr:nvSpPr>
        <xdr:spPr>
          <a:xfrm>
            <a:off x="3007998" y="2369408"/>
            <a:ext cx="1507933"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Construction</a:t>
            </a:r>
          </a:p>
        </xdr:txBody>
      </xdr:sp>
      <xdr:sp macro="" textlink="">
        <xdr:nvSpPr>
          <xdr:cNvPr id="62" name="TextBox 17">
            <a:extLst>
              <a:ext uri="{FF2B5EF4-FFF2-40B4-BE49-F238E27FC236}">
                <a16:creationId xmlns:a16="http://schemas.microsoft.com/office/drawing/2014/main" id="{3F0F63C6-E9EE-49A4-983E-7FBF8ABB8437}"/>
              </a:ext>
            </a:extLst>
          </xdr:cNvPr>
          <xdr:cNvSpPr txBox="1"/>
        </xdr:nvSpPr>
        <xdr:spPr>
          <a:xfrm>
            <a:off x="6917392" y="2349575"/>
            <a:ext cx="2893358"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Income Producing: NOI</a:t>
            </a:r>
          </a:p>
        </xdr:txBody>
      </xdr:sp>
      <xdr:cxnSp macro="">
        <xdr:nvCxnSpPr>
          <xdr:cNvPr id="63" name="Straight Connector 62">
            <a:extLst>
              <a:ext uri="{FF2B5EF4-FFF2-40B4-BE49-F238E27FC236}">
                <a16:creationId xmlns:a16="http://schemas.microsoft.com/office/drawing/2014/main" id="{E5253748-96DC-499D-A9C3-5CC9F472ED0F}"/>
              </a:ext>
            </a:extLst>
          </xdr:cNvPr>
          <xdr:cNvCxnSpPr/>
        </xdr:nvCxnSpPr>
        <xdr:spPr>
          <a:xfrm flipV="1">
            <a:off x="7260269" y="1931527"/>
            <a:ext cx="0" cy="62144"/>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64" name="TextBox 21">
            <a:extLst>
              <a:ext uri="{FF2B5EF4-FFF2-40B4-BE49-F238E27FC236}">
                <a16:creationId xmlns:a16="http://schemas.microsoft.com/office/drawing/2014/main" id="{090ABF97-E0C6-4084-B48E-0E9E87BC3D29}"/>
              </a:ext>
            </a:extLst>
          </xdr:cNvPr>
          <xdr:cNvSpPr txBox="1"/>
        </xdr:nvSpPr>
        <xdr:spPr>
          <a:xfrm>
            <a:off x="6022567" y="1655456"/>
            <a:ext cx="1225099"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Lease-up</a:t>
            </a:r>
          </a:p>
        </xdr:txBody>
      </xdr:sp>
      <xdr:sp macro="" textlink="">
        <xdr:nvSpPr>
          <xdr:cNvPr id="65" name="TextBox 22">
            <a:extLst>
              <a:ext uri="{FF2B5EF4-FFF2-40B4-BE49-F238E27FC236}">
                <a16:creationId xmlns:a16="http://schemas.microsoft.com/office/drawing/2014/main" id="{4941BEFB-7B23-4407-AB27-F8F87975A69A}"/>
              </a:ext>
            </a:extLst>
          </xdr:cNvPr>
          <xdr:cNvSpPr txBox="1"/>
        </xdr:nvSpPr>
        <xdr:spPr>
          <a:xfrm>
            <a:off x="8265236" y="1639997"/>
            <a:ext cx="1235086"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Stabilized</a:t>
            </a:r>
          </a:p>
        </xdr:txBody>
      </xdr:sp>
      <xdr:sp macro="" textlink="">
        <xdr:nvSpPr>
          <xdr:cNvPr id="66" name="Left Brace 65">
            <a:extLst>
              <a:ext uri="{FF2B5EF4-FFF2-40B4-BE49-F238E27FC236}">
                <a16:creationId xmlns:a16="http://schemas.microsoft.com/office/drawing/2014/main" id="{C5824590-ED2A-4107-9119-50932A57F3D6}"/>
              </a:ext>
            </a:extLst>
          </xdr:cNvPr>
          <xdr:cNvSpPr/>
        </xdr:nvSpPr>
        <xdr:spPr>
          <a:xfrm rot="16200000">
            <a:off x="3674945" y="109491"/>
            <a:ext cx="184100" cy="4296067"/>
          </a:xfrm>
          <a:prstGeom prst="leftBrace">
            <a:avLst/>
          </a:prstGeom>
          <a:ln>
            <a:solidFill>
              <a:srgbClr val="2F75B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600">
              <a:latin typeface="Arial" panose="020B0604020202020204" pitchFamily="34" charset="0"/>
              <a:cs typeface="Arial" panose="020B0604020202020204" pitchFamily="34" charset="0"/>
            </a:endParaRPr>
          </a:p>
        </xdr:txBody>
      </xdr:sp>
      <xdr:sp macro="" textlink="">
        <xdr:nvSpPr>
          <xdr:cNvPr id="67" name="Left Brace 66">
            <a:extLst>
              <a:ext uri="{FF2B5EF4-FFF2-40B4-BE49-F238E27FC236}">
                <a16:creationId xmlns:a16="http://schemas.microsoft.com/office/drawing/2014/main" id="{D4A4F1EC-E355-4F02-A399-066E8035A4ED}"/>
              </a:ext>
            </a:extLst>
          </xdr:cNvPr>
          <xdr:cNvSpPr/>
        </xdr:nvSpPr>
        <xdr:spPr>
          <a:xfrm rot="16200000">
            <a:off x="8046957" y="168198"/>
            <a:ext cx="182880" cy="4179868"/>
          </a:xfrm>
          <a:prstGeom prst="leftBrace">
            <a:avLst/>
          </a:prstGeom>
          <a:ln>
            <a:solidFill>
              <a:srgbClr val="2F75B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600">
              <a:latin typeface="Arial" panose="020B0604020202020204" pitchFamily="34" charset="0"/>
              <a:cs typeface="Arial" panose="020B0604020202020204" pitchFamily="34" charset="0"/>
            </a:endParaRPr>
          </a:p>
        </xdr:txBody>
      </xdr:sp>
      <xdr:cxnSp macro="">
        <xdr:nvCxnSpPr>
          <xdr:cNvPr id="68" name="Straight Connector 67">
            <a:extLst>
              <a:ext uri="{FF2B5EF4-FFF2-40B4-BE49-F238E27FC236}">
                <a16:creationId xmlns:a16="http://schemas.microsoft.com/office/drawing/2014/main" id="{C1070EA9-9D90-4CCB-9905-959C9A8CBEE7}"/>
              </a:ext>
            </a:extLst>
          </xdr:cNvPr>
          <xdr:cNvCxnSpPr>
            <a:cxnSpLocks/>
          </xdr:cNvCxnSpPr>
        </xdr:nvCxnSpPr>
        <xdr:spPr>
          <a:xfrm>
            <a:off x="5992242" y="2014848"/>
            <a:ext cx="0" cy="3075783"/>
          </a:xfrm>
          <a:prstGeom prst="line">
            <a:avLst/>
          </a:prstGeom>
          <a:ln w="6350">
            <a:solidFill>
              <a:srgbClr val="B31B1B">
                <a:alpha val="6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EDF254F6-4682-43AD-94F1-3CD49B2D48EF}"/>
              </a:ext>
            </a:extLst>
          </xdr:cNvPr>
          <xdr:cNvCxnSpPr>
            <a:cxnSpLocks/>
          </xdr:cNvCxnSpPr>
        </xdr:nvCxnSpPr>
        <xdr:spPr>
          <a:xfrm>
            <a:off x="1543050" y="3488633"/>
            <a:ext cx="1413753"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0" name="Straight Connector 69">
            <a:extLst>
              <a:ext uri="{FF2B5EF4-FFF2-40B4-BE49-F238E27FC236}">
                <a16:creationId xmlns:a16="http://schemas.microsoft.com/office/drawing/2014/main" id="{8EA44744-47B3-4319-A59A-88D522BD2063}"/>
              </a:ext>
            </a:extLst>
          </xdr:cNvPr>
          <xdr:cNvCxnSpPr>
            <a:cxnSpLocks/>
          </xdr:cNvCxnSpPr>
        </xdr:nvCxnSpPr>
        <xdr:spPr>
          <a:xfrm>
            <a:off x="2937753" y="4088708"/>
            <a:ext cx="1413753"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F23F2E35-50E7-4675-9166-1BEFDD689EE7}"/>
              </a:ext>
            </a:extLst>
          </xdr:cNvPr>
          <xdr:cNvCxnSpPr>
            <a:cxnSpLocks/>
          </xdr:cNvCxnSpPr>
        </xdr:nvCxnSpPr>
        <xdr:spPr>
          <a:xfrm>
            <a:off x="2937753" y="3488633"/>
            <a:ext cx="0" cy="600075"/>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a:extLst>
              <a:ext uri="{FF2B5EF4-FFF2-40B4-BE49-F238E27FC236}">
                <a16:creationId xmlns:a16="http://schemas.microsoft.com/office/drawing/2014/main" id="{2936F4BE-C816-461C-96AF-DC609BA4EA9E}"/>
              </a:ext>
            </a:extLst>
          </xdr:cNvPr>
          <xdr:cNvCxnSpPr>
            <a:cxnSpLocks/>
          </xdr:cNvCxnSpPr>
        </xdr:nvCxnSpPr>
        <xdr:spPr>
          <a:xfrm>
            <a:off x="4351506" y="4088708"/>
            <a:ext cx="0" cy="619125"/>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EF9C53EC-D844-43B9-AC5D-8138DE3B1A88}"/>
              </a:ext>
            </a:extLst>
          </xdr:cNvPr>
          <xdr:cNvCxnSpPr>
            <a:cxnSpLocks/>
          </xdr:cNvCxnSpPr>
        </xdr:nvCxnSpPr>
        <xdr:spPr>
          <a:xfrm>
            <a:off x="4351506" y="4707833"/>
            <a:ext cx="1640736"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4" name="Straight Arrow Connector 73">
            <a:extLst>
              <a:ext uri="{FF2B5EF4-FFF2-40B4-BE49-F238E27FC236}">
                <a16:creationId xmlns:a16="http://schemas.microsoft.com/office/drawing/2014/main" id="{13BD0ADE-861C-418F-A9FB-49013FFAB528}"/>
              </a:ext>
            </a:extLst>
          </xdr:cNvPr>
          <xdr:cNvCxnSpPr/>
        </xdr:nvCxnSpPr>
        <xdr:spPr>
          <a:xfrm>
            <a:off x="7260269" y="3476519"/>
            <a:ext cx="30480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5" name="TextBox 36">
            <a:extLst>
              <a:ext uri="{FF2B5EF4-FFF2-40B4-BE49-F238E27FC236}">
                <a16:creationId xmlns:a16="http://schemas.microsoft.com/office/drawing/2014/main" id="{960976F0-9D46-4528-A1A2-A252D88CCDAB}"/>
              </a:ext>
            </a:extLst>
          </xdr:cNvPr>
          <xdr:cNvSpPr txBox="1"/>
        </xdr:nvSpPr>
        <xdr:spPr>
          <a:xfrm>
            <a:off x="1544026" y="3046737"/>
            <a:ext cx="1666680"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Common Eq.</a:t>
            </a:r>
          </a:p>
        </xdr:txBody>
      </xdr:sp>
      <xdr:sp macro="" textlink="">
        <xdr:nvSpPr>
          <xdr:cNvPr id="76" name="TextBox 37">
            <a:extLst>
              <a:ext uri="{FF2B5EF4-FFF2-40B4-BE49-F238E27FC236}">
                <a16:creationId xmlns:a16="http://schemas.microsoft.com/office/drawing/2014/main" id="{C9F3A66A-726C-4905-9F70-B98A00425F00}"/>
              </a:ext>
            </a:extLst>
          </xdr:cNvPr>
          <xdr:cNvSpPr txBox="1"/>
        </xdr:nvSpPr>
        <xdr:spPr>
          <a:xfrm>
            <a:off x="2964686" y="3646811"/>
            <a:ext cx="1691789"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Preferred Eq.</a:t>
            </a:r>
          </a:p>
        </xdr:txBody>
      </xdr:sp>
      <xdr:sp macro="" textlink="">
        <xdr:nvSpPr>
          <xdr:cNvPr id="77" name="TextBox 38">
            <a:extLst>
              <a:ext uri="{FF2B5EF4-FFF2-40B4-BE49-F238E27FC236}">
                <a16:creationId xmlns:a16="http://schemas.microsoft.com/office/drawing/2014/main" id="{5C00AF74-6E9D-4C7D-9EFD-FDD7E596F30F}"/>
              </a:ext>
            </a:extLst>
          </xdr:cNvPr>
          <xdr:cNvSpPr txBox="1"/>
        </xdr:nvSpPr>
        <xdr:spPr>
          <a:xfrm>
            <a:off x="4428719" y="4071793"/>
            <a:ext cx="1522609" cy="62249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Construction Loan</a:t>
            </a:r>
          </a:p>
        </xdr:txBody>
      </xdr:sp>
      <xdr:sp macro="" textlink="">
        <xdr:nvSpPr>
          <xdr:cNvPr id="78" name="TextBox 39">
            <a:extLst>
              <a:ext uri="{FF2B5EF4-FFF2-40B4-BE49-F238E27FC236}">
                <a16:creationId xmlns:a16="http://schemas.microsoft.com/office/drawing/2014/main" id="{6AF1F14F-0B2F-4A7C-BC03-E8BC5372B2D3}"/>
              </a:ext>
            </a:extLst>
          </xdr:cNvPr>
          <xdr:cNvSpPr txBox="1"/>
        </xdr:nvSpPr>
        <xdr:spPr>
          <a:xfrm>
            <a:off x="7927714" y="3046737"/>
            <a:ext cx="1883035"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Permanent Loan</a:t>
            </a:r>
          </a:p>
        </xdr:txBody>
      </xdr:sp>
      <xdr:sp macro="" textlink="">
        <xdr:nvSpPr>
          <xdr:cNvPr id="79" name="TextBox 40">
            <a:extLst>
              <a:ext uri="{FF2B5EF4-FFF2-40B4-BE49-F238E27FC236}">
                <a16:creationId xmlns:a16="http://schemas.microsoft.com/office/drawing/2014/main" id="{0419C346-E599-4FF7-BABA-B2D61CF447E6}"/>
              </a:ext>
            </a:extLst>
          </xdr:cNvPr>
          <xdr:cNvSpPr txBox="1"/>
        </xdr:nvSpPr>
        <xdr:spPr>
          <a:xfrm>
            <a:off x="6717342" y="5237763"/>
            <a:ext cx="1231622" cy="62249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Stabilized Property</a:t>
            </a:r>
          </a:p>
        </xdr:txBody>
      </xdr:sp>
      <xdr:sp macro="" textlink="">
        <xdr:nvSpPr>
          <xdr:cNvPr id="80" name="TextBox 41">
            <a:extLst>
              <a:ext uri="{FF2B5EF4-FFF2-40B4-BE49-F238E27FC236}">
                <a16:creationId xmlns:a16="http://schemas.microsoft.com/office/drawing/2014/main" id="{3C370094-CB4A-45DB-9735-468F1A8A769E}"/>
              </a:ext>
            </a:extLst>
          </xdr:cNvPr>
          <xdr:cNvSpPr txBox="1"/>
        </xdr:nvSpPr>
        <xdr:spPr>
          <a:xfrm>
            <a:off x="7381773" y="3591426"/>
            <a:ext cx="2916754" cy="136309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Permanent Loan proceeds used to Take out:</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Construction Loan</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Preferred Eq.</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Common Eq.</a:t>
            </a:r>
          </a:p>
        </xdr:txBody>
      </xdr:sp>
      <xdr:cxnSp macro="">
        <xdr:nvCxnSpPr>
          <xdr:cNvPr id="81" name="Straight Arrow Connector 80">
            <a:extLst>
              <a:ext uri="{FF2B5EF4-FFF2-40B4-BE49-F238E27FC236}">
                <a16:creationId xmlns:a16="http://schemas.microsoft.com/office/drawing/2014/main" id="{7B7C5861-5A40-4CA6-8DC7-8F6390E24812}"/>
              </a:ext>
            </a:extLst>
          </xdr:cNvPr>
          <xdr:cNvCxnSpPr>
            <a:cxnSpLocks/>
          </xdr:cNvCxnSpPr>
        </xdr:nvCxnSpPr>
        <xdr:spPr>
          <a:xfrm>
            <a:off x="10308269" y="2014847"/>
            <a:ext cx="0" cy="3053905"/>
          </a:xfrm>
          <a:prstGeom prst="straightConnector1">
            <a:avLst/>
          </a:prstGeom>
          <a:ln>
            <a:solidFill>
              <a:srgbClr val="2F75B5">
                <a:alpha val="4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82" name="TextBox 43">
            <a:extLst>
              <a:ext uri="{FF2B5EF4-FFF2-40B4-BE49-F238E27FC236}">
                <a16:creationId xmlns:a16="http://schemas.microsoft.com/office/drawing/2014/main" id="{91B5A7E0-9A5F-48FA-AFFA-95EA117BD437}"/>
              </a:ext>
            </a:extLst>
          </xdr:cNvPr>
          <xdr:cNvSpPr txBox="1"/>
        </xdr:nvSpPr>
        <xdr:spPr>
          <a:xfrm>
            <a:off x="9144000" y="5237763"/>
            <a:ext cx="2413975" cy="136309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Sale Proceeds to pay back:</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Permanent Loan</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Preferred Eq.</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Common Eq.</a:t>
            </a:r>
          </a:p>
        </xdr:txBody>
      </xdr:sp>
    </xdr:grpSp>
    <xdr:clientData/>
  </xdr:twoCellAnchor>
  <xdr:twoCellAnchor>
    <xdr:from>
      <xdr:col>2</xdr:col>
      <xdr:colOff>571500</xdr:colOff>
      <xdr:row>4</xdr:row>
      <xdr:rowOff>152400</xdr:rowOff>
    </xdr:from>
    <xdr:to>
      <xdr:col>2</xdr:col>
      <xdr:colOff>2674620</xdr:colOff>
      <xdr:row>6</xdr:row>
      <xdr:rowOff>33149</xdr:rowOff>
    </xdr:to>
    <xdr:sp macro="" textlink="">
      <xdr:nvSpPr>
        <xdr:cNvPr id="83" name="TextBox 16">
          <a:extLst>
            <a:ext uri="{FF2B5EF4-FFF2-40B4-BE49-F238E27FC236}">
              <a16:creationId xmlns:a16="http://schemas.microsoft.com/office/drawing/2014/main" id="{26DE897D-C99E-4789-8D9B-C2A4D602F278}"/>
            </a:ext>
          </a:extLst>
        </xdr:cNvPr>
        <xdr:cNvSpPr txBox="1"/>
      </xdr:nvSpPr>
      <xdr:spPr>
        <a:xfrm>
          <a:off x="3055620" y="1295400"/>
          <a:ext cx="2103120" cy="269369"/>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u="sng">
              <a:solidFill>
                <a:srgbClr val="393F47"/>
              </a:solidFill>
              <a:latin typeface="Arial" panose="020B0604020202020204" pitchFamily="34" charset="0"/>
              <a:cs typeface="Arial" panose="020B0604020202020204" pitchFamily="34" charset="0"/>
            </a:rPr>
            <a:t>Capital Accounts 1</a:t>
          </a:r>
        </a:p>
      </xdr:txBody>
    </xdr:sp>
    <xdr:clientData/>
  </xdr:twoCellAnchor>
  <xdr:twoCellAnchor>
    <xdr:from>
      <xdr:col>6</xdr:col>
      <xdr:colOff>2080260</xdr:colOff>
      <xdr:row>4</xdr:row>
      <xdr:rowOff>152400</xdr:rowOff>
    </xdr:from>
    <xdr:to>
      <xdr:col>9</xdr:col>
      <xdr:colOff>914400</xdr:colOff>
      <xdr:row>6</xdr:row>
      <xdr:rowOff>33149</xdr:rowOff>
    </xdr:to>
    <xdr:sp macro="" textlink="">
      <xdr:nvSpPr>
        <xdr:cNvPr id="84" name="TextBox 16">
          <a:extLst>
            <a:ext uri="{FF2B5EF4-FFF2-40B4-BE49-F238E27FC236}">
              <a16:creationId xmlns:a16="http://schemas.microsoft.com/office/drawing/2014/main" id="{59867B0B-B237-4A03-87ED-989263E01168}"/>
            </a:ext>
          </a:extLst>
        </xdr:cNvPr>
        <xdr:cNvSpPr txBox="1"/>
      </xdr:nvSpPr>
      <xdr:spPr>
        <a:xfrm>
          <a:off x="11376660" y="1104900"/>
          <a:ext cx="3253740" cy="269369"/>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u="sng">
              <a:solidFill>
                <a:srgbClr val="393F47"/>
              </a:solidFill>
              <a:latin typeface="Arial" panose="020B0604020202020204" pitchFamily="34" charset="0"/>
              <a:cs typeface="Arial" panose="020B0604020202020204" pitchFamily="34" charset="0"/>
            </a:rPr>
            <a:t>J.V. Profit Sharing: Equity Waterfall 1</a:t>
          </a:r>
        </a:p>
      </xdr:txBody>
    </xdr:sp>
    <xdr:clientData/>
  </xdr:twoCellAnchor>
  <xdr:twoCellAnchor>
    <xdr:from>
      <xdr:col>5</xdr:col>
      <xdr:colOff>1005840</xdr:colOff>
      <xdr:row>8</xdr:row>
      <xdr:rowOff>7620</xdr:rowOff>
    </xdr:from>
    <xdr:to>
      <xdr:col>5</xdr:col>
      <xdr:colOff>1005840</xdr:colOff>
      <xdr:row>36</xdr:row>
      <xdr:rowOff>190500</xdr:rowOff>
    </xdr:to>
    <xdr:cxnSp macro="">
      <xdr:nvCxnSpPr>
        <xdr:cNvPr id="88" name="Straight Connector 87">
          <a:extLst>
            <a:ext uri="{FF2B5EF4-FFF2-40B4-BE49-F238E27FC236}">
              <a16:creationId xmlns:a16="http://schemas.microsoft.com/office/drawing/2014/main" id="{7F1AA84D-F77A-4099-80B0-1B018B2D455A}"/>
            </a:ext>
          </a:extLst>
        </xdr:cNvPr>
        <xdr:cNvCxnSpPr/>
      </xdr:nvCxnSpPr>
      <xdr:spPr>
        <a:xfrm>
          <a:off x="8199120" y="1744980"/>
          <a:ext cx="0" cy="5524500"/>
        </a:xfrm>
        <a:prstGeom prst="line">
          <a:avLst/>
        </a:prstGeom>
        <a:ln w="19050">
          <a:solidFill>
            <a:srgbClr val="393F4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1524001</xdr:colOff>
      <xdr:row>19</xdr:row>
      <xdr:rowOff>57150</xdr:rowOff>
    </xdr:from>
    <xdr:to>
      <xdr:col>2</xdr:col>
      <xdr:colOff>219076</xdr:colOff>
      <xdr:row>22</xdr:row>
      <xdr:rowOff>19050</xdr:rowOff>
    </xdr:to>
    <xdr:sp macro="" textlink="">
      <xdr:nvSpPr>
        <xdr:cNvPr id="85" name="TextBox 37">
          <a:extLst>
            <a:ext uri="{FF2B5EF4-FFF2-40B4-BE49-F238E27FC236}">
              <a16:creationId xmlns:a16="http://schemas.microsoft.com/office/drawing/2014/main" id="{BD98CB44-6C4D-4083-8252-41B9B63ADFDA}"/>
            </a:ext>
          </a:extLst>
        </xdr:cNvPr>
        <xdr:cNvSpPr txBox="1"/>
      </xdr:nvSpPr>
      <xdr:spPr>
        <a:xfrm>
          <a:off x="1809751" y="3914775"/>
          <a:ext cx="819150" cy="504825"/>
        </a:xfrm>
        <a:prstGeom prst="rect">
          <a:avLst/>
        </a:prstGeom>
        <a:noFill/>
        <a:ln>
          <a:solidFill>
            <a:srgbClr val="C0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393F47"/>
              </a:solidFill>
              <a:latin typeface="Arial" panose="020B0604020202020204" pitchFamily="34" charset="0"/>
              <a:cs typeface="Arial" panose="020B0604020202020204" pitchFamily="34" charset="0"/>
            </a:rPr>
            <a:t>Fulcrum Capital</a:t>
          </a:r>
        </a:p>
      </xdr:txBody>
    </xdr:sp>
    <xdr:clientData/>
  </xdr:twoCellAnchor>
  <xdr:twoCellAnchor>
    <xdr:from>
      <xdr:col>5</xdr:col>
      <xdr:colOff>1943099</xdr:colOff>
      <xdr:row>10</xdr:row>
      <xdr:rowOff>180975</xdr:rowOff>
    </xdr:from>
    <xdr:to>
      <xdr:col>6</xdr:col>
      <xdr:colOff>1009649</xdr:colOff>
      <xdr:row>13</xdr:row>
      <xdr:rowOff>114300</xdr:rowOff>
    </xdr:to>
    <xdr:sp macro="" textlink="">
      <xdr:nvSpPr>
        <xdr:cNvPr id="87" name="TextBox 37">
          <a:extLst>
            <a:ext uri="{FF2B5EF4-FFF2-40B4-BE49-F238E27FC236}">
              <a16:creationId xmlns:a16="http://schemas.microsoft.com/office/drawing/2014/main" id="{07EB5539-0645-47E7-86F0-B9D46D086E6D}"/>
            </a:ext>
          </a:extLst>
        </xdr:cNvPr>
        <xdr:cNvSpPr txBox="1"/>
      </xdr:nvSpPr>
      <xdr:spPr>
        <a:xfrm>
          <a:off x="8934449" y="2390775"/>
          <a:ext cx="1114425" cy="495300"/>
        </a:xfrm>
        <a:prstGeom prst="rect">
          <a:avLst/>
        </a:prstGeom>
        <a:noFill/>
        <a:ln>
          <a:solidFill>
            <a:srgbClr val="C0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393F47"/>
              </a:solidFill>
              <a:latin typeface="Arial" panose="020B0604020202020204" pitchFamily="34" charset="0"/>
              <a:cs typeface="Arial" panose="020B0604020202020204" pitchFamily="34" charset="0"/>
            </a:rPr>
            <a:t>Eagle Investments</a:t>
          </a:r>
        </a:p>
      </xdr:txBody>
    </xdr:sp>
    <xdr:clientData/>
  </xdr:twoCellAnchor>
  <xdr:twoCellAnchor editAs="oneCell">
    <xdr:from>
      <xdr:col>1</xdr:col>
      <xdr:colOff>0</xdr:colOff>
      <xdr:row>38</xdr:row>
      <xdr:rowOff>19050</xdr:rowOff>
    </xdr:from>
    <xdr:to>
      <xdr:col>3</xdr:col>
      <xdr:colOff>1029483</xdr:colOff>
      <xdr:row>42</xdr:row>
      <xdr:rowOff>201028</xdr:rowOff>
    </xdr:to>
    <xdr:pic>
      <xdr:nvPicPr>
        <xdr:cNvPr id="3" name="Picture 2">
          <a:extLst>
            <a:ext uri="{FF2B5EF4-FFF2-40B4-BE49-F238E27FC236}">
              <a16:creationId xmlns:a16="http://schemas.microsoft.com/office/drawing/2014/main" id="{58E3A576-CEE3-453A-8CC0-73A71A155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7743825"/>
          <a:ext cx="5868183" cy="8773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37</xdr:row>
      <xdr:rowOff>213360</xdr:rowOff>
    </xdr:from>
    <xdr:to>
      <xdr:col>12</xdr:col>
      <xdr:colOff>716280</xdr:colOff>
      <xdr:row>37</xdr:row>
      <xdr:rowOff>213360</xdr:rowOff>
    </xdr:to>
    <xdr:cxnSp macro="">
      <xdr:nvCxnSpPr>
        <xdr:cNvPr id="4" name="Straight Connector 3">
          <a:extLst>
            <a:ext uri="{FF2B5EF4-FFF2-40B4-BE49-F238E27FC236}">
              <a16:creationId xmlns:a16="http://schemas.microsoft.com/office/drawing/2014/main" id="{631A818D-DF1F-422A-8C8A-8610BFE368E0}"/>
            </a:ext>
          </a:extLst>
        </xdr:cNvPr>
        <xdr:cNvCxnSpPr/>
      </xdr:nvCxnSpPr>
      <xdr:spPr>
        <a:xfrm flipV="1">
          <a:off x="285750" y="7709535"/>
          <a:ext cx="1669923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1629291</xdr:colOff>
      <xdr:row>7</xdr:row>
      <xdr:rowOff>155319</xdr:rowOff>
    </xdr:from>
    <xdr:to>
      <xdr:col>12</xdr:col>
      <xdr:colOff>481440</xdr:colOff>
      <xdr:row>35</xdr:row>
      <xdr:rowOff>182879</xdr:rowOff>
    </xdr:to>
    <xdr:grpSp>
      <xdr:nvGrpSpPr>
        <xdr:cNvPr id="6" name="Group 5">
          <a:extLst>
            <a:ext uri="{FF2B5EF4-FFF2-40B4-BE49-F238E27FC236}">
              <a16:creationId xmlns:a16="http://schemas.microsoft.com/office/drawing/2014/main" id="{733D7E00-B341-4D1C-A7A5-57AC411D53C9}"/>
            </a:ext>
          </a:extLst>
        </xdr:cNvPr>
        <xdr:cNvGrpSpPr>
          <a:grpSpLocks noChangeAspect="1"/>
        </xdr:cNvGrpSpPr>
      </xdr:nvGrpSpPr>
      <xdr:grpSpPr>
        <a:xfrm>
          <a:off x="9259821" y="1629351"/>
          <a:ext cx="8737656" cy="5357175"/>
          <a:chOff x="905391" y="722906"/>
          <a:chExt cx="8392389" cy="5813985"/>
        </a:xfrm>
      </xdr:grpSpPr>
      <xdr:grpSp>
        <xdr:nvGrpSpPr>
          <xdr:cNvPr id="7" name="Group 6">
            <a:extLst>
              <a:ext uri="{FF2B5EF4-FFF2-40B4-BE49-F238E27FC236}">
                <a16:creationId xmlns:a16="http://schemas.microsoft.com/office/drawing/2014/main" id="{955B632D-0DDF-4D39-9D6D-FB78EF5AB1F6}"/>
              </a:ext>
            </a:extLst>
          </xdr:cNvPr>
          <xdr:cNvGrpSpPr/>
        </xdr:nvGrpSpPr>
        <xdr:grpSpPr>
          <a:xfrm>
            <a:off x="905391" y="722906"/>
            <a:ext cx="8392389" cy="5813985"/>
            <a:chOff x="1545471" y="722906"/>
            <a:chExt cx="6548349" cy="5813985"/>
          </a:xfrm>
        </xdr:grpSpPr>
        <xdr:cxnSp macro="">
          <xdr:nvCxnSpPr>
            <xdr:cNvPr id="9" name="Straight Arrow Connector 8">
              <a:extLst>
                <a:ext uri="{FF2B5EF4-FFF2-40B4-BE49-F238E27FC236}">
                  <a16:creationId xmlns:a16="http://schemas.microsoft.com/office/drawing/2014/main" id="{8AB46BB4-3625-4888-BD17-E0E1775E76FE}"/>
                </a:ext>
              </a:extLst>
            </xdr:cNvPr>
            <xdr:cNvCxnSpPr>
              <a:cxnSpLocks/>
              <a:stCxn id="14" idx="2"/>
            </xdr:cNvCxnSpPr>
          </xdr:nvCxnSpPr>
          <xdr:spPr>
            <a:xfrm flipH="1">
              <a:off x="4806831" y="2514599"/>
              <a:ext cx="0" cy="631244"/>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2BAFFBE7-6B67-464D-A7E2-BA6BE46A536C}"/>
                </a:ext>
              </a:extLst>
            </xdr:cNvPr>
            <xdr:cNvCxnSpPr/>
          </xdr:nvCxnSpPr>
          <xdr:spPr>
            <a:xfrm>
              <a:off x="1545471" y="1272022"/>
              <a:ext cx="2834640" cy="0"/>
            </a:xfrm>
            <a:prstGeom prst="line">
              <a:avLst/>
            </a:prstGeom>
            <a:ln w="19050">
              <a:solidFill>
                <a:srgbClr val="2F75B5"/>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D76A2F41-FF5B-4B3D-B880-1C52652850E7}"/>
                </a:ext>
              </a:extLst>
            </xdr:cNvPr>
            <xdr:cNvCxnSpPr/>
          </xdr:nvCxnSpPr>
          <xdr:spPr>
            <a:xfrm>
              <a:off x="5216233" y="1272022"/>
              <a:ext cx="2834640" cy="0"/>
            </a:xfrm>
            <a:prstGeom prst="line">
              <a:avLst/>
            </a:prstGeom>
            <a:ln w="19050">
              <a:solidFill>
                <a:srgbClr val="2F75B5"/>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Arrow Connector 11">
              <a:extLst>
                <a:ext uri="{FF2B5EF4-FFF2-40B4-BE49-F238E27FC236}">
                  <a16:creationId xmlns:a16="http://schemas.microsoft.com/office/drawing/2014/main" id="{0E814217-DB5C-4B2C-9F2D-627B6C162039}"/>
                </a:ext>
              </a:extLst>
            </xdr:cNvPr>
            <xdr:cNvCxnSpPr/>
          </xdr:nvCxnSpPr>
          <xdr:spPr>
            <a:xfrm>
              <a:off x="4383574" y="1272021"/>
              <a:ext cx="0" cy="46482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 name="Straight Arrow Connector 12">
              <a:extLst>
                <a:ext uri="{FF2B5EF4-FFF2-40B4-BE49-F238E27FC236}">
                  <a16:creationId xmlns:a16="http://schemas.microsoft.com/office/drawing/2014/main" id="{FB796537-5940-4776-B56F-AADE522E684C}"/>
                </a:ext>
              </a:extLst>
            </xdr:cNvPr>
            <xdr:cNvCxnSpPr/>
          </xdr:nvCxnSpPr>
          <xdr:spPr>
            <a:xfrm>
              <a:off x="5224545" y="1272021"/>
              <a:ext cx="0" cy="46482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Rectangle 13">
              <a:extLst>
                <a:ext uri="{FF2B5EF4-FFF2-40B4-BE49-F238E27FC236}">
                  <a16:creationId xmlns:a16="http://schemas.microsoft.com/office/drawing/2014/main" id="{ED6FB25E-461B-467B-8435-0CD58483703F}"/>
                </a:ext>
              </a:extLst>
            </xdr:cNvPr>
            <xdr:cNvSpPr/>
          </xdr:nvSpPr>
          <xdr:spPr>
            <a:xfrm>
              <a:off x="3701237" y="2148839"/>
              <a:ext cx="2222264"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latin typeface="Arial" panose="020B0604020202020204" pitchFamily="34" charset="0"/>
                <a:cs typeface="Arial" panose="020B0604020202020204" pitchFamily="34" charset="0"/>
              </a:endParaRPr>
            </a:p>
          </xdr:txBody>
        </xdr:sp>
        <xdr:sp macro="" textlink="">
          <xdr:nvSpPr>
            <xdr:cNvPr id="15" name="TextBox 11">
              <a:extLst>
                <a:ext uri="{FF2B5EF4-FFF2-40B4-BE49-F238E27FC236}">
                  <a16:creationId xmlns:a16="http://schemas.microsoft.com/office/drawing/2014/main" id="{A5F5F535-72ED-4775-8E99-FED3447CB100}"/>
                </a:ext>
              </a:extLst>
            </xdr:cNvPr>
            <xdr:cNvSpPr txBox="1"/>
          </xdr:nvSpPr>
          <xdr:spPr>
            <a:xfrm>
              <a:off x="3783673" y="1733669"/>
              <a:ext cx="2072633"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Capital Accounts</a:t>
              </a:r>
            </a:p>
          </xdr:txBody>
        </xdr:sp>
        <xdr:sp macro="" textlink="">
          <xdr:nvSpPr>
            <xdr:cNvPr id="16" name="TextBox 12">
              <a:extLst>
                <a:ext uri="{FF2B5EF4-FFF2-40B4-BE49-F238E27FC236}">
                  <a16:creationId xmlns:a16="http://schemas.microsoft.com/office/drawing/2014/main" id="{4A040B14-0041-4F49-8F19-182A0B4E72AE}"/>
                </a:ext>
              </a:extLst>
            </xdr:cNvPr>
            <xdr:cNvSpPr txBox="1"/>
          </xdr:nvSpPr>
          <xdr:spPr>
            <a:xfrm>
              <a:off x="3693617" y="2177426"/>
              <a:ext cx="2222264"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Equity CF net of Fees</a:t>
              </a:r>
            </a:p>
          </xdr:txBody>
        </xdr:sp>
        <xdr:sp macro="" textlink="">
          <xdr:nvSpPr>
            <xdr:cNvPr id="17" name="TextBox 13">
              <a:extLst>
                <a:ext uri="{FF2B5EF4-FFF2-40B4-BE49-F238E27FC236}">
                  <a16:creationId xmlns:a16="http://schemas.microsoft.com/office/drawing/2014/main" id="{46D4608B-EE24-4032-BAB6-20E615E9925F}"/>
                </a:ext>
              </a:extLst>
            </xdr:cNvPr>
            <xdr:cNvSpPr txBox="1"/>
          </xdr:nvSpPr>
          <xdr:spPr>
            <a:xfrm>
              <a:off x="1775331" y="725676"/>
              <a:ext cx="2222264"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NOI + Sale Proceeds</a:t>
              </a:r>
            </a:p>
          </xdr:txBody>
        </xdr:sp>
        <xdr:sp macro="" textlink="">
          <xdr:nvSpPr>
            <xdr:cNvPr id="18" name="TextBox 14">
              <a:extLst>
                <a:ext uri="{FF2B5EF4-FFF2-40B4-BE49-F238E27FC236}">
                  <a16:creationId xmlns:a16="http://schemas.microsoft.com/office/drawing/2014/main" id="{F35B504A-D94B-4F5F-9706-E2BA13B42B81}"/>
                </a:ext>
              </a:extLst>
            </xdr:cNvPr>
            <xdr:cNvSpPr txBox="1"/>
          </xdr:nvSpPr>
          <xdr:spPr>
            <a:xfrm>
              <a:off x="5501640" y="722906"/>
              <a:ext cx="2508348"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Development Costs + Loan Repayment</a:t>
              </a:r>
            </a:p>
          </xdr:txBody>
        </xdr:sp>
        <xdr:sp macro="" textlink="">
          <xdr:nvSpPr>
            <xdr:cNvPr id="19" name="TextBox 15">
              <a:extLst>
                <a:ext uri="{FF2B5EF4-FFF2-40B4-BE49-F238E27FC236}">
                  <a16:creationId xmlns:a16="http://schemas.microsoft.com/office/drawing/2014/main" id="{2FA23B46-2364-4FC9-9E14-DF95E808D636}"/>
                </a:ext>
              </a:extLst>
            </xdr:cNvPr>
            <xdr:cNvSpPr txBox="1"/>
          </xdr:nvSpPr>
          <xdr:spPr>
            <a:xfrm>
              <a:off x="1548934" y="2107631"/>
              <a:ext cx="1371600" cy="4572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Co-Investor (L.P.)</a:t>
              </a:r>
            </a:p>
            <a:p>
              <a:pPr algn="ctr"/>
              <a:r>
                <a:rPr lang="en-US" sz="1200">
                  <a:solidFill>
                    <a:srgbClr val="B31B1B"/>
                  </a:solidFill>
                  <a:latin typeface="Arial" panose="020B0604020202020204" pitchFamily="34" charset="0"/>
                  <a:cs typeface="Arial" panose="020B0604020202020204" pitchFamily="34" charset="0"/>
                </a:rPr>
                <a:t>Contributed 90%</a:t>
              </a:r>
            </a:p>
          </xdr:txBody>
        </xdr:sp>
        <xdr:sp macro="" textlink="">
          <xdr:nvSpPr>
            <xdr:cNvPr id="20" name="TextBox 16">
              <a:extLst>
                <a:ext uri="{FF2B5EF4-FFF2-40B4-BE49-F238E27FC236}">
                  <a16:creationId xmlns:a16="http://schemas.microsoft.com/office/drawing/2014/main" id="{631E3990-A368-4C6A-B425-98599EC83082}"/>
                </a:ext>
              </a:extLst>
            </xdr:cNvPr>
            <xdr:cNvSpPr txBox="1"/>
          </xdr:nvSpPr>
          <xdr:spPr>
            <a:xfrm>
              <a:off x="6722220" y="2098779"/>
              <a:ext cx="1371600" cy="45720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Sponsor (G.P.)</a:t>
              </a:r>
            </a:p>
            <a:p>
              <a:pPr algn="ctr"/>
              <a:r>
                <a:rPr lang="en-US" sz="1200">
                  <a:solidFill>
                    <a:srgbClr val="B31B1B"/>
                  </a:solidFill>
                  <a:latin typeface="Arial" panose="020B0604020202020204" pitchFamily="34" charset="0"/>
                  <a:cs typeface="Arial" panose="020B0604020202020204" pitchFamily="34" charset="0"/>
                </a:rPr>
                <a:t>Contributed 10%</a:t>
              </a:r>
            </a:p>
          </xdr:txBody>
        </xdr:sp>
        <xdr:sp macro="" textlink="">
          <xdr:nvSpPr>
            <xdr:cNvPr id="21" name="TextBox 17">
              <a:extLst>
                <a:ext uri="{FF2B5EF4-FFF2-40B4-BE49-F238E27FC236}">
                  <a16:creationId xmlns:a16="http://schemas.microsoft.com/office/drawing/2014/main" id="{DC34001B-C38F-4800-9713-A26965B6556C}"/>
                </a:ext>
              </a:extLst>
            </xdr:cNvPr>
            <xdr:cNvSpPr txBox="1"/>
          </xdr:nvSpPr>
          <xdr:spPr>
            <a:xfrm>
              <a:off x="3776052" y="2683944"/>
              <a:ext cx="2072633" cy="242136"/>
            </a:xfrm>
            <a:prstGeom prst="rect">
              <a:avLst/>
            </a:prstGeom>
            <a:solidFill>
              <a:schemeClr val="bg1"/>
            </a:solid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1</a:t>
              </a:r>
            </a:p>
          </xdr:txBody>
        </xdr:sp>
        <xdr:sp macro="" textlink="">
          <xdr:nvSpPr>
            <xdr:cNvPr id="22" name="Rectangle 21">
              <a:extLst>
                <a:ext uri="{FF2B5EF4-FFF2-40B4-BE49-F238E27FC236}">
                  <a16:creationId xmlns:a16="http://schemas.microsoft.com/office/drawing/2014/main" id="{A65F1892-10BB-4F63-9116-BD383D2721A9}"/>
                </a:ext>
              </a:extLst>
            </xdr:cNvPr>
            <xdr:cNvSpPr/>
          </xdr:nvSpPr>
          <xdr:spPr>
            <a:xfrm>
              <a:off x="3542603" y="3139658"/>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3" name="TextBox 22">
              <a:extLst>
                <a:ext uri="{FF2B5EF4-FFF2-40B4-BE49-F238E27FC236}">
                  <a16:creationId xmlns:a16="http://schemas.microsoft.com/office/drawing/2014/main" id="{20C0EEB0-6B19-4F94-8D1C-5BC615F402E0}"/>
                </a:ext>
              </a:extLst>
            </xdr:cNvPr>
            <xdr:cNvSpPr txBox="1"/>
          </xdr:nvSpPr>
          <xdr:spPr>
            <a:xfrm>
              <a:off x="3646515" y="3170300"/>
              <a:ext cx="232478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Preferred Distribution</a:t>
              </a:r>
            </a:p>
          </xdr:txBody>
        </xdr:sp>
        <xdr:sp macro="" textlink="">
          <xdr:nvSpPr>
            <xdr:cNvPr id="24" name="TextBox 24">
              <a:extLst>
                <a:ext uri="{FF2B5EF4-FFF2-40B4-BE49-F238E27FC236}">
                  <a16:creationId xmlns:a16="http://schemas.microsoft.com/office/drawing/2014/main" id="{36A076AE-75B9-43CF-A666-546BA82B2760}"/>
                </a:ext>
              </a:extLst>
            </xdr:cNvPr>
            <xdr:cNvSpPr txBox="1"/>
          </xdr:nvSpPr>
          <xdr:spPr>
            <a:xfrm>
              <a:off x="1546860" y="2994596"/>
              <a:ext cx="1371600" cy="68735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100% of Equity CF</a:t>
              </a:r>
            </a:p>
            <a:p>
              <a:pPr algn="ctr"/>
              <a:r>
                <a:rPr lang="en-US" sz="1200">
                  <a:solidFill>
                    <a:srgbClr val="393F47"/>
                  </a:solidFill>
                  <a:latin typeface="Arial" panose="020B0604020202020204" pitchFamily="34" charset="0"/>
                  <a:cs typeface="Arial" panose="020B0604020202020204" pitchFamily="34" charset="0"/>
                </a:rPr>
                <a:t>Until EMx = 1.25x</a:t>
              </a:r>
            </a:p>
            <a:p>
              <a:pPr algn="ctr"/>
              <a:r>
                <a:rPr lang="en-US" sz="1200" b="1">
                  <a:solidFill>
                    <a:srgbClr val="393F47"/>
                  </a:solidFill>
                  <a:latin typeface="Arial" panose="020B0604020202020204" pitchFamily="34" charset="0"/>
                  <a:cs typeface="Arial" panose="020B0604020202020204" pitchFamily="34" charset="0"/>
                </a:rPr>
                <a:t>AND</a:t>
              </a:r>
              <a:r>
                <a:rPr lang="en-US" sz="1200">
                  <a:solidFill>
                    <a:srgbClr val="393F47"/>
                  </a:solidFill>
                  <a:latin typeface="Arial" panose="020B0604020202020204" pitchFamily="34" charset="0"/>
                  <a:cs typeface="Arial" panose="020B0604020202020204" pitchFamily="34" charset="0"/>
                </a:rPr>
                <a:t> IRR = 5%</a:t>
              </a:r>
            </a:p>
          </xdr:txBody>
        </xdr:sp>
        <xdr:cxnSp macro="">
          <xdr:nvCxnSpPr>
            <xdr:cNvPr id="25" name="Straight Arrow Connector 24">
              <a:extLst>
                <a:ext uri="{FF2B5EF4-FFF2-40B4-BE49-F238E27FC236}">
                  <a16:creationId xmlns:a16="http://schemas.microsoft.com/office/drawing/2014/main" id="{20B4AD2C-6885-4F08-A501-CD159ECA0991}"/>
                </a:ext>
              </a:extLst>
            </xdr:cNvPr>
            <xdr:cNvCxnSpPr>
              <a:cxnSpLocks/>
            </xdr:cNvCxnSpPr>
          </xdr:nvCxnSpPr>
          <xdr:spPr>
            <a:xfrm flipH="1">
              <a:off x="3088865" y="3325337"/>
              <a:ext cx="4572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Straight Arrow Connector 25">
              <a:extLst>
                <a:ext uri="{FF2B5EF4-FFF2-40B4-BE49-F238E27FC236}">
                  <a16:creationId xmlns:a16="http://schemas.microsoft.com/office/drawing/2014/main" id="{92EA818C-9705-4648-ACAE-85EBEAEFCA54}"/>
                </a:ext>
              </a:extLst>
            </xdr:cNvPr>
            <xdr:cNvCxnSpPr>
              <a:cxnSpLocks/>
              <a:stCxn id="22" idx="2"/>
            </xdr:cNvCxnSpPr>
          </xdr:nvCxnSpPr>
          <xdr:spPr>
            <a:xfrm flipH="1">
              <a:off x="4806831" y="3505418"/>
              <a:ext cx="2078" cy="633697"/>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TextBox 30">
              <a:extLst>
                <a:ext uri="{FF2B5EF4-FFF2-40B4-BE49-F238E27FC236}">
                  <a16:creationId xmlns:a16="http://schemas.microsoft.com/office/drawing/2014/main" id="{898FC014-951C-4119-8F5B-33FF32B49E14}"/>
                </a:ext>
              </a:extLst>
            </xdr:cNvPr>
            <xdr:cNvSpPr txBox="1"/>
          </xdr:nvSpPr>
          <xdr:spPr>
            <a:xfrm>
              <a:off x="3768600" y="3679307"/>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2</a:t>
              </a:r>
            </a:p>
          </xdr:txBody>
        </xdr:sp>
        <xdr:sp macro="" textlink="">
          <xdr:nvSpPr>
            <xdr:cNvPr id="28" name="Rectangle 27">
              <a:extLst>
                <a:ext uri="{FF2B5EF4-FFF2-40B4-BE49-F238E27FC236}">
                  <a16:creationId xmlns:a16="http://schemas.microsoft.com/office/drawing/2014/main" id="{DCB3D3F0-0BE3-4F3F-AE04-991BF2BCB0FD}"/>
                </a:ext>
              </a:extLst>
            </xdr:cNvPr>
            <xdr:cNvSpPr/>
          </xdr:nvSpPr>
          <xdr:spPr>
            <a:xfrm>
              <a:off x="3542603" y="4152203"/>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9" name="TextBox 34">
              <a:extLst>
                <a:ext uri="{FF2B5EF4-FFF2-40B4-BE49-F238E27FC236}">
                  <a16:creationId xmlns:a16="http://schemas.microsoft.com/office/drawing/2014/main" id="{8A9DE643-5405-4FD6-8BC1-78095A782CBB}"/>
                </a:ext>
              </a:extLst>
            </xdr:cNvPr>
            <xdr:cNvSpPr txBox="1"/>
          </xdr:nvSpPr>
          <xdr:spPr>
            <a:xfrm>
              <a:off x="3600795" y="4179117"/>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Catch-up Distribution</a:t>
              </a:r>
            </a:p>
          </xdr:txBody>
        </xdr:sp>
        <xdr:cxnSp macro="">
          <xdr:nvCxnSpPr>
            <xdr:cNvPr id="30" name="Straight Arrow Connector 29">
              <a:extLst>
                <a:ext uri="{FF2B5EF4-FFF2-40B4-BE49-F238E27FC236}">
                  <a16:creationId xmlns:a16="http://schemas.microsoft.com/office/drawing/2014/main" id="{D995890F-0C84-4DDA-8A00-12B842845E7E}"/>
                </a:ext>
              </a:extLst>
            </xdr:cNvPr>
            <xdr:cNvCxnSpPr>
              <a:cxnSpLocks/>
            </xdr:cNvCxnSpPr>
          </xdr:nvCxnSpPr>
          <xdr:spPr>
            <a:xfrm flipH="1">
              <a:off x="6074522" y="4327988"/>
              <a:ext cx="457200" cy="0"/>
            </a:xfrm>
            <a:prstGeom prst="straightConnector1">
              <a:avLst/>
            </a:prstGeom>
            <a:ln w="19050">
              <a:solidFill>
                <a:srgbClr val="2F75B5"/>
              </a:solidFill>
              <a:headEnd type="triangl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1" name="Rectangle 30">
              <a:extLst>
                <a:ext uri="{FF2B5EF4-FFF2-40B4-BE49-F238E27FC236}">
                  <a16:creationId xmlns:a16="http://schemas.microsoft.com/office/drawing/2014/main" id="{C520CE15-8EF4-4A7A-B0D4-86B8BC417F39}"/>
                </a:ext>
              </a:extLst>
            </xdr:cNvPr>
            <xdr:cNvSpPr/>
          </xdr:nvSpPr>
          <xdr:spPr>
            <a:xfrm>
              <a:off x="3542599" y="5158182"/>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32" name="TextBox 46">
              <a:extLst>
                <a:ext uri="{FF2B5EF4-FFF2-40B4-BE49-F238E27FC236}">
                  <a16:creationId xmlns:a16="http://schemas.microsoft.com/office/drawing/2014/main" id="{F367D175-CBC7-4400-A511-FF61BDEA1C90}"/>
                </a:ext>
              </a:extLst>
            </xdr:cNvPr>
            <xdr:cNvSpPr txBox="1"/>
          </xdr:nvSpPr>
          <xdr:spPr>
            <a:xfrm>
              <a:off x="3608411" y="5193347"/>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Promote Distribution 1</a:t>
              </a:r>
            </a:p>
          </xdr:txBody>
        </xdr:sp>
        <xdr:sp macro="" textlink="">
          <xdr:nvSpPr>
            <xdr:cNvPr id="33" name="TextBox 47">
              <a:extLst>
                <a:ext uri="{FF2B5EF4-FFF2-40B4-BE49-F238E27FC236}">
                  <a16:creationId xmlns:a16="http://schemas.microsoft.com/office/drawing/2014/main" id="{37357E0B-0696-4E4F-9E1C-43D112E31C90}"/>
                </a:ext>
              </a:extLst>
            </xdr:cNvPr>
            <xdr:cNvSpPr txBox="1"/>
          </xdr:nvSpPr>
          <xdr:spPr>
            <a:xfrm>
              <a:off x="1550320" y="5019720"/>
              <a:ext cx="1371600" cy="6507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50% of Equity CF</a:t>
              </a:r>
            </a:p>
            <a:p>
              <a:pPr algn="ctr"/>
              <a:r>
                <a:rPr lang="en-US" sz="1200">
                  <a:solidFill>
                    <a:srgbClr val="393F47"/>
                  </a:solidFill>
                  <a:latin typeface="Arial" panose="020B0604020202020204" pitchFamily="34" charset="0"/>
                  <a:cs typeface="Arial" panose="020B0604020202020204" pitchFamily="34" charset="0"/>
                </a:rPr>
                <a:t>Until EMx = 1.4x</a:t>
              </a:r>
            </a:p>
            <a:p>
              <a:pPr algn="ctr"/>
              <a:r>
                <a:rPr lang="en-US" sz="1200" b="1">
                  <a:solidFill>
                    <a:srgbClr val="393F47"/>
                  </a:solidFill>
                  <a:latin typeface="Arial" panose="020B0604020202020204" pitchFamily="34" charset="0"/>
                  <a:cs typeface="Arial" panose="020B0604020202020204" pitchFamily="34" charset="0"/>
                </a:rPr>
                <a:t>AND</a:t>
              </a:r>
              <a:r>
                <a:rPr lang="en-US" sz="1200">
                  <a:solidFill>
                    <a:srgbClr val="393F47"/>
                  </a:solidFill>
                  <a:latin typeface="Arial" panose="020B0604020202020204" pitchFamily="34" charset="0"/>
                  <a:cs typeface="Arial" panose="020B0604020202020204" pitchFamily="34" charset="0"/>
                </a:rPr>
                <a:t> IRR = 10%</a:t>
              </a:r>
            </a:p>
          </xdr:txBody>
        </xdr:sp>
        <xdr:cxnSp macro="">
          <xdr:nvCxnSpPr>
            <xdr:cNvPr id="34" name="Straight Arrow Connector 33">
              <a:extLst>
                <a:ext uri="{FF2B5EF4-FFF2-40B4-BE49-F238E27FC236}">
                  <a16:creationId xmlns:a16="http://schemas.microsoft.com/office/drawing/2014/main" id="{50CE4CD4-3BD1-431A-B2C6-1A65DA81316E}"/>
                </a:ext>
              </a:extLst>
            </xdr:cNvPr>
            <xdr:cNvCxnSpPr>
              <a:cxnSpLocks/>
            </xdr:cNvCxnSpPr>
          </xdr:nvCxnSpPr>
          <xdr:spPr>
            <a:xfrm flipH="1">
              <a:off x="3088861" y="5336241"/>
              <a:ext cx="4572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5" name="TextBox 49">
              <a:extLst>
                <a:ext uri="{FF2B5EF4-FFF2-40B4-BE49-F238E27FC236}">
                  <a16:creationId xmlns:a16="http://schemas.microsoft.com/office/drawing/2014/main" id="{235332A0-899F-46ED-AFB5-8194D3050074}"/>
                </a:ext>
              </a:extLst>
            </xdr:cNvPr>
            <xdr:cNvSpPr txBox="1"/>
          </xdr:nvSpPr>
          <xdr:spPr>
            <a:xfrm>
              <a:off x="6710449" y="5204086"/>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50% of Equity CF</a:t>
              </a:r>
            </a:p>
          </xdr:txBody>
        </xdr:sp>
        <xdr:cxnSp macro="">
          <xdr:nvCxnSpPr>
            <xdr:cNvPr id="36" name="Straight Arrow Connector 35">
              <a:extLst>
                <a:ext uri="{FF2B5EF4-FFF2-40B4-BE49-F238E27FC236}">
                  <a16:creationId xmlns:a16="http://schemas.microsoft.com/office/drawing/2014/main" id="{97D32634-64A4-4D26-93A4-F5C54A14DADD}"/>
                </a:ext>
              </a:extLst>
            </xdr:cNvPr>
            <xdr:cNvCxnSpPr>
              <a:cxnSpLocks/>
            </xdr:cNvCxnSpPr>
          </xdr:nvCxnSpPr>
          <xdr:spPr>
            <a:xfrm flipH="1">
              <a:off x="6074518" y="5333967"/>
              <a:ext cx="457200" cy="0"/>
            </a:xfrm>
            <a:prstGeom prst="straightConnector1">
              <a:avLst/>
            </a:prstGeom>
            <a:ln w="19050">
              <a:solidFill>
                <a:srgbClr val="2F75B5"/>
              </a:solidFill>
              <a:headEnd type="triangle"/>
              <a:tailEnd type="none"/>
            </a:ln>
          </xdr:spPr>
          <xdr:style>
            <a:lnRef idx="1">
              <a:schemeClr val="accent1"/>
            </a:lnRef>
            <a:fillRef idx="0">
              <a:schemeClr val="accent1"/>
            </a:fillRef>
            <a:effectRef idx="0">
              <a:schemeClr val="accent1"/>
            </a:effectRef>
            <a:fontRef idx="minor">
              <a:schemeClr val="tx1"/>
            </a:fontRef>
          </xdr:style>
        </xdr:cxnSp>
        <xdr:cxnSp macro="">
          <xdr:nvCxnSpPr>
            <xdr:cNvPr id="37" name="Straight Arrow Connector 36">
              <a:extLst>
                <a:ext uri="{FF2B5EF4-FFF2-40B4-BE49-F238E27FC236}">
                  <a16:creationId xmlns:a16="http://schemas.microsoft.com/office/drawing/2014/main" id="{388DEAD4-017D-433A-953F-C6719A2BF295}"/>
                </a:ext>
              </a:extLst>
            </xdr:cNvPr>
            <xdr:cNvCxnSpPr>
              <a:cxnSpLocks/>
              <a:stCxn id="28" idx="2"/>
            </xdr:cNvCxnSpPr>
          </xdr:nvCxnSpPr>
          <xdr:spPr>
            <a:xfrm>
              <a:off x="4808909" y="4517963"/>
              <a:ext cx="0" cy="638058"/>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44">
              <a:extLst>
                <a:ext uri="{FF2B5EF4-FFF2-40B4-BE49-F238E27FC236}">
                  <a16:creationId xmlns:a16="http://schemas.microsoft.com/office/drawing/2014/main" id="{C4825EE6-8D49-4119-8734-560EFBE3B3BE}"/>
                </a:ext>
              </a:extLst>
            </xdr:cNvPr>
            <xdr:cNvSpPr txBox="1"/>
          </xdr:nvSpPr>
          <xdr:spPr>
            <a:xfrm>
              <a:off x="3779808" y="4661047"/>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Tier 3</a:t>
              </a:r>
            </a:p>
          </xdr:txBody>
        </xdr:sp>
        <xdr:sp macro="" textlink="">
          <xdr:nvSpPr>
            <xdr:cNvPr id="39" name="Rectangle 38">
              <a:extLst>
                <a:ext uri="{FF2B5EF4-FFF2-40B4-BE49-F238E27FC236}">
                  <a16:creationId xmlns:a16="http://schemas.microsoft.com/office/drawing/2014/main" id="{4106CA36-03BF-4DC6-AB95-CC234CC85422}"/>
                </a:ext>
              </a:extLst>
            </xdr:cNvPr>
            <xdr:cNvSpPr/>
          </xdr:nvSpPr>
          <xdr:spPr>
            <a:xfrm>
              <a:off x="3541907" y="6171131"/>
              <a:ext cx="2532611" cy="365760"/>
            </a:xfrm>
            <a:prstGeom prst="rect">
              <a:avLst/>
            </a:prstGeom>
            <a:noFill/>
            <a:ln w="22225">
              <a:solidFill>
                <a:srgbClr val="2F75B5"/>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40" name="TextBox 53">
              <a:extLst>
                <a:ext uri="{FF2B5EF4-FFF2-40B4-BE49-F238E27FC236}">
                  <a16:creationId xmlns:a16="http://schemas.microsoft.com/office/drawing/2014/main" id="{94BD1501-E1FE-4B22-9AC8-DD437B5F84B5}"/>
                </a:ext>
              </a:extLst>
            </xdr:cNvPr>
            <xdr:cNvSpPr txBox="1"/>
          </xdr:nvSpPr>
          <xdr:spPr>
            <a:xfrm>
              <a:off x="3653439" y="6206296"/>
              <a:ext cx="2428699"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Promote Distribution 2</a:t>
              </a:r>
            </a:p>
          </xdr:txBody>
        </xdr:sp>
        <xdr:sp macro="" textlink="">
          <xdr:nvSpPr>
            <xdr:cNvPr id="41" name="TextBox 54">
              <a:extLst>
                <a:ext uri="{FF2B5EF4-FFF2-40B4-BE49-F238E27FC236}">
                  <a16:creationId xmlns:a16="http://schemas.microsoft.com/office/drawing/2014/main" id="{BB4BB949-BA58-4EA7-BCEE-AE6C2AFFA706}"/>
                </a:ext>
              </a:extLst>
            </xdr:cNvPr>
            <xdr:cNvSpPr txBox="1"/>
          </xdr:nvSpPr>
          <xdr:spPr>
            <a:xfrm>
              <a:off x="1550320" y="6208168"/>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40% of Equity CF</a:t>
              </a:r>
            </a:p>
          </xdr:txBody>
        </xdr:sp>
        <xdr:cxnSp macro="">
          <xdr:nvCxnSpPr>
            <xdr:cNvPr id="42" name="Straight Arrow Connector 41">
              <a:extLst>
                <a:ext uri="{FF2B5EF4-FFF2-40B4-BE49-F238E27FC236}">
                  <a16:creationId xmlns:a16="http://schemas.microsoft.com/office/drawing/2014/main" id="{440DE2D2-B6F8-44C4-A608-F2BDE524736A}"/>
                </a:ext>
              </a:extLst>
            </xdr:cNvPr>
            <xdr:cNvCxnSpPr>
              <a:cxnSpLocks/>
            </xdr:cNvCxnSpPr>
          </xdr:nvCxnSpPr>
          <xdr:spPr>
            <a:xfrm flipH="1">
              <a:off x="3088169" y="6349190"/>
              <a:ext cx="4572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TextBox 56">
              <a:extLst>
                <a:ext uri="{FF2B5EF4-FFF2-40B4-BE49-F238E27FC236}">
                  <a16:creationId xmlns:a16="http://schemas.microsoft.com/office/drawing/2014/main" id="{18E0B91F-A744-4880-A70A-14DF05199DE0}"/>
                </a:ext>
              </a:extLst>
            </xdr:cNvPr>
            <xdr:cNvSpPr txBox="1"/>
          </xdr:nvSpPr>
          <xdr:spPr>
            <a:xfrm>
              <a:off x="6709745" y="6205901"/>
              <a:ext cx="1371600" cy="26936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60% of Equity CF</a:t>
              </a:r>
            </a:p>
          </xdr:txBody>
        </xdr:sp>
        <xdr:cxnSp macro="">
          <xdr:nvCxnSpPr>
            <xdr:cNvPr id="44" name="Straight Arrow Connector 43">
              <a:extLst>
                <a:ext uri="{FF2B5EF4-FFF2-40B4-BE49-F238E27FC236}">
                  <a16:creationId xmlns:a16="http://schemas.microsoft.com/office/drawing/2014/main" id="{2094D760-7457-450D-8B89-D6E8C2E06A44}"/>
                </a:ext>
              </a:extLst>
            </xdr:cNvPr>
            <xdr:cNvCxnSpPr>
              <a:cxnSpLocks/>
            </xdr:cNvCxnSpPr>
          </xdr:nvCxnSpPr>
          <xdr:spPr>
            <a:xfrm flipH="1">
              <a:off x="6073826" y="6339296"/>
              <a:ext cx="457200" cy="0"/>
            </a:xfrm>
            <a:prstGeom prst="straightConnector1">
              <a:avLst/>
            </a:prstGeom>
            <a:ln w="19050">
              <a:solidFill>
                <a:srgbClr val="2F75B5"/>
              </a:solidFill>
              <a:headEnd type="triangle"/>
              <a:tailEnd type="none"/>
            </a:ln>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17031AEF-917B-49ED-9D22-AD89941524B1}"/>
                </a:ext>
              </a:extLst>
            </xdr:cNvPr>
            <xdr:cNvCxnSpPr>
              <a:cxnSpLocks/>
              <a:stCxn id="31" idx="2"/>
            </xdr:cNvCxnSpPr>
          </xdr:nvCxnSpPr>
          <xdr:spPr>
            <a:xfrm>
              <a:off x="4808905" y="5523942"/>
              <a:ext cx="0" cy="632824"/>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6" name="TextBox 58">
              <a:extLst>
                <a:ext uri="{FF2B5EF4-FFF2-40B4-BE49-F238E27FC236}">
                  <a16:creationId xmlns:a16="http://schemas.microsoft.com/office/drawing/2014/main" id="{7A122AF6-EBCB-4518-9F7E-253396F0FD23}"/>
                </a:ext>
              </a:extLst>
            </xdr:cNvPr>
            <xdr:cNvSpPr txBox="1"/>
          </xdr:nvSpPr>
          <xdr:spPr>
            <a:xfrm>
              <a:off x="3770915" y="5669724"/>
              <a:ext cx="2072633" cy="247538"/>
            </a:xfrm>
            <a:prstGeom prst="rect">
              <a:avLst/>
            </a:prstGeom>
            <a:solidFill>
              <a:schemeClr val="bg1"/>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Thereafter</a:t>
              </a:r>
            </a:p>
          </xdr:txBody>
        </xdr:sp>
      </xdr:grpSp>
      <xdr:sp macro="" textlink="">
        <xdr:nvSpPr>
          <xdr:cNvPr id="8" name="TextBox 35">
            <a:extLst>
              <a:ext uri="{FF2B5EF4-FFF2-40B4-BE49-F238E27FC236}">
                <a16:creationId xmlns:a16="http://schemas.microsoft.com/office/drawing/2014/main" id="{B028E08A-320A-4757-9F7C-D9122888C823}"/>
              </a:ext>
            </a:extLst>
          </xdr:cNvPr>
          <xdr:cNvSpPr txBox="1"/>
        </xdr:nvSpPr>
        <xdr:spPr>
          <a:xfrm>
            <a:off x="7519551" y="3991774"/>
            <a:ext cx="1757848" cy="680330"/>
          </a:xfrm>
          <a:prstGeom prst="rect">
            <a:avLst/>
          </a:prstGeom>
          <a:noFill/>
          <a:ln>
            <a:no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B31B1B"/>
                </a:solidFill>
                <a:latin typeface="Arial" panose="020B0604020202020204" pitchFamily="34" charset="0"/>
                <a:cs typeface="Arial" panose="020B0604020202020204" pitchFamily="34" charset="0"/>
              </a:rPr>
              <a:t>100% of Equity CF</a:t>
            </a:r>
          </a:p>
          <a:p>
            <a:pPr algn="ctr"/>
            <a:r>
              <a:rPr lang="en-US" sz="1200">
                <a:solidFill>
                  <a:srgbClr val="393F47"/>
                </a:solidFill>
                <a:latin typeface="Arial" panose="020B0604020202020204" pitchFamily="34" charset="0"/>
                <a:cs typeface="Arial" panose="020B0604020202020204" pitchFamily="34" charset="0"/>
              </a:rPr>
              <a:t>Until EMx = 1.25x</a:t>
            </a:r>
          </a:p>
          <a:p>
            <a:pPr algn="ctr"/>
            <a:r>
              <a:rPr lang="en-US" sz="1200" b="1">
                <a:solidFill>
                  <a:srgbClr val="393F47"/>
                </a:solidFill>
                <a:latin typeface="Arial" panose="020B0604020202020204" pitchFamily="34" charset="0"/>
                <a:cs typeface="Arial" panose="020B0604020202020204" pitchFamily="34" charset="0"/>
              </a:rPr>
              <a:t>AND</a:t>
            </a:r>
            <a:r>
              <a:rPr lang="en-US" sz="1200">
                <a:solidFill>
                  <a:srgbClr val="393F47"/>
                </a:solidFill>
                <a:latin typeface="Arial" panose="020B0604020202020204" pitchFamily="34" charset="0"/>
                <a:cs typeface="Arial" panose="020B0604020202020204" pitchFamily="34" charset="0"/>
              </a:rPr>
              <a:t> IRR = 5%</a:t>
            </a:r>
          </a:p>
        </xdr:txBody>
      </xdr:sp>
    </xdr:grpSp>
    <xdr:clientData/>
  </xdr:twoCellAnchor>
  <xdr:twoCellAnchor editAs="oneCell">
    <xdr:from>
      <xdr:col>0</xdr:col>
      <xdr:colOff>259080</xdr:colOff>
      <xdr:row>7</xdr:row>
      <xdr:rowOff>152400</xdr:rowOff>
    </xdr:from>
    <xdr:to>
      <xdr:col>5</xdr:col>
      <xdr:colOff>838200</xdr:colOff>
      <xdr:row>28</xdr:row>
      <xdr:rowOff>108314</xdr:rowOff>
    </xdr:to>
    <xdr:grpSp>
      <xdr:nvGrpSpPr>
        <xdr:cNvPr id="47" name="Group 46">
          <a:extLst>
            <a:ext uri="{FF2B5EF4-FFF2-40B4-BE49-F238E27FC236}">
              <a16:creationId xmlns:a16="http://schemas.microsoft.com/office/drawing/2014/main" id="{4D02D61B-697E-4175-9DA1-11062003D625}"/>
            </a:ext>
          </a:extLst>
        </xdr:cNvPr>
        <xdr:cNvGrpSpPr>
          <a:grpSpLocks noChangeAspect="1"/>
        </xdr:cNvGrpSpPr>
      </xdr:nvGrpSpPr>
      <xdr:grpSpPr>
        <a:xfrm>
          <a:off x="277749" y="1626432"/>
          <a:ext cx="8132688" cy="3790517"/>
          <a:chOff x="744716" y="1306961"/>
          <a:chExt cx="10840538" cy="5293897"/>
        </a:xfrm>
      </xdr:grpSpPr>
      <xdr:cxnSp macro="">
        <xdr:nvCxnSpPr>
          <xdr:cNvPr id="48" name="Straight Connector 47">
            <a:extLst>
              <a:ext uri="{FF2B5EF4-FFF2-40B4-BE49-F238E27FC236}">
                <a16:creationId xmlns:a16="http://schemas.microsoft.com/office/drawing/2014/main" id="{58596E55-6837-42A5-86F2-53199745A949}"/>
              </a:ext>
            </a:extLst>
          </xdr:cNvPr>
          <xdr:cNvCxnSpPr>
            <a:cxnSpLocks/>
          </xdr:cNvCxnSpPr>
        </xdr:nvCxnSpPr>
        <xdr:spPr>
          <a:xfrm>
            <a:off x="7260269" y="2014848"/>
            <a:ext cx="0" cy="3053906"/>
          </a:xfrm>
          <a:prstGeom prst="line">
            <a:avLst/>
          </a:prstGeom>
          <a:ln>
            <a:solidFill>
              <a:srgbClr val="B31B1B">
                <a:alpha val="6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cxnSp macro="">
        <xdr:nvCxnSpPr>
          <xdr:cNvPr id="49" name="Straight Arrow Connector 48">
            <a:extLst>
              <a:ext uri="{FF2B5EF4-FFF2-40B4-BE49-F238E27FC236}">
                <a16:creationId xmlns:a16="http://schemas.microsoft.com/office/drawing/2014/main" id="{74130EF6-B393-4B0B-A08F-B6CE801D2E3E}"/>
              </a:ext>
            </a:extLst>
          </xdr:cNvPr>
          <xdr:cNvCxnSpPr>
            <a:cxnSpLocks/>
          </xdr:cNvCxnSpPr>
        </xdr:nvCxnSpPr>
        <xdr:spPr>
          <a:xfrm>
            <a:off x="1543050" y="2014848"/>
            <a:ext cx="9271247"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ED6A06D3-E5DC-47FA-BA6F-441D1BC21F00}"/>
              </a:ext>
            </a:extLst>
          </xdr:cNvPr>
          <xdr:cNvCxnSpPr/>
        </xdr:nvCxnSpPr>
        <xdr:spPr>
          <a:xfrm flipV="1">
            <a:off x="1543050" y="1943826"/>
            <a:ext cx="0" cy="621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D7E68D17-FF43-40BF-B25B-E159EFF791DD}"/>
              </a:ext>
            </a:extLst>
          </xdr:cNvPr>
          <xdr:cNvCxnSpPr/>
        </xdr:nvCxnSpPr>
        <xdr:spPr>
          <a:xfrm flipV="1">
            <a:off x="5992242" y="1940867"/>
            <a:ext cx="0" cy="621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0030D845-AB6F-49BC-AF55-8464DF053EE6}"/>
              </a:ext>
            </a:extLst>
          </xdr:cNvPr>
          <xdr:cNvCxnSpPr/>
        </xdr:nvCxnSpPr>
        <xdr:spPr>
          <a:xfrm flipV="1">
            <a:off x="10308269" y="1952704"/>
            <a:ext cx="0" cy="62144"/>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3" name="TextBox 13">
            <a:extLst>
              <a:ext uri="{FF2B5EF4-FFF2-40B4-BE49-F238E27FC236}">
                <a16:creationId xmlns:a16="http://schemas.microsoft.com/office/drawing/2014/main" id="{7FC8C67E-A120-4973-93ED-FA1305C218DC}"/>
              </a:ext>
            </a:extLst>
          </xdr:cNvPr>
          <xdr:cNvSpPr txBox="1"/>
        </xdr:nvSpPr>
        <xdr:spPr>
          <a:xfrm>
            <a:off x="744716" y="1306961"/>
            <a:ext cx="2212087"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Start Construction</a:t>
            </a:r>
          </a:p>
        </xdr:txBody>
      </xdr:sp>
      <xdr:sp macro="" textlink="">
        <xdr:nvSpPr>
          <xdr:cNvPr id="54" name="TextBox 14">
            <a:extLst>
              <a:ext uri="{FF2B5EF4-FFF2-40B4-BE49-F238E27FC236}">
                <a16:creationId xmlns:a16="http://schemas.microsoft.com/office/drawing/2014/main" id="{D1245FF0-A4C6-4DAC-8D60-E3C49E9F826F}"/>
              </a:ext>
            </a:extLst>
          </xdr:cNvPr>
          <xdr:cNvSpPr txBox="1"/>
        </xdr:nvSpPr>
        <xdr:spPr>
          <a:xfrm>
            <a:off x="5515758" y="1306961"/>
            <a:ext cx="1106044"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Opening</a:t>
            </a:r>
          </a:p>
        </xdr:txBody>
      </xdr:sp>
      <xdr:sp macro="" textlink="">
        <xdr:nvSpPr>
          <xdr:cNvPr id="55" name="TextBox 15">
            <a:extLst>
              <a:ext uri="{FF2B5EF4-FFF2-40B4-BE49-F238E27FC236}">
                <a16:creationId xmlns:a16="http://schemas.microsoft.com/office/drawing/2014/main" id="{EF190B60-0149-4FEB-B2ED-3F8DFA72673B}"/>
              </a:ext>
            </a:extLst>
          </xdr:cNvPr>
          <xdr:cNvSpPr txBox="1"/>
        </xdr:nvSpPr>
        <xdr:spPr>
          <a:xfrm>
            <a:off x="10040411" y="1306961"/>
            <a:ext cx="766878" cy="375623"/>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Sale</a:t>
            </a:r>
          </a:p>
        </xdr:txBody>
      </xdr:sp>
      <xdr:sp macro="" textlink="">
        <xdr:nvSpPr>
          <xdr:cNvPr id="56" name="TextBox 16">
            <a:extLst>
              <a:ext uri="{FF2B5EF4-FFF2-40B4-BE49-F238E27FC236}">
                <a16:creationId xmlns:a16="http://schemas.microsoft.com/office/drawing/2014/main" id="{770534ED-B48C-4869-85A6-325F9F137F50}"/>
              </a:ext>
            </a:extLst>
          </xdr:cNvPr>
          <xdr:cNvSpPr txBox="1"/>
        </xdr:nvSpPr>
        <xdr:spPr>
          <a:xfrm>
            <a:off x="3007998" y="2369408"/>
            <a:ext cx="1507933"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Construction</a:t>
            </a:r>
          </a:p>
        </xdr:txBody>
      </xdr:sp>
      <xdr:sp macro="" textlink="">
        <xdr:nvSpPr>
          <xdr:cNvPr id="57" name="TextBox 17">
            <a:extLst>
              <a:ext uri="{FF2B5EF4-FFF2-40B4-BE49-F238E27FC236}">
                <a16:creationId xmlns:a16="http://schemas.microsoft.com/office/drawing/2014/main" id="{F9095DFA-FE8D-4572-A3AD-F28138593DFD}"/>
              </a:ext>
            </a:extLst>
          </xdr:cNvPr>
          <xdr:cNvSpPr txBox="1"/>
        </xdr:nvSpPr>
        <xdr:spPr>
          <a:xfrm>
            <a:off x="6917392" y="2349575"/>
            <a:ext cx="2893358"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Income Producing: NOI</a:t>
            </a:r>
          </a:p>
        </xdr:txBody>
      </xdr:sp>
      <xdr:cxnSp macro="">
        <xdr:nvCxnSpPr>
          <xdr:cNvPr id="58" name="Straight Connector 57">
            <a:extLst>
              <a:ext uri="{FF2B5EF4-FFF2-40B4-BE49-F238E27FC236}">
                <a16:creationId xmlns:a16="http://schemas.microsoft.com/office/drawing/2014/main" id="{FF4D90A1-4C72-4073-BD48-625D6B501949}"/>
              </a:ext>
            </a:extLst>
          </xdr:cNvPr>
          <xdr:cNvCxnSpPr/>
        </xdr:nvCxnSpPr>
        <xdr:spPr>
          <a:xfrm flipV="1">
            <a:off x="7260269" y="1931527"/>
            <a:ext cx="0" cy="62144"/>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59" name="TextBox 21">
            <a:extLst>
              <a:ext uri="{FF2B5EF4-FFF2-40B4-BE49-F238E27FC236}">
                <a16:creationId xmlns:a16="http://schemas.microsoft.com/office/drawing/2014/main" id="{84141BF8-C481-45BB-93CD-E6EB4E2AABEE}"/>
              </a:ext>
            </a:extLst>
          </xdr:cNvPr>
          <xdr:cNvSpPr txBox="1"/>
        </xdr:nvSpPr>
        <xdr:spPr>
          <a:xfrm>
            <a:off x="6022567" y="1655456"/>
            <a:ext cx="1225099"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Lease-up</a:t>
            </a:r>
          </a:p>
        </xdr:txBody>
      </xdr:sp>
      <xdr:sp macro="" textlink="">
        <xdr:nvSpPr>
          <xdr:cNvPr id="60" name="TextBox 22">
            <a:extLst>
              <a:ext uri="{FF2B5EF4-FFF2-40B4-BE49-F238E27FC236}">
                <a16:creationId xmlns:a16="http://schemas.microsoft.com/office/drawing/2014/main" id="{2E6BD41C-C0E7-45EF-BD1E-42CBDAB224AB}"/>
              </a:ext>
            </a:extLst>
          </xdr:cNvPr>
          <xdr:cNvSpPr txBox="1"/>
        </xdr:nvSpPr>
        <xdr:spPr>
          <a:xfrm>
            <a:off x="8265236" y="1639997"/>
            <a:ext cx="1235086"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Stabilized</a:t>
            </a:r>
          </a:p>
        </xdr:txBody>
      </xdr:sp>
      <xdr:sp macro="" textlink="">
        <xdr:nvSpPr>
          <xdr:cNvPr id="61" name="Left Brace 60">
            <a:extLst>
              <a:ext uri="{FF2B5EF4-FFF2-40B4-BE49-F238E27FC236}">
                <a16:creationId xmlns:a16="http://schemas.microsoft.com/office/drawing/2014/main" id="{32A35984-3AFA-4A5A-BEA7-FDC7E2DFC91C}"/>
              </a:ext>
            </a:extLst>
          </xdr:cNvPr>
          <xdr:cNvSpPr/>
        </xdr:nvSpPr>
        <xdr:spPr>
          <a:xfrm rot="16200000">
            <a:off x="3674945" y="109491"/>
            <a:ext cx="184100" cy="4296067"/>
          </a:xfrm>
          <a:prstGeom prst="leftBrace">
            <a:avLst/>
          </a:prstGeom>
          <a:ln>
            <a:solidFill>
              <a:srgbClr val="2F75B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600">
              <a:latin typeface="Arial" panose="020B0604020202020204" pitchFamily="34" charset="0"/>
              <a:cs typeface="Arial" panose="020B0604020202020204" pitchFamily="34" charset="0"/>
            </a:endParaRPr>
          </a:p>
        </xdr:txBody>
      </xdr:sp>
      <xdr:sp macro="" textlink="">
        <xdr:nvSpPr>
          <xdr:cNvPr id="62" name="Left Brace 61">
            <a:extLst>
              <a:ext uri="{FF2B5EF4-FFF2-40B4-BE49-F238E27FC236}">
                <a16:creationId xmlns:a16="http://schemas.microsoft.com/office/drawing/2014/main" id="{8F7E1475-DC2B-4252-932A-04E826DABBDA}"/>
              </a:ext>
            </a:extLst>
          </xdr:cNvPr>
          <xdr:cNvSpPr/>
        </xdr:nvSpPr>
        <xdr:spPr>
          <a:xfrm rot="16200000">
            <a:off x="8046957" y="168198"/>
            <a:ext cx="182880" cy="4179868"/>
          </a:xfrm>
          <a:prstGeom prst="leftBrace">
            <a:avLst/>
          </a:prstGeom>
          <a:ln>
            <a:solidFill>
              <a:srgbClr val="2F75B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600">
              <a:latin typeface="Arial" panose="020B0604020202020204" pitchFamily="34" charset="0"/>
              <a:cs typeface="Arial" panose="020B0604020202020204" pitchFamily="34" charset="0"/>
            </a:endParaRPr>
          </a:p>
        </xdr:txBody>
      </xdr:sp>
      <xdr:cxnSp macro="">
        <xdr:nvCxnSpPr>
          <xdr:cNvPr id="63" name="Straight Connector 62">
            <a:extLst>
              <a:ext uri="{FF2B5EF4-FFF2-40B4-BE49-F238E27FC236}">
                <a16:creationId xmlns:a16="http://schemas.microsoft.com/office/drawing/2014/main" id="{66AE0C99-698E-4E10-91F6-ED30CF63E9A6}"/>
              </a:ext>
            </a:extLst>
          </xdr:cNvPr>
          <xdr:cNvCxnSpPr>
            <a:cxnSpLocks/>
          </xdr:cNvCxnSpPr>
        </xdr:nvCxnSpPr>
        <xdr:spPr>
          <a:xfrm>
            <a:off x="5992242" y="2014848"/>
            <a:ext cx="0" cy="3075783"/>
          </a:xfrm>
          <a:prstGeom prst="line">
            <a:avLst/>
          </a:prstGeom>
          <a:ln w="6350">
            <a:solidFill>
              <a:srgbClr val="B31B1B">
                <a:alpha val="6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F1008F0E-1A7E-46CB-9CDF-872148A95DE1}"/>
              </a:ext>
            </a:extLst>
          </xdr:cNvPr>
          <xdr:cNvCxnSpPr>
            <a:cxnSpLocks/>
          </xdr:cNvCxnSpPr>
        </xdr:nvCxnSpPr>
        <xdr:spPr>
          <a:xfrm>
            <a:off x="1543051" y="3488633"/>
            <a:ext cx="2805195"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B4D9070D-58E1-4E24-8EFF-C8ECF7433259}"/>
              </a:ext>
            </a:extLst>
          </xdr:cNvPr>
          <xdr:cNvCxnSpPr>
            <a:cxnSpLocks/>
          </xdr:cNvCxnSpPr>
        </xdr:nvCxnSpPr>
        <xdr:spPr>
          <a:xfrm>
            <a:off x="1535155" y="4088709"/>
            <a:ext cx="1413753"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6" name="Straight Connector 65">
            <a:extLst>
              <a:ext uri="{FF2B5EF4-FFF2-40B4-BE49-F238E27FC236}">
                <a16:creationId xmlns:a16="http://schemas.microsoft.com/office/drawing/2014/main" id="{3ED688E9-95DD-4553-83C2-D4AAEBD1282D}"/>
              </a:ext>
            </a:extLst>
          </xdr:cNvPr>
          <xdr:cNvCxnSpPr>
            <a:cxnSpLocks/>
          </xdr:cNvCxnSpPr>
        </xdr:nvCxnSpPr>
        <xdr:spPr>
          <a:xfrm>
            <a:off x="2937753" y="3488633"/>
            <a:ext cx="0" cy="600075"/>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371EC402-5D0F-4A03-8E76-D33A5A97F2A9}"/>
              </a:ext>
            </a:extLst>
          </xdr:cNvPr>
          <xdr:cNvCxnSpPr>
            <a:cxnSpLocks/>
          </xdr:cNvCxnSpPr>
        </xdr:nvCxnSpPr>
        <xdr:spPr>
          <a:xfrm>
            <a:off x="4346841" y="3485238"/>
            <a:ext cx="4664" cy="1209137"/>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D108E695-88EB-49DD-9925-E22F827840B8}"/>
              </a:ext>
            </a:extLst>
          </xdr:cNvPr>
          <xdr:cNvCxnSpPr>
            <a:cxnSpLocks/>
          </xdr:cNvCxnSpPr>
        </xdr:nvCxnSpPr>
        <xdr:spPr>
          <a:xfrm>
            <a:off x="4351506" y="4707833"/>
            <a:ext cx="1640736" cy="0"/>
          </a:xfrm>
          <a:prstGeom prst="line">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9" name="Straight Arrow Connector 68">
            <a:extLst>
              <a:ext uri="{FF2B5EF4-FFF2-40B4-BE49-F238E27FC236}">
                <a16:creationId xmlns:a16="http://schemas.microsoft.com/office/drawing/2014/main" id="{80BBAACF-B950-4B8B-ACE3-ECD6D4BD91B4}"/>
              </a:ext>
            </a:extLst>
          </xdr:cNvPr>
          <xdr:cNvCxnSpPr/>
        </xdr:nvCxnSpPr>
        <xdr:spPr>
          <a:xfrm>
            <a:off x="7260269" y="3476519"/>
            <a:ext cx="3048000" cy="0"/>
          </a:xfrm>
          <a:prstGeom prst="straightConnector1">
            <a:avLst/>
          </a:prstGeom>
          <a:ln w="19050">
            <a:solidFill>
              <a:srgbClr val="2F75B5"/>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TextBox 36">
            <a:extLst>
              <a:ext uri="{FF2B5EF4-FFF2-40B4-BE49-F238E27FC236}">
                <a16:creationId xmlns:a16="http://schemas.microsoft.com/office/drawing/2014/main" id="{C890933D-FA4D-4097-BEC6-38DC8DFF33CD}"/>
              </a:ext>
            </a:extLst>
          </xdr:cNvPr>
          <xdr:cNvSpPr txBox="1"/>
        </xdr:nvSpPr>
        <xdr:spPr>
          <a:xfrm>
            <a:off x="2170943" y="3046738"/>
            <a:ext cx="1653532"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Common Eq.</a:t>
            </a:r>
          </a:p>
        </xdr:txBody>
      </xdr:sp>
      <xdr:sp macro="" textlink="">
        <xdr:nvSpPr>
          <xdr:cNvPr id="71" name="TextBox 37">
            <a:extLst>
              <a:ext uri="{FF2B5EF4-FFF2-40B4-BE49-F238E27FC236}">
                <a16:creationId xmlns:a16="http://schemas.microsoft.com/office/drawing/2014/main" id="{2EFC4098-EC5D-468B-AEF5-E625428A742F}"/>
              </a:ext>
            </a:extLst>
          </xdr:cNvPr>
          <xdr:cNvSpPr txBox="1"/>
        </xdr:nvSpPr>
        <xdr:spPr>
          <a:xfrm>
            <a:off x="1519584" y="3646812"/>
            <a:ext cx="1718401"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Preferred Eq.</a:t>
            </a:r>
          </a:p>
        </xdr:txBody>
      </xdr:sp>
      <xdr:sp macro="" textlink="">
        <xdr:nvSpPr>
          <xdr:cNvPr id="72" name="TextBox 38">
            <a:extLst>
              <a:ext uri="{FF2B5EF4-FFF2-40B4-BE49-F238E27FC236}">
                <a16:creationId xmlns:a16="http://schemas.microsoft.com/office/drawing/2014/main" id="{B55D1279-CDC6-4268-B546-0832191A55EB}"/>
              </a:ext>
            </a:extLst>
          </xdr:cNvPr>
          <xdr:cNvSpPr txBox="1"/>
        </xdr:nvSpPr>
        <xdr:spPr>
          <a:xfrm>
            <a:off x="4428719" y="4046055"/>
            <a:ext cx="1522609" cy="62249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393F47"/>
                </a:solidFill>
                <a:latin typeface="Arial" panose="020B0604020202020204" pitchFamily="34" charset="0"/>
                <a:cs typeface="Arial" panose="020B0604020202020204" pitchFamily="34" charset="0"/>
              </a:rPr>
              <a:t>Construction Loan</a:t>
            </a:r>
          </a:p>
        </xdr:txBody>
      </xdr:sp>
      <xdr:sp macro="" textlink="">
        <xdr:nvSpPr>
          <xdr:cNvPr id="73" name="TextBox 39">
            <a:extLst>
              <a:ext uri="{FF2B5EF4-FFF2-40B4-BE49-F238E27FC236}">
                <a16:creationId xmlns:a16="http://schemas.microsoft.com/office/drawing/2014/main" id="{62AB9679-60A5-4D76-870C-BA0D01716821}"/>
              </a:ext>
            </a:extLst>
          </xdr:cNvPr>
          <xdr:cNvSpPr txBox="1"/>
        </xdr:nvSpPr>
        <xdr:spPr>
          <a:xfrm>
            <a:off x="7927714" y="3046737"/>
            <a:ext cx="1883035" cy="3756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393F47"/>
                </a:solidFill>
                <a:latin typeface="Arial" panose="020B0604020202020204" pitchFamily="34" charset="0"/>
                <a:cs typeface="Arial" panose="020B0604020202020204" pitchFamily="34" charset="0"/>
              </a:rPr>
              <a:t>Permanent Loan</a:t>
            </a:r>
          </a:p>
        </xdr:txBody>
      </xdr:sp>
      <xdr:sp macro="" textlink="">
        <xdr:nvSpPr>
          <xdr:cNvPr id="74" name="TextBox 40">
            <a:extLst>
              <a:ext uri="{FF2B5EF4-FFF2-40B4-BE49-F238E27FC236}">
                <a16:creationId xmlns:a16="http://schemas.microsoft.com/office/drawing/2014/main" id="{03BB570C-BB36-47D0-8EE8-90D49B6BD8DE}"/>
              </a:ext>
            </a:extLst>
          </xdr:cNvPr>
          <xdr:cNvSpPr txBox="1"/>
        </xdr:nvSpPr>
        <xdr:spPr>
          <a:xfrm>
            <a:off x="6717342" y="5237763"/>
            <a:ext cx="1231622" cy="62249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Stabilized Property</a:t>
            </a:r>
          </a:p>
        </xdr:txBody>
      </xdr:sp>
      <xdr:sp macro="" textlink="">
        <xdr:nvSpPr>
          <xdr:cNvPr id="75" name="TextBox 41">
            <a:extLst>
              <a:ext uri="{FF2B5EF4-FFF2-40B4-BE49-F238E27FC236}">
                <a16:creationId xmlns:a16="http://schemas.microsoft.com/office/drawing/2014/main" id="{907FE816-AC48-4A97-B829-2891271E2E1C}"/>
              </a:ext>
            </a:extLst>
          </xdr:cNvPr>
          <xdr:cNvSpPr txBox="1"/>
        </xdr:nvSpPr>
        <xdr:spPr>
          <a:xfrm>
            <a:off x="7381773" y="3591426"/>
            <a:ext cx="2916754" cy="136309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a:solidFill>
                  <a:srgbClr val="B31B1B"/>
                </a:solidFill>
                <a:latin typeface="Arial" panose="020B0604020202020204" pitchFamily="34" charset="0"/>
                <a:cs typeface="Arial" panose="020B0604020202020204" pitchFamily="34" charset="0"/>
              </a:rPr>
              <a:t>Permanent Loan proceeds used to Take out:</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Construction Loan</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Preferred Eq.</a:t>
            </a:r>
          </a:p>
          <a:p>
            <a:pPr indent="-342900">
              <a:buFont typeface="+mj-lt"/>
              <a:buAutoNum type="arabicPeriod"/>
            </a:pPr>
            <a:r>
              <a:rPr lang="en-US" sz="1200">
                <a:solidFill>
                  <a:srgbClr val="B31B1B"/>
                </a:solidFill>
                <a:latin typeface="Arial" panose="020B0604020202020204" pitchFamily="34" charset="0"/>
                <a:cs typeface="Arial" panose="020B0604020202020204" pitchFamily="34" charset="0"/>
              </a:rPr>
              <a:t>Common Eq.</a:t>
            </a:r>
          </a:p>
        </xdr:txBody>
      </xdr:sp>
      <xdr:cxnSp macro="">
        <xdr:nvCxnSpPr>
          <xdr:cNvPr id="76" name="Straight Arrow Connector 75">
            <a:extLst>
              <a:ext uri="{FF2B5EF4-FFF2-40B4-BE49-F238E27FC236}">
                <a16:creationId xmlns:a16="http://schemas.microsoft.com/office/drawing/2014/main" id="{547AFE2B-13DF-4617-9AD0-047506AB5E69}"/>
              </a:ext>
            </a:extLst>
          </xdr:cNvPr>
          <xdr:cNvCxnSpPr>
            <a:cxnSpLocks/>
          </xdr:cNvCxnSpPr>
        </xdr:nvCxnSpPr>
        <xdr:spPr>
          <a:xfrm>
            <a:off x="10308269" y="2014847"/>
            <a:ext cx="0" cy="3053905"/>
          </a:xfrm>
          <a:prstGeom prst="straightConnector1">
            <a:avLst/>
          </a:prstGeom>
          <a:ln>
            <a:solidFill>
              <a:srgbClr val="2F75B5">
                <a:alpha val="40000"/>
              </a:srgbClr>
            </a:solidFill>
            <a:prstDash val="dash"/>
            <a:tailEnd type="oval"/>
          </a:ln>
        </xdr:spPr>
        <xdr:style>
          <a:lnRef idx="1">
            <a:schemeClr val="accent1"/>
          </a:lnRef>
          <a:fillRef idx="0">
            <a:schemeClr val="accent1"/>
          </a:fillRef>
          <a:effectRef idx="0">
            <a:schemeClr val="accent1"/>
          </a:effectRef>
          <a:fontRef idx="minor">
            <a:schemeClr val="tx1"/>
          </a:fontRef>
        </xdr:style>
      </xdr:cxnSp>
      <xdr:sp macro="" textlink="">
        <xdr:nvSpPr>
          <xdr:cNvPr id="77" name="TextBox 43">
            <a:extLst>
              <a:ext uri="{FF2B5EF4-FFF2-40B4-BE49-F238E27FC236}">
                <a16:creationId xmlns:a16="http://schemas.microsoft.com/office/drawing/2014/main" id="{8F7D9D4F-D108-42AB-9E65-8C5819B32046}"/>
              </a:ext>
            </a:extLst>
          </xdr:cNvPr>
          <xdr:cNvSpPr txBox="1"/>
        </xdr:nvSpPr>
        <xdr:spPr>
          <a:xfrm>
            <a:off x="9144000" y="5237763"/>
            <a:ext cx="2441254" cy="136309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548235"/>
                </a:solidFill>
                <a:latin typeface="Arial" panose="020B0604020202020204" pitchFamily="34" charset="0"/>
                <a:cs typeface="Arial" panose="020B0604020202020204" pitchFamily="34" charset="0"/>
              </a:rPr>
              <a:t>Sale Proceeds to pay back:</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Permanent Loan</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Preferred Eq.</a:t>
            </a:r>
          </a:p>
          <a:p>
            <a:pPr marL="342900" indent="-342900">
              <a:buFont typeface="+mj-lt"/>
              <a:buAutoNum type="arabicPeriod"/>
            </a:pPr>
            <a:r>
              <a:rPr lang="en-US" sz="1200" i="1">
                <a:solidFill>
                  <a:srgbClr val="548235"/>
                </a:solidFill>
                <a:latin typeface="Arial" panose="020B0604020202020204" pitchFamily="34" charset="0"/>
                <a:cs typeface="Arial" panose="020B0604020202020204" pitchFamily="34" charset="0"/>
              </a:rPr>
              <a:t>Common Eq.</a:t>
            </a:r>
          </a:p>
        </xdr:txBody>
      </xdr:sp>
    </xdr:grpSp>
    <xdr:clientData/>
  </xdr:twoCellAnchor>
  <xdr:twoCellAnchor>
    <xdr:from>
      <xdr:col>2</xdr:col>
      <xdr:colOff>571500</xdr:colOff>
      <xdr:row>4</xdr:row>
      <xdr:rowOff>152400</xdr:rowOff>
    </xdr:from>
    <xdr:to>
      <xdr:col>2</xdr:col>
      <xdr:colOff>2674620</xdr:colOff>
      <xdr:row>6</xdr:row>
      <xdr:rowOff>33149</xdr:rowOff>
    </xdr:to>
    <xdr:sp macro="" textlink="">
      <xdr:nvSpPr>
        <xdr:cNvPr id="78" name="TextBox 16">
          <a:extLst>
            <a:ext uri="{FF2B5EF4-FFF2-40B4-BE49-F238E27FC236}">
              <a16:creationId xmlns:a16="http://schemas.microsoft.com/office/drawing/2014/main" id="{281013FA-93F9-4859-A75B-9F7416D824A8}"/>
            </a:ext>
          </a:extLst>
        </xdr:cNvPr>
        <xdr:cNvSpPr txBox="1"/>
      </xdr:nvSpPr>
      <xdr:spPr>
        <a:xfrm>
          <a:off x="3055620" y="1104900"/>
          <a:ext cx="2103120" cy="269369"/>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u="sng">
              <a:solidFill>
                <a:srgbClr val="393F47"/>
              </a:solidFill>
              <a:latin typeface="Arial" panose="020B0604020202020204" pitchFamily="34" charset="0"/>
              <a:cs typeface="Arial" panose="020B0604020202020204" pitchFamily="34" charset="0"/>
            </a:rPr>
            <a:t>Capital Accounts 2</a:t>
          </a:r>
        </a:p>
      </xdr:txBody>
    </xdr:sp>
    <xdr:clientData/>
  </xdr:twoCellAnchor>
  <xdr:twoCellAnchor>
    <xdr:from>
      <xdr:col>6</xdr:col>
      <xdr:colOff>2080260</xdr:colOff>
      <xdr:row>4</xdr:row>
      <xdr:rowOff>152400</xdr:rowOff>
    </xdr:from>
    <xdr:to>
      <xdr:col>9</xdr:col>
      <xdr:colOff>914400</xdr:colOff>
      <xdr:row>6</xdr:row>
      <xdr:rowOff>33149</xdr:rowOff>
    </xdr:to>
    <xdr:sp macro="" textlink="">
      <xdr:nvSpPr>
        <xdr:cNvPr id="79" name="TextBox 16">
          <a:extLst>
            <a:ext uri="{FF2B5EF4-FFF2-40B4-BE49-F238E27FC236}">
              <a16:creationId xmlns:a16="http://schemas.microsoft.com/office/drawing/2014/main" id="{7B17FDB7-237C-4CA3-A605-00ABC12B9EAF}"/>
            </a:ext>
          </a:extLst>
        </xdr:cNvPr>
        <xdr:cNvSpPr txBox="1"/>
      </xdr:nvSpPr>
      <xdr:spPr>
        <a:xfrm>
          <a:off x="11376660" y="1104900"/>
          <a:ext cx="3253740" cy="269369"/>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u="sng">
              <a:solidFill>
                <a:srgbClr val="393F47"/>
              </a:solidFill>
              <a:latin typeface="Arial" panose="020B0604020202020204" pitchFamily="34" charset="0"/>
              <a:cs typeface="Arial" panose="020B0604020202020204" pitchFamily="34" charset="0"/>
            </a:rPr>
            <a:t>J.V. Profit Sharing: Equity Waterfall 2</a:t>
          </a:r>
        </a:p>
      </xdr:txBody>
    </xdr:sp>
    <xdr:clientData/>
  </xdr:twoCellAnchor>
  <xdr:twoCellAnchor>
    <xdr:from>
      <xdr:col>5</xdr:col>
      <xdr:colOff>1005840</xdr:colOff>
      <xdr:row>8</xdr:row>
      <xdr:rowOff>7620</xdr:rowOff>
    </xdr:from>
    <xdr:to>
      <xdr:col>5</xdr:col>
      <xdr:colOff>1005840</xdr:colOff>
      <xdr:row>36</xdr:row>
      <xdr:rowOff>190500</xdr:rowOff>
    </xdr:to>
    <xdr:cxnSp macro="">
      <xdr:nvCxnSpPr>
        <xdr:cNvPr id="80" name="Straight Connector 79">
          <a:extLst>
            <a:ext uri="{FF2B5EF4-FFF2-40B4-BE49-F238E27FC236}">
              <a16:creationId xmlns:a16="http://schemas.microsoft.com/office/drawing/2014/main" id="{D21042BD-F984-485B-9499-4E24D36B129F}"/>
            </a:ext>
          </a:extLst>
        </xdr:cNvPr>
        <xdr:cNvCxnSpPr/>
      </xdr:nvCxnSpPr>
      <xdr:spPr>
        <a:xfrm>
          <a:off x="8199120" y="1744980"/>
          <a:ext cx="0" cy="5524500"/>
        </a:xfrm>
        <a:prstGeom prst="line">
          <a:avLst/>
        </a:prstGeom>
        <a:ln w="19050">
          <a:solidFill>
            <a:srgbClr val="393F4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609600</xdr:colOff>
      <xdr:row>19</xdr:row>
      <xdr:rowOff>76200</xdr:rowOff>
    </xdr:from>
    <xdr:to>
      <xdr:col>1</xdr:col>
      <xdr:colOff>1419225</xdr:colOff>
      <xdr:row>22</xdr:row>
      <xdr:rowOff>38100</xdr:rowOff>
    </xdr:to>
    <xdr:sp macro="" textlink="">
      <xdr:nvSpPr>
        <xdr:cNvPr id="81" name="TextBox 37">
          <a:extLst>
            <a:ext uri="{FF2B5EF4-FFF2-40B4-BE49-F238E27FC236}">
              <a16:creationId xmlns:a16="http://schemas.microsoft.com/office/drawing/2014/main" id="{20E2DA36-19E4-4F72-884B-62E4A7F0E8B3}"/>
            </a:ext>
          </a:extLst>
        </xdr:cNvPr>
        <xdr:cNvSpPr txBox="1"/>
      </xdr:nvSpPr>
      <xdr:spPr>
        <a:xfrm>
          <a:off x="904875" y="3810000"/>
          <a:ext cx="809625" cy="476250"/>
        </a:xfrm>
        <a:prstGeom prst="rect">
          <a:avLst/>
        </a:prstGeom>
        <a:noFill/>
        <a:ln>
          <a:solidFill>
            <a:srgbClr val="C0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393F47"/>
              </a:solidFill>
              <a:latin typeface="Arial" panose="020B0604020202020204" pitchFamily="34" charset="0"/>
              <a:cs typeface="Arial" panose="020B0604020202020204" pitchFamily="34" charset="0"/>
            </a:rPr>
            <a:t>SCP</a:t>
          </a:r>
        </a:p>
      </xdr:txBody>
    </xdr:sp>
    <xdr:clientData/>
  </xdr:twoCellAnchor>
  <xdr:twoCellAnchor>
    <xdr:from>
      <xdr:col>5</xdr:col>
      <xdr:colOff>2028825</xdr:colOff>
      <xdr:row>10</xdr:row>
      <xdr:rowOff>171450</xdr:rowOff>
    </xdr:from>
    <xdr:to>
      <xdr:col>6</xdr:col>
      <xdr:colOff>733425</xdr:colOff>
      <xdr:row>13</xdr:row>
      <xdr:rowOff>104775</xdr:rowOff>
    </xdr:to>
    <xdr:sp macro="" textlink="">
      <xdr:nvSpPr>
        <xdr:cNvPr id="82" name="TextBox 37">
          <a:extLst>
            <a:ext uri="{FF2B5EF4-FFF2-40B4-BE49-F238E27FC236}">
              <a16:creationId xmlns:a16="http://schemas.microsoft.com/office/drawing/2014/main" id="{2F92B7DF-DA37-4D3D-992E-70DEEAF5BA3A}"/>
            </a:ext>
          </a:extLst>
        </xdr:cNvPr>
        <xdr:cNvSpPr txBox="1"/>
      </xdr:nvSpPr>
      <xdr:spPr>
        <a:xfrm>
          <a:off x="9229725" y="2333625"/>
          <a:ext cx="809625" cy="476250"/>
        </a:xfrm>
        <a:prstGeom prst="rect">
          <a:avLst/>
        </a:prstGeom>
        <a:noFill/>
        <a:ln>
          <a:solidFill>
            <a:srgbClr val="C00000"/>
          </a:solid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393F47"/>
              </a:solidFill>
              <a:latin typeface="Arial" panose="020B0604020202020204" pitchFamily="34" charset="0"/>
              <a:cs typeface="Arial" panose="020B0604020202020204" pitchFamily="34" charset="0"/>
            </a:rPr>
            <a:t>SCP</a:t>
          </a:r>
        </a:p>
      </xdr:txBody>
    </xdr:sp>
    <xdr:clientData/>
  </xdr:twoCellAnchor>
  <xdr:twoCellAnchor editAs="oneCell">
    <xdr:from>
      <xdr:col>1</xdr:col>
      <xdr:colOff>0</xdr:colOff>
      <xdr:row>38</xdr:row>
      <xdr:rowOff>9525</xdr:rowOff>
    </xdr:from>
    <xdr:to>
      <xdr:col>3</xdr:col>
      <xdr:colOff>1029483</xdr:colOff>
      <xdr:row>42</xdr:row>
      <xdr:rowOff>191503</xdr:rowOff>
    </xdr:to>
    <xdr:pic>
      <xdr:nvPicPr>
        <xdr:cNvPr id="3" name="Picture 2">
          <a:extLst>
            <a:ext uri="{FF2B5EF4-FFF2-40B4-BE49-F238E27FC236}">
              <a16:creationId xmlns:a16="http://schemas.microsoft.com/office/drawing/2014/main" id="{11F18121-5F8D-425C-AC52-FFA521E61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7734300"/>
          <a:ext cx="5868183" cy="8773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24</xdr:row>
      <xdr:rowOff>0</xdr:rowOff>
    </xdr:from>
    <xdr:to>
      <xdr:col>17</xdr:col>
      <xdr:colOff>0</xdr:colOff>
      <xdr:row>24</xdr:row>
      <xdr:rowOff>0</xdr:rowOff>
    </xdr:to>
    <xdr:cxnSp macro="">
      <xdr:nvCxnSpPr>
        <xdr:cNvPr id="4" name="Straight Connector 3">
          <a:extLst>
            <a:ext uri="{FF2B5EF4-FFF2-40B4-BE49-F238E27FC236}">
              <a16:creationId xmlns:a16="http://schemas.microsoft.com/office/drawing/2014/main" id="{B17B59EF-A033-4B02-9710-101ABAFA0FDF}"/>
            </a:ext>
          </a:extLst>
        </xdr:cNvPr>
        <xdr:cNvCxnSpPr/>
      </xdr:nvCxnSpPr>
      <xdr:spPr>
        <a:xfrm>
          <a:off x="297180" y="9685020"/>
          <a:ext cx="1937766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24</xdr:row>
      <xdr:rowOff>9525</xdr:rowOff>
    </xdr:from>
    <xdr:to>
      <xdr:col>5</xdr:col>
      <xdr:colOff>210333</xdr:colOff>
      <xdr:row>28</xdr:row>
      <xdr:rowOff>191503</xdr:rowOff>
    </xdr:to>
    <xdr:pic>
      <xdr:nvPicPr>
        <xdr:cNvPr id="3" name="Picture 2">
          <a:extLst>
            <a:ext uri="{FF2B5EF4-FFF2-40B4-BE49-F238E27FC236}">
              <a16:creationId xmlns:a16="http://schemas.microsoft.com/office/drawing/2014/main" id="{201938C9-A510-4326-B9B3-ADC30797FE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4991100"/>
          <a:ext cx="5868183" cy="8773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121</xdr:row>
      <xdr:rowOff>226695</xdr:rowOff>
    </xdr:from>
    <xdr:to>
      <xdr:col>11</xdr:col>
      <xdr:colOff>22860</xdr:colOff>
      <xdr:row>121</xdr:row>
      <xdr:rowOff>226695</xdr:rowOff>
    </xdr:to>
    <xdr:cxnSp macro="">
      <xdr:nvCxnSpPr>
        <xdr:cNvPr id="4" name="Straight Connector 3">
          <a:extLst>
            <a:ext uri="{FF2B5EF4-FFF2-40B4-BE49-F238E27FC236}">
              <a16:creationId xmlns:a16="http://schemas.microsoft.com/office/drawing/2014/main" id="{0EEA038C-478E-42A0-8CE6-5D988CF5B4EA}"/>
            </a:ext>
          </a:extLst>
        </xdr:cNvPr>
        <xdr:cNvCxnSpPr/>
      </xdr:nvCxnSpPr>
      <xdr:spPr>
        <a:xfrm>
          <a:off x="285750" y="20248245"/>
          <a:ext cx="11767185"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68580</xdr:colOff>
      <xdr:row>36</xdr:row>
      <xdr:rowOff>114300</xdr:rowOff>
    </xdr:from>
    <xdr:to>
      <xdr:col>11</xdr:col>
      <xdr:colOff>152400</xdr:colOff>
      <xdr:row>56</xdr:row>
      <xdr:rowOff>179294</xdr:rowOff>
    </xdr:to>
    <xdr:sp macro="" textlink="">
      <xdr:nvSpPr>
        <xdr:cNvPr id="6" name="TextBox 5">
          <a:extLst>
            <a:ext uri="{FF2B5EF4-FFF2-40B4-BE49-F238E27FC236}">
              <a16:creationId xmlns:a16="http://schemas.microsoft.com/office/drawing/2014/main" id="{54E3041A-340C-4751-BD52-C67565D6847B}"/>
            </a:ext>
          </a:extLst>
        </xdr:cNvPr>
        <xdr:cNvSpPr txBox="1"/>
      </xdr:nvSpPr>
      <xdr:spPr>
        <a:xfrm>
          <a:off x="8121874" y="6830359"/>
          <a:ext cx="4386879" cy="3680759"/>
        </a:xfrm>
        <a:prstGeom prst="rect">
          <a:avLst/>
        </a:prstGeom>
        <a:solidFill>
          <a:schemeClr val="lt1"/>
        </a:solidFill>
        <a:ln w="6350" cmpd="sng">
          <a:solidFill>
            <a:srgbClr val="B0AEA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93F47"/>
              </a:solidFill>
              <a:latin typeface="Arial" panose="020B0604020202020204" pitchFamily="34" charset="0"/>
              <a:cs typeface="Arial" panose="020B0604020202020204" pitchFamily="34" charset="0"/>
            </a:rPr>
            <a:t>Discussion:</a:t>
          </a:r>
        </a:p>
        <a:p>
          <a:endParaRPr lang="en-US" sz="1100" b="1">
            <a:solidFill>
              <a:srgbClr val="393F47"/>
            </a:solidFill>
            <a:latin typeface="Arial" panose="020B0604020202020204" pitchFamily="34" charset="0"/>
            <a:cs typeface="Arial" panose="020B0604020202020204" pitchFamily="34" charset="0"/>
          </a:endParaRPr>
        </a:p>
        <a:p>
          <a:r>
            <a:rPr lang="en-US" sz="1100" b="0">
              <a:solidFill>
                <a:srgbClr val="393F47"/>
              </a:solidFill>
              <a:latin typeface="Arial" panose="020B0604020202020204" pitchFamily="34" charset="0"/>
              <a:cs typeface="Arial" panose="020B0604020202020204" pitchFamily="34" charset="0"/>
            </a:rPr>
            <a:t>- The</a:t>
          </a:r>
          <a:r>
            <a:rPr lang="en-US" sz="1100" b="0" baseline="0">
              <a:solidFill>
                <a:srgbClr val="393F47"/>
              </a:solidFill>
              <a:latin typeface="Arial" panose="020B0604020202020204" pitchFamily="34" charset="0"/>
              <a:cs typeface="Arial" panose="020B0604020202020204" pitchFamily="34" charset="0"/>
            </a:rPr>
            <a:t> two deals deliver almost identical expected returns, 16.8% IRR for deal structure 1 versus 17.0% for deal structure 2.</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Deal structure 1's downside case is meaningfully smaller, with being only -10.2% for the worst case versus the -15.4% for the worst case of deal structure 2. The volatility is also lower for deal structure 1, with a standard deviation of 14.6% versus 17.4%. So, although it has a lower IRR by 20 bps, it has downside protection. Because deal structure 1's preferred return is drawn sequentially after common, it lowers the early accrual and therefore creates that softer worst case.</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Deal structure 1 also has a higher return per unit of risk: 1.15 versus 0.98 for deal structure 2.</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I would recommend deal structure 1 because you give up 20 bps of expected IRR, yet you gain a comfortable downside protection and a better return per unit of risk. I feel like that risk adjusted edge is more valuable than the slight increase in IRR in deal structure 2.</a:t>
          </a:r>
          <a:endParaRPr lang="en-US" sz="1100" b="1">
            <a:solidFill>
              <a:srgbClr val="393F47"/>
            </a:solidFill>
            <a:latin typeface="Arial" panose="020B0604020202020204" pitchFamily="34" charset="0"/>
            <a:cs typeface="Arial" panose="020B0604020202020204" pitchFamily="34" charset="0"/>
          </a:endParaRPr>
        </a:p>
      </xdr:txBody>
    </xdr:sp>
    <xdr:clientData/>
  </xdr:twoCellAnchor>
  <xdr:twoCellAnchor>
    <xdr:from>
      <xdr:col>7</xdr:col>
      <xdr:colOff>76200</xdr:colOff>
      <xdr:row>59</xdr:row>
      <xdr:rowOff>114300</xdr:rowOff>
    </xdr:from>
    <xdr:to>
      <xdr:col>11</xdr:col>
      <xdr:colOff>160020</xdr:colOff>
      <xdr:row>82</xdr:row>
      <xdr:rowOff>14941</xdr:rowOff>
    </xdr:to>
    <xdr:sp macro="" textlink="">
      <xdr:nvSpPr>
        <xdr:cNvPr id="7" name="TextBox 6">
          <a:extLst>
            <a:ext uri="{FF2B5EF4-FFF2-40B4-BE49-F238E27FC236}">
              <a16:creationId xmlns:a16="http://schemas.microsoft.com/office/drawing/2014/main" id="{85E00585-5DEE-4ED6-B76C-114CF711E3FF}"/>
            </a:ext>
          </a:extLst>
        </xdr:cNvPr>
        <xdr:cNvSpPr txBox="1"/>
      </xdr:nvSpPr>
      <xdr:spPr>
        <a:xfrm>
          <a:off x="8129494" y="11051241"/>
          <a:ext cx="4386879" cy="4016935"/>
        </a:xfrm>
        <a:prstGeom prst="rect">
          <a:avLst/>
        </a:prstGeom>
        <a:solidFill>
          <a:schemeClr val="lt1"/>
        </a:solidFill>
        <a:ln w="6350" cmpd="sng">
          <a:solidFill>
            <a:srgbClr val="B0AEA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93F47"/>
              </a:solidFill>
              <a:latin typeface="Arial" panose="020B0604020202020204" pitchFamily="34" charset="0"/>
              <a:cs typeface="Arial" panose="020B0604020202020204" pitchFamily="34" charset="0"/>
            </a:rPr>
            <a:t>Discussion:</a:t>
          </a:r>
        </a:p>
        <a:p>
          <a:endParaRPr lang="en-US" sz="1100" b="1">
            <a:solidFill>
              <a:srgbClr val="393F47"/>
            </a:solidFill>
            <a:latin typeface="Arial" panose="020B0604020202020204" pitchFamily="34" charset="0"/>
            <a:cs typeface="Arial" panose="020B0604020202020204" pitchFamily="34" charset="0"/>
          </a:endParaRPr>
        </a:p>
        <a:p>
          <a:r>
            <a:rPr lang="en-US" sz="1100" b="0">
              <a:solidFill>
                <a:srgbClr val="393F47"/>
              </a:solidFill>
              <a:latin typeface="Arial" panose="020B0604020202020204" pitchFamily="34" charset="0"/>
              <a:cs typeface="Arial" panose="020B0604020202020204" pitchFamily="34" charset="0"/>
            </a:rPr>
            <a:t>- Deal structure 2 is better for the LP in terms of expected returns, as the IRR is</a:t>
          </a:r>
          <a:r>
            <a:rPr lang="en-US" sz="1100" b="0" baseline="0">
              <a:solidFill>
                <a:srgbClr val="393F47"/>
              </a:solidFill>
              <a:latin typeface="Arial" panose="020B0604020202020204" pitchFamily="34" charset="0"/>
              <a:cs typeface="Arial" panose="020B0604020202020204" pitchFamily="34" charset="0"/>
            </a:rPr>
            <a:t> slightly higher at 11.9% versus 11.5% for deal structure 1.</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Deal structure 2 also yields the smallest potential losses, because the worse case return is milder at -5.1% versus -8.6%. The standard deviation is also calmer: 8.8% versus 10.4%.</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The combination above is what causes deal structure to have a higher return per unit of risk of 1.36 versus 1.11</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This would impact the co-investor performance because since the the 12% preferred rate starts accruing on day one, and because the same party owns the preferred and LP position, there's a strong incentive to manage the project to clear the preferred hurdle and then pay the LP. Deal structure 2 improves the LP's expected return, downside protection, and consistency (lower standard deviation).</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I would recommend going with deal structure 2 for the LP because of the returns and the risk adjusted outcomes (milder worse case and lower standard deviation.</a:t>
          </a:r>
        </a:p>
      </xdr:txBody>
    </xdr:sp>
    <xdr:clientData/>
  </xdr:twoCellAnchor>
  <xdr:twoCellAnchor>
    <xdr:from>
      <xdr:col>7</xdr:col>
      <xdr:colOff>68580</xdr:colOff>
      <xdr:row>83</xdr:row>
      <xdr:rowOff>175260</xdr:rowOff>
    </xdr:from>
    <xdr:to>
      <xdr:col>11</xdr:col>
      <xdr:colOff>152400</xdr:colOff>
      <xdr:row>109</xdr:row>
      <xdr:rowOff>59765</xdr:rowOff>
    </xdr:to>
    <xdr:sp macro="" textlink="">
      <xdr:nvSpPr>
        <xdr:cNvPr id="9" name="TextBox 8">
          <a:extLst>
            <a:ext uri="{FF2B5EF4-FFF2-40B4-BE49-F238E27FC236}">
              <a16:creationId xmlns:a16="http://schemas.microsoft.com/office/drawing/2014/main" id="{26BDA319-6F3B-4E2B-ACD6-DC08BF6AF654}"/>
            </a:ext>
          </a:extLst>
        </xdr:cNvPr>
        <xdr:cNvSpPr txBox="1"/>
      </xdr:nvSpPr>
      <xdr:spPr>
        <a:xfrm>
          <a:off x="8121874" y="15445142"/>
          <a:ext cx="4386879" cy="4336976"/>
        </a:xfrm>
        <a:prstGeom prst="rect">
          <a:avLst/>
        </a:prstGeom>
        <a:solidFill>
          <a:schemeClr val="lt1"/>
        </a:solidFill>
        <a:ln w="6350" cmpd="sng">
          <a:solidFill>
            <a:srgbClr val="B0AEA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93F47"/>
              </a:solidFill>
              <a:latin typeface="Arial" panose="020B0604020202020204" pitchFamily="34" charset="0"/>
              <a:cs typeface="Arial" panose="020B0604020202020204" pitchFamily="34" charset="0"/>
            </a:rPr>
            <a:t>Discussion:</a:t>
          </a:r>
        </a:p>
        <a:p>
          <a:endParaRPr lang="en-US" sz="1100" b="1">
            <a:solidFill>
              <a:srgbClr val="393F47"/>
            </a:solidFill>
            <a:latin typeface="Arial" panose="020B0604020202020204" pitchFamily="34" charset="0"/>
            <a:cs typeface="Arial" panose="020B0604020202020204" pitchFamily="34" charset="0"/>
          </a:endParaRPr>
        </a:p>
        <a:p>
          <a:r>
            <a:rPr lang="en-US" sz="1100" b="0">
              <a:solidFill>
                <a:srgbClr val="393F47"/>
              </a:solidFill>
              <a:latin typeface="Arial" panose="020B0604020202020204" pitchFamily="34" charset="0"/>
              <a:cs typeface="Arial" panose="020B0604020202020204" pitchFamily="34" charset="0"/>
            </a:rPr>
            <a:t>- Deal structure 2</a:t>
          </a:r>
          <a:r>
            <a:rPr lang="en-US" sz="1100" b="0" baseline="0">
              <a:solidFill>
                <a:srgbClr val="393F47"/>
              </a:solidFill>
              <a:latin typeface="Arial" panose="020B0604020202020204" pitchFamily="34" charset="0"/>
              <a:cs typeface="Arial" panose="020B0604020202020204" pitchFamily="34" charset="0"/>
            </a:rPr>
            <a:t> yields greater expected returns with a slighly higher 48.0% compared to deal structure 1's 46.2%.</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However, deal structure 2 carries a greater volatility, with a standard deviation of 39.7% versus 35.6% and a lower return in the worst case, -22.9% versus -19.9%.</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Deal structure continues to be a more risk adjusted option, with a higher return per unit of risk of 1.30 versus 1.21.</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Because of the structuring, in deal structure 1, there is lower cost of senior capital and a later start of accrual which means that there is a better chance of getting paid in normal/average outcomes. This also means that there are softer best and worse case scenarios and a higher return per unit of risk. For deal structure 2, accrual starts from the beginning, which means once the preferred is cleared then there's a larger residual. This makes the tail ends (best and worse cases) more pronounced and more volatile.</a:t>
          </a:r>
        </a:p>
        <a:p>
          <a:endParaRPr lang="en-US" sz="1100" b="0" baseline="0">
            <a:solidFill>
              <a:srgbClr val="393F47"/>
            </a:solidFill>
            <a:latin typeface="Arial" panose="020B0604020202020204" pitchFamily="34" charset="0"/>
            <a:cs typeface="Arial" panose="020B0604020202020204" pitchFamily="34" charset="0"/>
          </a:endParaRPr>
        </a:p>
        <a:p>
          <a:r>
            <a:rPr lang="en-US" sz="1100" b="0" baseline="0">
              <a:solidFill>
                <a:srgbClr val="393F47"/>
              </a:solidFill>
              <a:latin typeface="Arial" panose="020B0604020202020204" pitchFamily="34" charset="0"/>
              <a:cs typeface="Arial" panose="020B0604020202020204" pitchFamily="34" charset="0"/>
            </a:rPr>
            <a:t>- I would recommend going with deal structure 1 still, even though you are giving up 180 bps of expected return IRR and the potential for quite a high 94.6% return in a best case scenario. At the sponsor level, you improve your risk efficiency with a return per unit of risk of 1.30 and a lower standard deviation as well as worse case</a:t>
          </a:r>
        </a:p>
        <a:p>
          <a:endParaRPr lang="en-US" sz="1100" b="0" baseline="0">
            <a:solidFill>
              <a:srgbClr val="393F47"/>
            </a:solidFill>
            <a:latin typeface="Arial" panose="020B0604020202020204" pitchFamily="34" charset="0"/>
            <a:cs typeface="Arial" panose="020B0604020202020204" pitchFamily="34" charset="0"/>
          </a:endParaRPr>
        </a:p>
        <a:p>
          <a:endParaRPr lang="en-US" sz="1100" b="0" baseline="0">
            <a:solidFill>
              <a:srgbClr val="393F47"/>
            </a:solidFill>
            <a:latin typeface="Arial" panose="020B0604020202020204" pitchFamily="34" charset="0"/>
            <a:cs typeface="Arial" panose="020B0604020202020204" pitchFamily="34" charset="0"/>
          </a:endParaRPr>
        </a:p>
        <a:p>
          <a:endParaRPr lang="en-US" sz="1100" b="0">
            <a:solidFill>
              <a:srgbClr val="393F47"/>
            </a:solidFill>
            <a:latin typeface="Arial" panose="020B0604020202020204" pitchFamily="34" charset="0"/>
            <a:cs typeface="Arial" panose="020B0604020202020204" pitchFamily="34" charset="0"/>
          </a:endParaRPr>
        </a:p>
      </xdr:txBody>
    </xdr:sp>
    <xdr:clientData/>
  </xdr:twoCellAnchor>
  <xdr:twoCellAnchor>
    <xdr:from>
      <xdr:col>0</xdr:col>
      <xdr:colOff>259378</xdr:colOff>
      <xdr:row>110</xdr:row>
      <xdr:rowOff>74705</xdr:rowOff>
    </xdr:from>
    <xdr:to>
      <xdr:col>11</xdr:col>
      <xdr:colOff>61258</xdr:colOff>
      <xdr:row>121</xdr:row>
      <xdr:rowOff>194383</xdr:rowOff>
    </xdr:to>
    <xdr:sp macro="" textlink="">
      <xdr:nvSpPr>
        <xdr:cNvPr id="10" name="TextBox 9">
          <a:extLst>
            <a:ext uri="{FF2B5EF4-FFF2-40B4-BE49-F238E27FC236}">
              <a16:creationId xmlns:a16="http://schemas.microsoft.com/office/drawing/2014/main" id="{79A1DB2F-EFB5-4056-AE63-D3639A7FAC7F}"/>
            </a:ext>
          </a:extLst>
        </xdr:cNvPr>
        <xdr:cNvSpPr txBox="1"/>
      </xdr:nvSpPr>
      <xdr:spPr>
        <a:xfrm>
          <a:off x="259378" y="19976352"/>
          <a:ext cx="12158233" cy="2166619"/>
        </a:xfrm>
        <a:prstGeom prst="rect">
          <a:avLst/>
        </a:prstGeom>
        <a:solidFill>
          <a:schemeClr val="lt1"/>
        </a:solidFill>
        <a:ln w="6350" cmpd="sng">
          <a:solidFill>
            <a:srgbClr val="B0AEA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93F47"/>
              </a:solidFill>
              <a:latin typeface="Arial" panose="020B0604020202020204" pitchFamily="34" charset="0"/>
              <a:cs typeface="Arial" panose="020B0604020202020204" pitchFamily="34" charset="0"/>
            </a:rPr>
            <a:t>Conclusion:</a:t>
          </a:r>
        </a:p>
        <a:p>
          <a:endParaRPr lang="en-US" sz="1100">
            <a:solidFill>
              <a:srgbClr val="393F47"/>
            </a:solidFill>
            <a:latin typeface="Arial" panose="020B0604020202020204" pitchFamily="34" charset="0"/>
            <a:cs typeface="Arial" panose="020B0604020202020204" pitchFamily="34" charset="0"/>
          </a:endParaRPr>
        </a:p>
        <a:p>
          <a:r>
            <a:rPr lang="en-US" sz="1100">
              <a:solidFill>
                <a:srgbClr val="393F47"/>
              </a:solidFill>
              <a:latin typeface="Arial" panose="020B0604020202020204" pitchFamily="34" charset="0"/>
              <a:cs typeface="Arial" panose="020B0604020202020204" pitchFamily="34" charset="0"/>
            </a:rPr>
            <a:t>I would choose</a:t>
          </a:r>
          <a:r>
            <a:rPr lang="en-US" sz="1100" baseline="0">
              <a:solidFill>
                <a:srgbClr val="393F47"/>
              </a:solidFill>
              <a:latin typeface="Arial" panose="020B0604020202020204" pitchFamily="34" charset="0"/>
              <a:cs typeface="Arial" panose="020B0604020202020204" pitchFamily="34" charset="0"/>
            </a:rPr>
            <a:t> deal structure 1 because of the the better risk efficiency for the whole stack. I prefer taking a more risk adverse approach to this deal and that's why I feel more comfortable going with that deal. Deal structure 1's return per risk is higher and it also has a shollower worst case. I accept giving up 20 bps of expected IRR (16.8% versus 17.0%) at the total equity level if that means having a more stable downside protection (-10.2% versus -15.4%) and a less volatile performance (14.6% versus 17.4% standard deviation). For the GP, deal structure 1 raises the probability of earning a promote in a more base case. The 9% preferred starts later, which essentially means less accrual during some of those early months where there can be a lot of risk (with scheduling, lease-up, etc). On the LP side, deal structure 2 is a little more optimal, but the returns are still sold and still will benefit from a more durable capital stack. As the GP, I want to hedge my bets on stability and a higher likelihood of earning a promote in typical outcomes. Deal structure 1 is simpler to execute because you deploy common first, then draw the preferred. This makes for easier tracking of uses and sources, and simpler accrual schedules during the risky months. There is not the same complex distribution logic from day one like in deal structure 2. This would leave more energy to focus on building and leasing rather than managing accrual timelines. One way to make this deal a little more appealing to the LP could be to change the LP priority before promote to a low IRR but enough to give a little extra protection first to the LP. The timing would shift for the GP, but the return wouldn't necessarily change.</a:t>
          </a:r>
          <a:endParaRPr lang="en-US" sz="1100">
            <a:solidFill>
              <a:srgbClr val="393F47"/>
            </a:solidFill>
            <a:latin typeface="Arial" panose="020B0604020202020204" pitchFamily="34" charset="0"/>
            <a:cs typeface="Arial" panose="020B0604020202020204" pitchFamily="34" charset="0"/>
          </a:endParaRPr>
        </a:p>
      </xdr:txBody>
    </xdr:sp>
    <xdr:clientData/>
  </xdr:twoCellAnchor>
  <xdr:twoCellAnchor editAs="oneCell">
    <xdr:from>
      <xdr:col>1</xdr:col>
      <xdr:colOff>0</xdr:colOff>
      <xdr:row>122</xdr:row>
      <xdr:rowOff>9338</xdr:rowOff>
    </xdr:from>
    <xdr:to>
      <xdr:col>5</xdr:col>
      <xdr:colOff>414653</xdr:colOff>
      <xdr:row>126</xdr:row>
      <xdr:rowOff>204950</xdr:rowOff>
    </xdr:to>
    <xdr:pic>
      <xdr:nvPicPr>
        <xdr:cNvPr id="2" name="Picture 1">
          <a:extLst>
            <a:ext uri="{FF2B5EF4-FFF2-40B4-BE49-F238E27FC236}">
              <a16:creationId xmlns:a16="http://schemas.microsoft.com/office/drawing/2014/main" id="{A0A8D4C4-0D63-471A-84EB-29228F1206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485" y="21552647"/>
          <a:ext cx="5868183" cy="87730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77</xdr:row>
      <xdr:rowOff>226695</xdr:rowOff>
    </xdr:from>
    <xdr:to>
      <xdr:col>8</xdr:col>
      <xdr:colOff>106680</xdr:colOff>
      <xdr:row>77</xdr:row>
      <xdr:rowOff>226695</xdr:rowOff>
    </xdr:to>
    <xdr:cxnSp macro="">
      <xdr:nvCxnSpPr>
        <xdr:cNvPr id="4" name="Straight Connector 3">
          <a:extLst>
            <a:ext uri="{FF2B5EF4-FFF2-40B4-BE49-F238E27FC236}">
              <a16:creationId xmlns:a16="http://schemas.microsoft.com/office/drawing/2014/main" id="{78E2C5EB-3223-4454-BCEA-4D0BF448AF56}"/>
            </a:ext>
          </a:extLst>
        </xdr:cNvPr>
        <xdr:cNvCxnSpPr/>
      </xdr:nvCxnSpPr>
      <xdr:spPr>
        <a:xfrm>
          <a:off x="285750" y="12028170"/>
          <a:ext cx="9869805"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78</xdr:row>
      <xdr:rowOff>9525</xdr:rowOff>
    </xdr:from>
    <xdr:to>
      <xdr:col>4</xdr:col>
      <xdr:colOff>715158</xdr:colOff>
      <xdr:row>82</xdr:row>
      <xdr:rowOff>191503</xdr:rowOff>
    </xdr:to>
    <xdr:pic>
      <xdr:nvPicPr>
        <xdr:cNvPr id="2" name="Picture 1">
          <a:extLst>
            <a:ext uri="{FF2B5EF4-FFF2-40B4-BE49-F238E27FC236}">
              <a16:creationId xmlns:a16="http://schemas.microsoft.com/office/drawing/2014/main" id="{A94EF4AD-504D-44C1-A179-032A09CCF3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12039600"/>
          <a:ext cx="5868183" cy="8773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34</xdr:row>
      <xdr:rowOff>226695</xdr:rowOff>
    </xdr:from>
    <xdr:to>
      <xdr:col>8</xdr:col>
      <xdr:colOff>106680</xdr:colOff>
      <xdr:row>34</xdr:row>
      <xdr:rowOff>226695</xdr:rowOff>
    </xdr:to>
    <xdr:cxnSp macro="">
      <xdr:nvCxnSpPr>
        <xdr:cNvPr id="8" name="Straight Connector 7">
          <a:extLst>
            <a:ext uri="{FF2B5EF4-FFF2-40B4-BE49-F238E27FC236}">
              <a16:creationId xmlns:a16="http://schemas.microsoft.com/office/drawing/2014/main" id="{259FC6BC-900A-4BAB-A42F-EA9DC0B78B2A}"/>
            </a:ext>
          </a:extLst>
        </xdr:cNvPr>
        <xdr:cNvCxnSpPr/>
      </xdr:nvCxnSpPr>
      <xdr:spPr>
        <a:xfrm>
          <a:off x="285750" y="6227445"/>
          <a:ext cx="9641205"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35</xdr:row>
      <xdr:rowOff>9525</xdr:rowOff>
    </xdr:from>
    <xdr:to>
      <xdr:col>4</xdr:col>
      <xdr:colOff>791358</xdr:colOff>
      <xdr:row>39</xdr:row>
      <xdr:rowOff>191503</xdr:rowOff>
    </xdr:to>
    <xdr:pic>
      <xdr:nvPicPr>
        <xdr:cNvPr id="2" name="Picture 1">
          <a:extLst>
            <a:ext uri="{FF2B5EF4-FFF2-40B4-BE49-F238E27FC236}">
              <a16:creationId xmlns:a16="http://schemas.microsoft.com/office/drawing/2014/main" id="{CF869BE0-81A1-4C65-A8C7-83E7F44A2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6238875"/>
          <a:ext cx="5868183" cy="87730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2377440</xdr:colOff>
      <xdr:row>125</xdr:row>
      <xdr:rowOff>38100</xdr:rowOff>
    </xdr:from>
    <xdr:to>
      <xdr:col>1</xdr:col>
      <xdr:colOff>2377440</xdr:colOff>
      <xdr:row>127</xdr:row>
      <xdr:rowOff>177800</xdr:rowOff>
    </xdr:to>
    <xdr:cxnSp macro="">
      <xdr:nvCxnSpPr>
        <xdr:cNvPr id="8" name="Straight Connector 7">
          <a:extLst>
            <a:ext uri="{FF2B5EF4-FFF2-40B4-BE49-F238E27FC236}">
              <a16:creationId xmlns:a16="http://schemas.microsoft.com/office/drawing/2014/main" id="{B1820A5E-C2F7-482D-8105-532E5F600B1B}"/>
            </a:ext>
          </a:extLst>
        </xdr:cNvPr>
        <xdr:cNvCxnSpPr/>
      </xdr:nvCxnSpPr>
      <xdr:spPr>
        <a:xfrm>
          <a:off x="2674620" y="15986760"/>
          <a:ext cx="0" cy="520700"/>
        </a:xfrm>
        <a:prstGeom prst="line">
          <a:avLst/>
        </a:prstGeom>
        <a:ln>
          <a:solidFill>
            <a:srgbClr val="6164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124</xdr:row>
      <xdr:rowOff>3810</xdr:rowOff>
    </xdr:from>
    <xdr:to>
      <xdr:col>15</xdr:col>
      <xdr:colOff>883920</xdr:colOff>
      <xdr:row>124</xdr:row>
      <xdr:rowOff>3810</xdr:rowOff>
    </xdr:to>
    <xdr:cxnSp macro="">
      <xdr:nvCxnSpPr>
        <xdr:cNvPr id="9" name="Straight Connector 8">
          <a:extLst>
            <a:ext uri="{FF2B5EF4-FFF2-40B4-BE49-F238E27FC236}">
              <a16:creationId xmlns:a16="http://schemas.microsoft.com/office/drawing/2014/main" id="{035F1526-14AA-4B40-9A4D-45B6B5FD623C}"/>
            </a:ext>
          </a:extLst>
        </xdr:cNvPr>
        <xdr:cNvCxnSpPr/>
      </xdr:nvCxnSpPr>
      <xdr:spPr>
        <a:xfrm>
          <a:off x="285750" y="23559135"/>
          <a:ext cx="1002792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124</xdr:row>
      <xdr:rowOff>11206</xdr:rowOff>
    </xdr:from>
    <xdr:to>
      <xdr:col>11</xdr:col>
      <xdr:colOff>354889</xdr:colOff>
      <xdr:row>129</xdr:row>
      <xdr:rowOff>3245</xdr:rowOff>
    </xdr:to>
    <xdr:pic>
      <xdr:nvPicPr>
        <xdr:cNvPr id="5" name="Picture 4">
          <a:extLst>
            <a:ext uri="{FF2B5EF4-FFF2-40B4-BE49-F238E27FC236}">
              <a16:creationId xmlns:a16="http://schemas.microsoft.com/office/drawing/2014/main" id="{3C5A78E9-0969-4700-8E67-EFFE470C66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353" y="23565971"/>
          <a:ext cx="5868183" cy="8773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2377440</xdr:colOff>
      <xdr:row>126</xdr:row>
      <xdr:rowOff>38100</xdr:rowOff>
    </xdr:from>
    <xdr:to>
      <xdr:col>1</xdr:col>
      <xdr:colOff>2377440</xdr:colOff>
      <xdr:row>128</xdr:row>
      <xdr:rowOff>177800</xdr:rowOff>
    </xdr:to>
    <xdr:cxnSp macro="">
      <xdr:nvCxnSpPr>
        <xdr:cNvPr id="3" name="Straight Connector 2">
          <a:extLst>
            <a:ext uri="{FF2B5EF4-FFF2-40B4-BE49-F238E27FC236}">
              <a16:creationId xmlns:a16="http://schemas.microsoft.com/office/drawing/2014/main" id="{06C013AE-5F34-46BF-89FC-DA1ED3562350}"/>
            </a:ext>
          </a:extLst>
        </xdr:cNvPr>
        <xdr:cNvCxnSpPr/>
      </xdr:nvCxnSpPr>
      <xdr:spPr>
        <a:xfrm>
          <a:off x="297180" y="23614380"/>
          <a:ext cx="0" cy="520700"/>
        </a:xfrm>
        <a:prstGeom prst="line">
          <a:avLst/>
        </a:prstGeom>
        <a:ln>
          <a:solidFill>
            <a:srgbClr val="6164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125</xdr:row>
      <xdr:rowOff>3810</xdr:rowOff>
    </xdr:from>
    <xdr:to>
      <xdr:col>15</xdr:col>
      <xdr:colOff>883920</xdr:colOff>
      <xdr:row>125</xdr:row>
      <xdr:rowOff>3810</xdr:rowOff>
    </xdr:to>
    <xdr:cxnSp macro="">
      <xdr:nvCxnSpPr>
        <xdr:cNvPr id="4" name="Straight Connector 3">
          <a:extLst>
            <a:ext uri="{FF2B5EF4-FFF2-40B4-BE49-F238E27FC236}">
              <a16:creationId xmlns:a16="http://schemas.microsoft.com/office/drawing/2014/main" id="{A65072A3-E87A-482E-9299-0171F7D51634}"/>
            </a:ext>
          </a:extLst>
        </xdr:cNvPr>
        <xdr:cNvCxnSpPr/>
      </xdr:nvCxnSpPr>
      <xdr:spPr>
        <a:xfrm>
          <a:off x="285750" y="23759160"/>
          <a:ext cx="1002792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2377440</xdr:colOff>
      <xdr:row>128</xdr:row>
      <xdr:rowOff>38100</xdr:rowOff>
    </xdr:from>
    <xdr:to>
      <xdr:col>1</xdr:col>
      <xdr:colOff>2377440</xdr:colOff>
      <xdr:row>130</xdr:row>
      <xdr:rowOff>177800</xdr:rowOff>
    </xdr:to>
    <xdr:cxnSp macro="">
      <xdr:nvCxnSpPr>
        <xdr:cNvPr id="7" name="Straight Connector 6">
          <a:extLst>
            <a:ext uri="{FF2B5EF4-FFF2-40B4-BE49-F238E27FC236}">
              <a16:creationId xmlns:a16="http://schemas.microsoft.com/office/drawing/2014/main" id="{66C7A1DC-5E89-4EA8-B0B8-C99429857CC3}"/>
            </a:ext>
          </a:extLst>
        </xdr:cNvPr>
        <xdr:cNvCxnSpPr/>
      </xdr:nvCxnSpPr>
      <xdr:spPr>
        <a:xfrm>
          <a:off x="297180" y="23995380"/>
          <a:ext cx="0" cy="520700"/>
        </a:xfrm>
        <a:prstGeom prst="line">
          <a:avLst/>
        </a:prstGeom>
        <a:ln>
          <a:solidFill>
            <a:srgbClr val="6164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276225</xdr:colOff>
      <xdr:row>128</xdr:row>
      <xdr:rowOff>161925</xdr:rowOff>
    </xdr:from>
    <xdr:to>
      <xdr:col>9</xdr:col>
      <xdr:colOff>390525</xdr:colOff>
      <xdr:row>130</xdr:row>
      <xdr:rowOff>0</xdr:rowOff>
    </xdr:to>
    <xdr:sp macro="" textlink="">
      <xdr:nvSpPr>
        <xdr:cNvPr id="6" name="Rectangle 5">
          <a:extLst>
            <a:ext uri="{FF2B5EF4-FFF2-40B4-BE49-F238E27FC236}">
              <a16:creationId xmlns:a16="http://schemas.microsoft.com/office/drawing/2014/main" id="{9B491A72-CE46-6802-F455-067D1E7914ED}"/>
            </a:ext>
          </a:extLst>
        </xdr:cNvPr>
        <xdr:cNvSpPr/>
      </xdr:nvSpPr>
      <xdr:spPr>
        <a:xfrm>
          <a:off x="3305175" y="24422100"/>
          <a:ext cx="1028700" cy="2190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125</xdr:row>
      <xdr:rowOff>9525</xdr:rowOff>
    </xdr:from>
    <xdr:to>
      <xdr:col>11</xdr:col>
      <xdr:colOff>381783</xdr:colOff>
      <xdr:row>130</xdr:row>
      <xdr:rowOff>1003</xdr:rowOff>
    </xdr:to>
    <xdr:pic>
      <xdr:nvPicPr>
        <xdr:cNvPr id="11" name="Picture 10">
          <a:extLst>
            <a:ext uri="{FF2B5EF4-FFF2-40B4-BE49-F238E27FC236}">
              <a16:creationId xmlns:a16="http://schemas.microsoft.com/office/drawing/2014/main" id="{845451A0-A018-4121-B81A-1A79B4AAB7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23764875"/>
          <a:ext cx="5868183" cy="8773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129</xdr:row>
      <xdr:rowOff>3810</xdr:rowOff>
    </xdr:from>
    <xdr:to>
      <xdr:col>11</xdr:col>
      <xdr:colOff>883920</xdr:colOff>
      <xdr:row>129</xdr:row>
      <xdr:rowOff>3810</xdr:rowOff>
    </xdr:to>
    <xdr:cxnSp macro="">
      <xdr:nvCxnSpPr>
        <xdr:cNvPr id="3" name="Straight Connector 2">
          <a:extLst>
            <a:ext uri="{FF2B5EF4-FFF2-40B4-BE49-F238E27FC236}">
              <a16:creationId xmlns:a16="http://schemas.microsoft.com/office/drawing/2014/main" id="{ED260F00-857C-4827-BA46-CBAD21D06BE2}"/>
            </a:ext>
          </a:extLst>
        </xdr:cNvPr>
        <xdr:cNvCxnSpPr/>
      </xdr:nvCxnSpPr>
      <xdr:spPr>
        <a:xfrm>
          <a:off x="285750" y="24206835"/>
          <a:ext cx="1029462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129</xdr:row>
      <xdr:rowOff>0</xdr:rowOff>
    </xdr:from>
    <xdr:to>
      <xdr:col>7</xdr:col>
      <xdr:colOff>115083</xdr:colOff>
      <xdr:row>133</xdr:row>
      <xdr:rowOff>181978</xdr:rowOff>
    </xdr:to>
    <xdr:pic>
      <xdr:nvPicPr>
        <xdr:cNvPr id="8" name="Picture 7">
          <a:extLst>
            <a:ext uri="{FF2B5EF4-FFF2-40B4-BE49-F238E27FC236}">
              <a16:creationId xmlns:a16="http://schemas.microsoft.com/office/drawing/2014/main" id="{4F9AA5B6-1B80-470E-A735-22EDA9A313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24203025"/>
          <a:ext cx="5868183" cy="87730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148</xdr:row>
      <xdr:rowOff>3810</xdr:rowOff>
    </xdr:from>
    <xdr:to>
      <xdr:col>11</xdr:col>
      <xdr:colOff>883920</xdr:colOff>
      <xdr:row>148</xdr:row>
      <xdr:rowOff>3810</xdr:rowOff>
    </xdr:to>
    <xdr:cxnSp macro="">
      <xdr:nvCxnSpPr>
        <xdr:cNvPr id="4" name="Straight Connector 3">
          <a:extLst>
            <a:ext uri="{FF2B5EF4-FFF2-40B4-BE49-F238E27FC236}">
              <a16:creationId xmlns:a16="http://schemas.microsoft.com/office/drawing/2014/main" id="{D37E08C0-F3F8-4753-AAA7-C787A874AB24}"/>
            </a:ext>
          </a:extLst>
        </xdr:cNvPr>
        <xdr:cNvCxnSpPr/>
      </xdr:nvCxnSpPr>
      <xdr:spPr>
        <a:xfrm>
          <a:off x="285750" y="27740610"/>
          <a:ext cx="10294620" cy="0"/>
        </a:xfrm>
        <a:prstGeom prst="line">
          <a:avLst/>
        </a:prstGeom>
        <a:ln w="6350">
          <a:solidFill>
            <a:srgbClr val="B0AEA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148</xdr:row>
      <xdr:rowOff>0</xdr:rowOff>
    </xdr:from>
    <xdr:to>
      <xdr:col>7</xdr:col>
      <xdr:colOff>115083</xdr:colOff>
      <xdr:row>152</xdr:row>
      <xdr:rowOff>181978</xdr:rowOff>
    </xdr:to>
    <xdr:pic>
      <xdr:nvPicPr>
        <xdr:cNvPr id="7" name="Picture 6">
          <a:extLst>
            <a:ext uri="{FF2B5EF4-FFF2-40B4-BE49-F238E27FC236}">
              <a16:creationId xmlns:a16="http://schemas.microsoft.com/office/drawing/2014/main" id="{C260EB95-44C8-4B90-931B-B17528840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27736800"/>
          <a:ext cx="5868183" cy="87730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647A-905B-4E2F-BF32-589BB891E32A}">
  <sheetPr codeName="Sheet2">
    <pageSetUpPr fitToPage="1"/>
  </sheetPr>
  <dimension ref="A1:K118"/>
  <sheetViews>
    <sheetView tabSelected="1" zoomScale="76" zoomScaleNormal="56" workbookViewId="0">
      <selection activeCell="G28" sqref="G28"/>
    </sheetView>
  </sheetViews>
  <sheetFormatPr defaultColWidth="12.42578125" defaultRowHeight="14.25" x14ac:dyDescent="0.25"/>
  <cols>
    <col min="1" max="1" width="4.28515625" style="12" customWidth="1"/>
    <col min="2" max="2" width="15.28515625" style="12" customWidth="1"/>
    <col min="3" max="3" width="23.28515625" style="12" customWidth="1"/>
    <col min="4" max="4" width="41.140625" style="12" customWidth="1"/>
    <col min="5" max="5" width="60.140625" style="12" customWidth="1"/>
    <col min="6" max="6" width="31.28515625" style="12" customWidth="1"/>
    <col min="7" max="7" width="22" style="12" customWidth="1"/>
    <col min="8" max="8" width="16.140625" style="12" customWidth="1"/>
    <col min="9" max="96" width="12.28515625" style="12" customWidth="1"/>
    <col min="97" max="996" width="13.28515625" style="12" customWidth="1"/>
    <col min="997" max="9996" width="14.28515625" style="12" customWidth="1"/>
    <col min="9997" max="16384" width="15.28515625" style="12" customWidth="1"/>
  </cols>
  <sheetData>
    <row r="1" spans="1:8" x14ac:dyDescent="0.2">
      <c r="G1" s="342"/>
      <c r="H1" s="343"/>
    </row>
    <row r="2" spans="1:8" ht="26.25" x14ac:dyDescent="0.25">
      <c r="B2" s="344" t="s">
        <v>377</v>
      </c>
    </row>
    <row r="3" spans="1:8" ht="34.5" x14ac:dyDescent="0.25">
      <c r="A3" s="315" t="s">
        <v>16</v>
      </c>
      <c r="B3" s="345" t="s">
        <v>350</v>
      </c>
    </row>
    <row r="4" spans="1:8" ht="56.1" customHeight="1" x14ac:dyDescent="0.25">
      <c r="A4" s="315"/>
      <c r="B4" s="316"/>
      <c r="E4" s="10"/>
    </row>
    <row r="5" spans="1:8" ht="15" customHeight="1" x14ac:dyDescent="0.25">
      <c r="A5" s="315"/>
      <c r="B5" s="346" t="s">
        <v>17</v>
      </c>
      <c r="C5" s="347"/>
    </row>
    <row r="6" spans="1:8" ht="15" customHeight="1" x14ac:dyDescent="0.25">
      <c r="B6" s="348"/>
      <c r="C6" s="347"/>
    </row>
    <row r="7" spans="1:8" ht="15" customHeight="1" x14ac:dyDescent="0.25">
      <c r="B7" s="426"/>
      <c r="C7" s="426"/>
      <c r="D7" s="426"/>
      <c r="E7" s="426"/>
    </row>
    <row r="8" spans="1:8" ht="15" customHeight="1" x14ac:dyDescent="0.25">
      <c r="B8" s="349"/>
      <c r="C8" s="349"/>
      <c r="D8" s="349"/>
      <c r="E8" s="349"/>
      <c r="F8" s="318"/>
      <c r="G8" s="318"/>
    </row>
    <row r="9" spans="1:8" ht="15" customHeight="1" x14ac:dyDescent="0.25">
      <c r="B9" s="426"/>
      <c r="C9" s="426"/>
      <c r="D9" s="426"/>
      <c r="E9" s="426"/>
      <c r="F9" s="318"/>
      <c r="G9" s="318"/>
    </row>
    <row r="10" spans="1:8" ht="15" customHeight="1" x14ac:dyDescent="0.25">
      <c r="A10" s="11"/>
      <c r="B10" s="317"/>
      <c r="C10" s="317"/>
      <c r="D10" s="317"/>
      <c r="E10" s="317"/>
      <c r="F10" s="318"/>
      <c r="G10" s="318"/>
    </row>
    <row r="11" spans="1:8" ht="15" customHeight="1" x14ac:dyDescent="0.25">
      <c r="A11" s="11"/>
      <c r="B11" s="317"/>
      <c r="C11" s="317"/>
      <c r="D11" s="317"/>
      <c r="E11" s="317"/>
      <c r="F11" s="318"/>
      <c r="G11" s="318"/>
    </row>
    <row r="12" spans="1:8" ht="15" customHeight="1" x14ac:dyDescent="0.25">
      <c r="A12" s="11"/>
      <c r="B12" s="317"/>
      <c r="C12" s="317"/>
      <c r="D12" s="317"/>
      <c r="E12" s="317"/>
      <c r="F12" s="318"/>
      <c r="G12" s="318"/>
    </row>
    <row r="13" spans="1:8" ht="15" customHeight="1" x14ac:dyDescent="0.25">
      <c r="A13" s="11"/>
      <c r="B13" s="317"/>
      <c r="C13" s="317"/>
      <c r="D13" s="317"/>
      <c r="E13" s="317"/>
      <c r="F13" s="318"/>
      <c r="G13" s="318"/>
    </row>
    <row r="14" spans="1:8" ht="15" customHeight="1" x14ac:dyDescent="0.25">
      <c r="B14" s="317"/>
      <c r="C14" s="317"/>
      <c r="D14" s="317"/>
      <c r="E14" s="317"/>
      <c r="F14" s="318"/>
      <c r="G14" s="318"/>
    </row>
    <row r="15" spans="1:8" ht="15" customHeight="1" x14ac:dyDescent="0.25">
      <c r="B15" s="317"/>
      <c r="C15" s="317"/>
      <c r="D15" s="317"/>
      <c r="E15" s="317"/>
      <c r="F15" s="318"/>
      <c r="G15" s="318"/>
    </row>
    <row r="16" spans="1:8" ht="15" customHeight="1" x14ac:dyDescent="0.25">
      <c r="B16" s="317"/>
      <c r="C16" s="317"/>
      <c r="D16" s="317"/>
      <c r="E16" s="317"/>
      <c r="F16" s="318"/>
      <c r="G16" s="318"/>
    </row>
    <row r="17" spans="2:7" ht="15" customHeight="1" x14ac:dyDescent="0.25">
      <c r="B17" s="317"/>
      <c r="C17" s="317"/>
      <c r="D17" s="317"/>
      <c r="E17" s="317"/>
      <c r="F17" s="318"/>
      <c r="G17" s="318"/>
    </row>
    <row r="18" spans="2:7" ht="15" customHeight="1" x14ac:dyDescent="0.25">
      <c r="B18" s="317"/>
      <c r="C18" s="317"/>
      <c r="D18" s="317"/>
      <c r="E18" s="317"/>
      <c r="F18" s="318"/>
      <c r="G18" s="318"/>
    </row>
    <row r="19" spans="2:7" ht="15" customHeight="1" x14ac:dyDescent="0.25">
      <c r="B19" s="317"/>
      <c r="C19" s="317"/>
      <c r="D19" s="317"/>
      <c r="E19" s="317"/>
      <c r="F19" s="318"/>
      <c r="G19" s="318"/>
    </row>
    <row r="20" spans="2:7" ht="15" customHeight="1" x14ac:dyDescent="0.25">
      <c r="B20" s="317"/>
      <c r="C20" s="317"/>
      <c r="D20" s="317"/>
      <c r="E20" s="317"/>
      <c r="F20" s="318"/>
      <c r="G20" s="318"/>
    </row>
    <row r="21" spans="2:7" ht="15" customHeight="1" x14ac:dyDescent="0.25">
      <c r="B21" s="317"/>
      <c r="C21" s="317"/>
      <c r="D21" s="317"/>
      <c r="E21" s="317"/>
      <c r="F21" s="318"/>
      <c r="G21" s="318"/>
    </row>
    <row r="22" spans="2:7" ht="15" customHeight="1" x14ac:dyDescent="0.25">
      <c r="B22" s="317"/>
      <c r="C22" s="317"/>
      <c r="D22" s="317"/>
      <c r="E22" s="317"/>
      <c r="F22" s="318"/>
      <c r="G22" s="318"/>
    </row>
    <row r="23" spans="2:7" ht="15" customHeight="1" x14ac:dyDescent="0.25">
      <c r="B23" s="317"/>
      <c r="C23" s="317"/>
      <c r="D23" s="317"/>
      <c r="E23" s="317"/>
      <c r="F23" s="318"/>
      <c r="G23" s="318"/>
    </row>
    <row r="24" spans="2:7" ht="15" customHeight="1" x14ac:dyDescent="0.25">
      <c r="B24" s="317"/>
      <c r="C24" s="317"/>
      <c r="D24" s="317"/>
      <c r="E24" s="317"/>
      <c r="F24" s="318"/>
      <c r="G24" s="318"/>
    </row>
    <row r="25" spans="2:7" ht="15" customHeight="1" x14ac:dyDescent="0.25">
      <c r="B25" s="317"/>
      <c r="C25" s="317"/>
      <c r="D25" s="317"/>
      <c r="E25" s="317"/>
      <c r="F25" s="318"/>
      <c r="G25" s="318"/>
    </row>
    <row r="26" spans="2:7" ht="15" customHeight="1" x14ac:dyDescent="0.25">
      <c r="B26" s="317"/>
      <c r="C26" s="317"/>
      <c r="D26" s="317"/>
      <c r="E26" s="317"/>
      <c r="F26" s="318"/>
      <c r="G26" s="318"/>
    </row>
    <row r="27" spans="2:7" ht="15" customHeight="1" x14ac:dyDescent="0.25">
      <c r="B27" s="317"/>
      <c r="C27" s="317"/>
      <c r="D27" s="317"/>
      <c r="E27" s="317"/>
      <c r="F27" s="318"/>
      <c r="G27" s="318"/>
    </row>
    <row r="28" spans="2:7" ht="15" customHeight="1" x14ac:dyDescent="0.25">
      <c r="B28" s="317"/>
      <c r="C28" s="317"/>
      <c r="D28" s="317"/>
      <c r="E28" s="317"/>
      <c r="F28" s="318"/>
      <c r="G28" s="318"/>
    </row>
    <row r="29" spans="2:7" ht="15" customHeight="1" x14ac:dyDescent="0.25">
      <c r="B29" s="317"/>
      <c r="C29" s="317"/>
      <c r="D29" s="317"/>
      <c r="E29" s="317"/>
      <c r="F29" s="318"/>
      <c r="G29" s="318"/>
    </row>
    <row r="30" spans="2:7" ht="15" customHeight="1" x14ac:dyDescent="0.25">
      <c r="B30" s="317"/>
      <c r="C30" s="317"/>
      <c r="D30" s="317"/>
      <c r="E30" s="317"/>
      <c r="F30" s="318"/>
      <c r="G30" s="318"/>
    </row>
    <row r="31" spans="2:7" ht="15" customHeight="1" x14ac:dyDescent="0.25">
      <c r="B31" s="317"/>
      <c r="C31" s="317"/>
      <c r="D31" s="317"/>
      <c r="E31" s="317"/>
      <c r="F31" s="318"/>
      <c r="G31" s="318"/>
    </row>
    <row r="32" spans="2:7" ht="15" customHeight="1" x14ac:dyDescent="0.25">
      <c r="B32" s="317"/>
      <c r="C32" s="317"/>
      <c r="D32" s="317"/>
      <c r="E32" s="317"/>
      <c r="F32" s="318"/>
      <c r="G32" s="318"/>
    </row>
    <row r="33" spans="2:7" ht="15" customHeight="1" x14ac:dyDescent="0.25">
      <c r="B33" s="317"/>
      <c r="C33" s="317"/>
      <c r="D33" s="317"/>
      <c r="E33" s="317"/>
      <c r="F33" s="318"/>
      <c r="G33" s="318"/>
    </row>
    <row r="34" spans="2:7" ht="15" customHeight="1" x14ac:dyDescent="0.25">
      <c r="B34" s="317"/>
      <c r="C34" s="317"/>
      <c r="D34" s="317"/>
      <c r="E34" s="317"/>
      <c r="F34" s="318"/>
      <c r="G34" s="318"/>
    </row>
    <row r="35" spans="2:7" ht="15" customHeight="1" x14ac:dyDescent="0.25">
      <c r="B35" s="317"/>
      <c r="C35" s="317"/>
      <c r="D35" s="317"/>
      <c r="E35" s="317"/>
      <c r="F35" s="318"/>
      <c r="G35" s="318"/>
    </row>
    <row r="36" spans="2:7" ht="15" customHeight="1" x14ac:dyDescent="0.25">
      <c r="B36" s="317"/>
      <c r="C36" s="317"/>
      <c r="D36" s="317"/>
      <c r="E36" s="317"/>
      <c r="F36" s="318"/>
      <c r="G36" s="318"/>
    </row>
    <row r="37" spans="2:7" ht="15" customHeight="1" x14ac:dyDescent="0.25">
      <c r="B37" s="317"/>
      <c r="C37" s="317"/>
      <c r="D37" s="317"/>
      <c r="E37" s="317"/>
      <c r="F37" s="318"/>
      <c r="G37" s="318"/>
    </row>
    <row r="38" spans="2:7" ht="15" customHeight="1" x14ac:dyDescent="0.25">
      <c r="B38" s="317"/>
      <c r="C38" s="317"/>
      <c r="D38" s="317"/>
      <c r="E38" s="317"/>
      <c r="F38" s="318"/>
      <c r="G38" s="318"/>
    </row>
    <row r="39" spans="2:7" ht="15" customHeight="1" x14ac:dyDescent="0.25">
      <c r="B39" s="317"/>
      <c r="C39" s="317"/>
      <c r="D39" s="317"/>
      <c r="E39" s="317"/>
      <c r="F39" s="318"/>
      <c r="G39" s="318"/>
    </row>
    <row r="40" spans="2:7" ht="15" customHeight="1" x14ac:dyDescent="0.25">
      <c r="B40" s="317"/>
      <c r="C40" s="317"/>
      <c r="D40" s="317"/>
      <c r="E40" s="317"/>
      <c r="F40" s="318"/>
      <c r="G40" s="318"/>
    </row>
    <row r="41" spans="2:7" ht="15" customHeight="1" x14ac:dyDescent="0.25">
      <c r="B41" s="317"/>
      <c r="C41" s="317"/>
      <c r="D41" s="317"/>
      <c r="E41" s="317"/>
      <c r="F41" s="318"/>
      <c r="G41" s="318"/>
    </row>
    <row r="42" spans="2:7" ht="15" customHeight="1" x14ac:dyDescent="0.25">
      <c r="B42" s="317"/>
      <c r="C42" s="317"/>
      <c r="D42" s="317"/>
      <c r="E42" s="317"/>
      <c r="F42" s="318"/>
      <c r="G42" s="318"/>
    </row>
    <row r="43" spans="2:7" ht="15" customHeight="1" x14ac:dyDescent="0.25">
      <c r="B43" s="317"/>
      <c r="C43" s="317"/>
      <c r="D43" s="317"/>
      <c r="E43" s="317"/>
      <c r="F43" s="318"/>
      <c r="G43" s="318"/>
    </row>
    <row r="44" spans="2:7" ht="15" customHeight="1" x14ac:dyDescent="0.25">
      <c r="B44" s="317"/>
      <c r="C44" s="317"/>
      <c r="D44" s="317"/>
      <c r="E44" s="317"/>
      <c r="F44" s="318"/>
      <c r="G44" s="318"/>
    </row>
    <row r="45" spans="2:7" ht="15" customHeight="1" x14ac:dyDescent="0.25">
      <c r="B45" s="317"/>
      <c r="C45" s="317"/>
      <c r="D45" s="317"/>
      <c r="E45" s="317"/>
      <c r="F45" s="318"/>
      <c r="G45" s="318"/>
    </row>
    <row r="46" spans="2:7" ht="15" customHeight="1" x14ac:dyDescent="0.25">
      <c r="B46" s="317"/>
      <c r="C46" s="317"/>
      <c r="D46" s="317"/>
      <c r="E46" s="317"/>
      <c r="F46" s="318"/>
      <c r="G46" s="318"/>
    </row>
    <row r="47" spans="2:7" ht="15" customHeight="1" x14ac:dyDescent="0.25">
      <c r="B47" s="317"/>
      <c r="C47" s="317"/>
      <c r="D47" s="317"/>
      <c r="E47" s="317"/>
      <c r="F47" s="318"/>
      <c r="G47" s="318"/>
    </row>
    <row r="48" spans="2:7" ht="15" customHeight="1" x14ac:dyDescent="0.25">
      <c r="B48" s="317"/>
      <c r="C48" s="317"/>
      <c r="D48" s="317"/>
      <c r="E48" s="317"/>
      <c r="F48" s="318"/>
      <c r="G48" s="318"/>
    </row>
    <row r="49" spans="2:7" ht="15" customHeight="1" x14ac:dyDescent="0.25">
      <c r="B49" s="317"/>
      <c r="C49" s="317"/>
      <c r="D49" s="317"/>
      <c r="E49" s="317"/>
      <c r="F49" s="318"/>
      <c r="G49" s="318"/>
    </row>
    <row r="50" spans="2:7" ht="15" customHeight="1" x14ac:dyDescent="0.25">
      <c r="B50" s="317"/>
      <c r="C50" s="317"/>
      <c r="D50" s="317"/>
      <c r="E50" s="317"/>
      <c r="F50" s="318"/>
      <c r="G50" s="318"/>
    </row>
    <row r="51" spans="2:7" ht="15" customHeight="1" x14ac:dyDescent="0.25">
      <c r="B51" s="317"/>
      <c r="C51" s="317"/>
      <c r="D51" s="317"/>
      <c r="E51" s="317"/>
      <c r="F51" s="318"/>
      <c r="G51" s="318"/>
    </row>
    <row r="52" spans="2:7" ht="15" customHeight="1" x14ac:dyDescent="0.25">
      <c r="B52" s="317"/>
      <c r="C52" s="317"/>
      <c r="D52" s="317"/>
      <c r="E52" s="317"/>
      <c r="F52" s="318"/>
      <c r="G52" s="318"/>
    </row>
    <row r="53" spans="2:7" ht="15" customHeight="1" x14ac:dyDescent="0.25">
      <c r="B53" s="317"/>
      <c r="C53" s="317"/>
      <c r="D53" s="317"/>
      <c r="E53" s="317"/>
      <c r="F53" s="318"/>
      <c r="G53" s="318"/>
    </row>
    <row r="54" spans="2:7" ht="15" customHeight="1" x14ac:dyDescent="0.25">
      <c r="B54" s="317"/>
      <c r="C54" s="317"/>
      <c r="D54" s="317"/>
      <c r="E54" s="317"/>
      <c r="F54" s="318"/>
      <c r="G54" s="318"/>
    </row>
    <row r="55" spans="2:7" ht="15" customHeight="1" x14ac:dyDescent="0.25">
      <c r="B55" s="317"/>
      <c r="C55" s="317"/>
      <c r="D55" s="317"/>
      <c r="E55" s="317"/>
      <c r="F55" s="318"/>
      <c r="G55" s="318"/>
    </row>
    <row r="56" spans="2:7" ht="15" customHeight="1" x14ac:dyDescent="0.25">
      <c r="B56" s="317"/>
      <c r="C56" s="317"/>
      <c r="D56" s="317"/>
      <c r="E56" s="317"/>
      <c r="F56" s="318"/>
      <c r="G56" s="318"/>
    </row>
    <row r="57" spans="2:7" ht="15" customHeight="1" x14ac:dyDescent="0.25">
      <c r="B57" s="317"/>
      <c r="C57" s="317"/>
      <c r="D57" s="317"/>
      <c r="E57" s="317"/>
      <c r="F57" s="318"/>
      <c r="G57" s="318"/>
    </row>
    <row r="58" spans="2:7" ht="15" customHeight="1" x14ac:dyDescent="0.25">
      <c r="B58" s="317"/>
      <c r="C58" s="317"/>
      <c r="D58" s="317"/>
      <c r="E58" s="317"/>
      <c r="F58" s="318"/>
      <c r="G58" s="318"/>
    </row>
    <row r="59" spans="2:7" ht="15" customHeight="1" x14ac:dyDescent="0.25">
      <c r="B59" s="317"/>
      <c r="C59" s="317"/>
      <c r="D59" s="317"/>
      <c r="E59" s="317"/>
      <c r="F59" s="318"/>
      <c r="G59" s="318"/>
    </row>
    <row r="60" spans="2:7" ht="15" customHeight="1" x14ac:dyDescent="0.25">
      <c r="B60" s="317"/>
      <c r="C60" s="317"/>
      <c r="D60" s="317"/>
      <c r="E60" s="317"/>
      <c r="F60" s="318"/>
      <c r="G60" s="318"/>
    </row>
    <row r="61" spans="2:7" ht="15" customHeight="1" x14ac:dyDescent="0.25">
      <c r="B61" s="317"/>
      <c r="C61" s="317"/>
      <c r="D61" s="317"/>
      <c r="E61" s="317"/>
      <c r="F61" s="318"/>
      <c r="G61" s="318"/>
    </row>
    <row r="62" spans="2:7" ht="15" customHeight="1" x14ac:dyDescent="0.25">
      <c r="B62" s="317"/>
      <c r="C62" s="317"/>
      <c r="D62" s="317"/>
      <c r="E62" s="317"/>
      <c r="F62" s="318"/>
      <c r="G62" s="318"/>
    </row>
    <row r="63" spans="2:7" ht="15" customHeight="1" x14ac:dyDescent="0.25">
      <c r="B63" s="317"/>
      <c r="C63" s="317"/>
      <c r="D63" s="317"/>
      <c r="E63" s="317"/>
      <c r="F63" s="318"/>
      <c r="G63" s="318"/>
    </row>
    <row r="64" spans="2:7" ht="15" customHeight="1" x14ac:dyDescent="0.25">
      <c r="B64" s="317"/>
      <c r="C64" s="317"/>
      <c r="D64" s="317"/>
      <c r="E64" s="317"/>
      <c r="F64" s="318"/>
      <c r="G64" s="318"/>
    </row>
    <row r="65" spans="2:7" ht="15" customHeight="1" x14ac:dyDescent="0.25">
      <c r="B65" s="317"/>
      <c r="C65" s="317"/>
      <c r="D65" s="317"/>
      <c r="E65" s="317"/>
      <c r="F65" s="318"/>
      <c r="G65" s="318"/>
    </row>
    <row r="66" spans="2:7" ht="15" customHeight="1" x14ac:dyDescent="0.25">
      <c r="B66" s="317"/>
      <c r="C66" s="317"/>
      <c r="D66" s="317"/>
      <c r="E66" s="317"/>
      <c r="F66" s="318"/>
      <c r="G66" s="318"/>
    </row>
    <row r="67" spans="2:7" ht="15" customHeight="1" x14ac:dyDescent="0.25">
      <c r="B67" s="317"/>
      <c r="C67" s="317"/>
      <c r="D67" s="317"/>
      <c r="E67" s="317"/>
      <c r="F67" s="318"/>
      <c r="G67" s="318"/>
    </row>
    <row r="68" spans="2:7" ht="15" customHeight="1" x14ac:dyDescent="0.25">
      <c r="B68" s="317"/>
      <c r="C68" s="317"/>
      <c r="D68" s="317"/>
      <c r="E68" s="317"/>
      <c r="F68" s="318"/>
      <c r="G68" s="318"/>
    </row>
    <row r="69" spans="2:7" ht="15" customHeight="1" x14ac:dyDescent="0.25">
      <c r="B69" s="317"/>
      <c r="C69" s="317"/>
      <c r="D69" s="317"/>
      <c r="E69" s="317"/>
      <c r="F69" s="318"/>
      <c r="G69" s="318"/>
    </row>
    <row r="70" spans="2:7" ht="15" customHeight="1" x14ac:dyDescent="0.25">
      <c r="B70" s="317"/>
      <c r="C70" s="317"/>
      <c r="D70" s="317"/>
      <c r="E70" s="317"/>
      <c r="F70" s="318"/>
      <c r="G70" s="318"/>
    </row>
    <row r="71" spans="2:7" ht="15" customHeight="1" x14ac:dyDescent="0.25">
      <c r="B71" s="317"/>
      <c r="C71" s="317"/>
      <c r="D71" s="317"/>
      <c r="E71" s="317"/>
      <c r="F71" s="318"/>
      <c r="G71" s="318"/>
    </row>
    <row r="72" spans="2:7" ht="15" customHeight="1" x14ac:dyDescent="0.25">
      <c r="B72" s="317"/>
      <c r="C72" s="317"/>
      <c r="D72" s="317"/>
      <c r="E72" s="317"/>
      <c r="F72" s="318"/>
      <c r="G72" s="318"/>
    </row>
    <row r="73" spans="2:7" ht="15" customHeight="1" x14ac:dyDescent="0.25">
      <c r="B73" s="317"/>
      <c r="C73" s="317"/>
      <c r="D73" s="317"/>
      <c r="E73" s="317"/>
      <c r="F73" s="318"/>
      <c r="G73" s="318"/>
    </row>
    <row r="74" spans="2:7" ht="15" customHeight="1" x14ac:dyDescent="0.25">
      <c r="B74" s="317"/>
      <c r="C74" s="317"/>
      <c r="D74" s="317"/>
      <c r="E74" s="317"/>
      <c r="F74" s="318"/>
      <c r="G74" s="318"/>
    </row>
    <row r="75" spans="2:7" ht="15" customHeight="1" x14ac:dyDescent="0.25">
      <c r="B75" s="317"/>
      <c r="C75" s="317"/>
      <c r="D75" s="317"/>
      <c r="E75" s="317"/>
      <c r="F75" s="318"/>
      <c r="G75" s="318"/>
    </row>
    <row r="76" spans="2:7" ht="15" customHeight="1" x14ac:dyDescent="0.25">
      <c r="B76" s="317"/>
      <c r="C76" s="317"/>
      <c r="D76" s="317"/>
      <c r="E76" s="317"/>
      <c r="F76" s="318"/>
      <c r="G76" s="318"/>
    </row>
    <row r="77" spans="2:7" ht="15" customHeight="1" x14ac:dyDescent="0.25">
      <c r="B77" s="317"/>
      <c r="C77" s="317"/>
      <c r="D77" s="317"/>
      <c r="E77" s="317"/>
      <c r="F77" s="318"/>
      <c r="G77" s="318"/>
    </row>
    <row r="78" spans="2:7" ht="15" customHeight="1" x14ac:dyDescent="0.25">
      <c r="B78" s="317"/>
      <c r="C78" s="317"/>
      <c r="D78" s="317"/>
      <c r="E78" s="317"/>
      <c r="F78" s="318"/>
      <c r="G78" s="318"/>
    </row>
    <row r="79" spans="2:7" ht="15" customHeight="1" x14ac:dyDescent="0.25">
      <c r="B79" s="317"/>
      <c r="C79" s="317"/>
      <c r="D79" s="317"/>
      <c r="E79" s="317"/>
      <c r="F79" s="318"/>
      <c r="G79" s="318"/>
    </row>
    <row r="80" spans="2:7" ht="15" customHeight="1" x14ac:dyDescent="0.25">
      <c r="B80" s="317"/>
      <c r="C80" s="317"/>
      <c r="D80" s="317"/>
      <c r="E80" s="317"/>
      <c r="F80" s="318"/>
      <c r="G80" s="318"/>
    </row>
    <row r="81" spans="2:7" ht="15" customHeight="1" x14ac:dyDescent="0.25">
      <c r="B81" s="317"/>
      <c r="C81" s="317"/>
      <c r="D81" s="317"/>
      <c r="E81" s="317"/>
      <c r="F81" s="318"/>
      <c r="G81" s="318"/>
    </row>
    <row r="82" spans="2:7" ht="15" customHeight="1" x14ac:dyDescent="0.25">
      <c r="B82" s="317"/>
      <c r="C82" s="317"/>
      <c r="D82" s="317"/>
      <c r="E82" s="317"/>
      <c r="F82" s="318"/>
      <c r="G82" s="318"/>
    </row>
    <row r="83" spans="2:7" ht="15" customHeight="1" x14ac:dyDescent="0.25">
      <c r="B83" s="317"/>
      <c r="C83" s="317"/>
      <c r="D83" s="317"/>
      <c r="E83" s="317"/>
      <c r="F83" s="318"/>
      <c r="G83" s="318"/>
    </row>
    <row r="84" spans="2:7" ht="15" customHeight="1" x14ac:dyDescent="0.25">
      <c r="B84" s="317"/>
      <c r="C84" s="317"/>
      <c r="D84" s="317"/>
      <c r="E84" s="317"/>
      <c r="F84" s="318"/>
      <c r="G84" s="318"/>
    </row>
    <row r="85" spans="2:7" ht="15" customHeight="1" x14ac:dyDescent="0.25">
      <c r="B85" s="317"/>
      <c r="C85" s="317"/>
      <c r="D85" s="317"/>
      <c r="E85" s="317"/>
      <c r="F85" s="318"/>
      <c r="G85" s="318"/>
    </row>
    <row r="86" spans="2:7" ht="15" customHeight="1" x14ac:dyDescent="0.25">
      <c r="B86" s="317"/>
      <c r="C86" s="317"/>
      <c r="D86" s="317"/>
      <c r="E86" s="317"/>
      <c r="F86" s="318"/>
      <c r="G86" s="318"/>
    </row>
    <row r="87" spans="2:7" ht="15" customHeight="1" x14ac:dyDescent="0.25">
      <c r="B87" s="317"/>
      <c r="C87" s="317"/>
      <c r="D87" s="317"/>
      <c r="E87" s="317"/>
      <c r="F87" s="318"/>
      <c r="G87" s="318"/>
    </row>
    <row r="88" spans="2:7" ht="15" customHeight="1" x14ac:dyDescent="0.25">
      <c r="B88" s="317"/>
      <c r="C88" s="317"/>
      <c r="D88" s="317"/>
      <c r="E88" s="317"/>
      <c r="F88" s="318"/>
      <c r="G88" s="318"/>
    </row>
    <row r="89" spans="2:7" ht="15" customHeight="1" x14ac:dyDescent="0.25">
      <c r="B89" s="317"/>
      <c r="C89" s="317"/>
      <c r="D89" s="317"/>
      <c r="E89" s="317"/>
      <c r="F89" s="318"/>
      <c r="G89" s="318"/>
    </row>
    <row r="90" spans="2:7" ht="15" customHeight="1" x14ac:dyDescent="0.25">
      <c r="B90" s="317"/>
      <c r="C90" s="317"/>
      <c r="D90" s="317"/>
      <c r="E90" s="317"/>
      <c r="F90" s="318"/>
      <c r="G90" s="318"/>
    </row>
    <row r="91" spans="2:7" ht="15" customHeight="1" x14ac:dyDescent="0.25">
      <c r="B91" s="317"/>
      <c r="C91" s="317"/>
      <c r="D91" s="317"/>
      <c r="E91" s="317"/>
      <c r="F91" s="318"/>
      <c r="G91" s="318"/>
    </row>
    <row r="92" spans="2:7" ht="15" customHeight="1" x14ac:dyDescent="0.25">
      <c r="B92" s="317"/>
      <c r="C92" s="317"/>
      <c r="D92" s="317"/>
      <c r="E92" s="317"/>
      <c r="F92" s="318"/>
      <c r="G92" s="318"/>
    </row>
    <row r="93" spans="2:7" ht="15" customHeight="1" x14ac:dyDescent="0.25">
      <c r="B93" s="317"/>
      <c r="C93" s="317"/>
      <c r="D93" s="317"/>
      <c r="E93" s="317"/>
      <c r="F93" s="318"/>
      <c r="G93" s="318"/>
    </row>
    <row r="94" spans="2:7" ht="15" customHeight="1" x14ac:dyDescent="0.25">
      <c r="B94" s="317"/>
      <c r="C94" s="317"/>
      <c r="D94" s="317"/>
      <c r="E94" s="317"/>
      <c r="F94" s="318"/>
      <c r="G94" s="318"/>
    </row>
    <row r="95" spans="2:7" ht="15" customHeight="1" x14ac:dyDescent="0.25">
      <c r="B95" s="317"/>
      <c r="C95" s="317"/>
      <c r="D95" s="317"/>
      <c r="E95" s="317"/>
      <c r="F95" s="318"/>
      <c r="G95" s="318"/>
    </row>
    <row r="96" spans="2:7" ht="15" customHeight="1" x14ac:dyDescent="0.25">
      <c r="B96" s="317"/>
      <c r="C96" s="317"/>
      <c r="D96" s="317"/>
      <c r="E96" s="317"/>
      <c r="F96" s="318"/>
      <c r="G96" s="318"/>
    </row>
    <row r="97" spans="2:7" ht="15" customHeight="1" x14ac:dyDescent="0.25">
      <c r="B97" s="317"/>
      <c r="C97" s="317"/>
      <c r="D97" s="317"/>
      <c r="E97" s="317"/>
      <c r="F97" s="318"/>
      <c r="G97" s="318"/>
    </row>
    <row r="98" spans="2:7" ht="15" customHeight="1" x14ac:dyDescent="0.25">
      <c r="B98" s="317"/>
      <c r="C98" s="317"/>
      <c r="D98" s="317"/>
      <c r="E98" s="317"/>
      <c r="F98" s="318"/>
      <c r="G98" s="318"/>
    </row>
    <row r="99" spans="2:7" ht="15" customHeight="1" x14ac:dyDescent="0.25">
      <c r="B99" s="317"/>
      <c r="C99" s="317"/>
      <c r="D99" s="317"/>
      <c r="E99" s="317"/>
      <c r="F99" s="318"/>
      <c r="G99" s="318"/>
    </row>
    <row r="100" spans="2:7" ht="15" customHeight="1" x14ac:dyDescent="0.25">
      <c r="B100" s="317"/>
      <c r="C100" s="317"/>
      <c r="D100" s="317"/>
      <c r="E100" s="317"/>
      <c r="F100" s="318"/>
      <c r="G100" s="318"/>
    </row>
    <row r="101" spans="2:7" ht="15" customHeight="1" x14ac:dyDescent="0.25">
      <c r="B101" s="317"/>
      <c r="C101" s="317"/>
      <c r="D101" s="317"/>
      <c r="E101" s="317"/>
      <c r="F101" s="318"/>
      <c r="G101" s="318"/>
    </row>
    <row r="102" spans="2:7" ht="15" customHeight="1" x14ac:dyDescent="0.25">
      <c r="B102" s="317"/>
      <c r="C102" s="317"/>
      <c r="D102" s="317"/>
      <c r="E102" s="317"/>
      <c r="F102" s="318"/>
      <c r="G102" s="318"/>
    </row>
    <row r="103" spans="2:7" ht="15" customHeight="1" x14ac:dyDescent="0.25">
      <c r="B103" s="317"/>
      <c r="C103" s="317"/>
      <c r="D103" s="317"/>
      <c r="E103" s="317"/>
      <c r="F103" s="318"/>
      <c r="G103" s="318"/>
    </row>
    <row r="104" spans="2:7" ht="15" customHeight="1" x14ac:dyDescent="0.25">
      <c r="B104" s="317"/>
      <c r="C104" s="317"/>
      <c r="D104" s="317"/>
      <c r="E104" s="317"/>
      <c r="F104" s="318"/>
      <c r="G104" s="318"/>
    </row>
    <row r="105" spans="2:7" ht="15" customHeight="1" x14ac:dyDescent="0.25">
      <c r="B105" s="317"/>
      <c r="C105" s="317"/>
      <c r="D105" s="317"/>
      <c r="E105" s="317"/>
      <c r="F105" s="318"/>
      <c r="G105" s="318"/>
    </row>
    <row r="106" spans="2:7" ht="15" customHeight="1" x14ac:dyDescent="0.25">
      <c r="B106" s="317"/>
      <c r="C106" s="317"/>
      <c r="D106" s="317"/>
      <c r="E106" s="317"/>
      <c r="F106" s="318"/>
      <c r="G106" s="318"/>
    </row>
    <row r="107" spans="2:7" ht="15" customHeight="1" x14ac:dyDescent="0.25">
      <c r="B107" s="317"/>
      <c r="C107" s="317"/>
      <c r="D107" s="317"/>
      <c r="E107" s="317"/>
      <c r="F107" s="318"/>
      <c r="G107" s="318"/>
    </row>
    <row r="108" spans="2:7" ht="15" customHeight="1" x14ac:dyDescent="0.25">
      <c r="B108" s="317"/>
      <c r="C108" s="317"/>
      <c r="D108" s="317"/>
      <c r="E108" s="317"/>
      <c r="F108" s="318"/>
      <c r="G108" s="318"/>
    </row>
    <row r="109" spans="2:7" ht="15" customHeight="1" x14ac:dyDescent="0.25">
      <c r="B109" s="317"/>
      <c r="C109" s="317"/>
      <c r="D109" s="317"/>
      <c r="E109" s="317"/>
      <c r="F109" s="318"/>
      <c r="G109" s="318"/>
    </row>
    <row r="110" spans="2:7" ht="15" customHeight="1" x14ac:dyDescent="0.25">
      <c r="B110" s="317"/>
      <c r="C110" s="317"/>
      <c r="D110" s="317"/>
      <c r="E110" s="317"/>
      <c r="F110" s="318"/>
      <c r="G110" s="318"/>
    </row>
    <row r="111" spans="2:7" ht="15" customHeight="1" x14ac:dyDescent="0.25">
      <c r="B111" s="317"/>
      <c r="C111" s="317"/>
      <c r="D111" s="317"/>
      <c r="E111" s="317"/>
      <c r="F111" s="318"/>
      <c r="G111" s="318"/>
    </row>
    <row r="112" spans="2:7" ht="15" customHeight="1" x14ac:dyDescent="0.25">
      <c r="B112" s="317"/>
      <c r="C112" s="317"/>
      <c r="D112" s="317"/>
      <c r="E112" s="317"/>
      <c r="F112" s="318"/>
      <c r="G112" s="318"/>
    </row>
    <row r="113" spans="1:11" ht="15" customHeight="1" x14ac:dyDescent="0.25">
      <c r="B113" s="317"/>
      <c r="C113" s="317"/>
      <c r="D113" s="317"/>
      <c r="E113" s="317"/>
      <c r="F113" s="318"/>
      <c r="G113" s="318"/>
    </row>
    <row r="114" spans="1:11" s="11" customFormat="1" ht="10.35" customHeight="1" x14ac:dyDescent="0.25">
      <c r="A114" s="12"/>
      <c r="C114" s="319"/>
      <c r="D114" s="319"/>
      <c r="E114" s="319"/>
      <c r="F114" s="320"/>
      <c r="G114" s="320"/>
      <c r="H114" s="319"/>
      <c r="I114" s="319"/>
      <c r="J114" s="319"/>
      <c r="K114" s="319"/>
    </row>
    <row r="115" spans="1:11" s="11" customFormat="1" ht="15" customHeight="1" x14ac:dyDescent="0.25">
      <c r="A115" s="12"/>
      <c r="C115" s="319"/>
      <c r="D115" s="321"/>
      <c r="E115" s="3"/>
      <c r="G115" s="419"/>
      <c r="H115" s="419"/>
      <c r="I115" s="419"/>
      <c r="J115" s="419"/>
      <c r="K115" s="319"/>
    </row>
    <row r="116" spans="1:11" s="11" customFormat="1" ht="15" customHeight="1" x14ac:dyDescent="0.25">
      <c r="A116" s="12"/>
      <c r="C116" s="319"/>
      <c r="D116" s="321"/>
      <c r="E116" s="3"/>
      <c r="G116" s="419"/>
      <c r="H116" s="419"/>
      <c r="I116" s="419"/>
      <c r="J116" s="419"/>
      <c r="K116" s="319"/>
    </row>
    <row r="117" spans="1:11" s="11" customFormat="1" ht="15" customHeight="1" x14ac:dyDescent="0.25">
      <c r="A117" s="12"/>
      <c r="C117" s="319"/>
      <c r="D117" s="321"/>
      <c r="F117" s="320"/>
      <c r="G117" s="320"/>
      <c r="H117" s="319"/>
      <c r="I117" s="319"/>
      <c r="J117" s="319"/>
      <c r="K117" s="319"/>
    </row>
    <row r="118" spans="1:11" s="11" customFormat="1" ht="18" x14ac:dyDescent="0.25">
      <c r="A118" s="12"/>
      <c r="C118" s="319"/>
      <c r="F118" s="319"/>
      <c r="G118" s="319"/>
      <c r="H118" s="319"/>
      <c r="I118" s="319"/>
      <c r="J118" s="319"/>
      <c r="K118" s="319"/>
    </row>
  </sheetData>
  <mergeCells count="3">
    <mergeCell ref="B7:E7"/>
    <mergeCell ref="B9:E9"/>
    <mergeCell ref="G115:J116"/>
  </mergeCells>
  <pageMargins left="0.7" right="0.7" top="0.75" bottom="0.75" header="0.3" footer="0.3"/>
  <pageSetup paperSize="176" scale="38"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393F47"/>
    <pageSetUpPr fitToPage="1"/>
  </sheetPr>
  <dimension ref="A1:Q136"/>
  <sheetViews>
    <sheetView tabSelected="1" workbookViewId="0">
      <selection activeCell="G28" sqref="G28"/>
    </sheetView>
  </sheetViews>
  <sheetFormatPr defaultColWidth="9.140625" defaultRowHeight="18" x14ac:dyDescent="0.2"/>
  <cols>
    <col min="1" max="1" width="4.28515625" style="14" customWidth="1"/>
    <col min="2" max="2" width="36.85546875" style="16" customWidth="1"/>
    <col min="3" max="10" width="17.85546875" style="16" customWidth="1"/>
    <col min="11" max="11" width="12.5703125" style="16" customWidth="1"/>
    <col min="12" max="12" width="11.140625" style="16" customWidth="1"/>
    <col min="13" max="13" width="14.140625" style="16" customWidth="1"/>
    <col min="14" max="16384" width="9.140625" style="16"/>
  </cols>
  <sheetData>
    <row r="1" spans="1:17" ht="14.25" x14ac:dyDescent="0.2">
      <c r="A1" s="16"/>
    </row>
    <row r="2" spans="1:17" ht="20.25" x14ac:dyDescent="0.3">
      <c r="A2" s="17"/>
      <c r="B2" s="18" t="str">
        <f>Instructions!B3</f>
        <v>Comparing Complex Deal Structures</v>
      </c>
      <c r="C2" s="18"/>
      <c r="D2" s="18"/>
      <c r="E2" s="18"/>
      <c r="F2" s="18"/>
      <c r="G2" s="18"/>
      <c r="H2" s="18"/>
      <c r="I2" s="18"/>
    </row>
    <row r="3" spans="1:17" ht="20.25" x14ac:dyDescent="0.3">
      <c r="B3" s="19"/>
      <c r="C3" s="19"/>
      <c r="D3" s="19"/>
      <c r="E3" s="19"/>
      <c r="F3" s="19"/>
      <c r="G3" s="19"/>
      <c r="H3" s="19"/>
      <c r="I3" s="19"/>
    </row>
    <row r="4" spans="1:17" ht="20.45" customHeight="1" x14ac:dyDescent="0.3">
      <c r="A4" s="20"/>
      <c r="B4" s="435" t="s">
        <v>58</v>
      </c>
      <c r="C4" s="435"/>
      <c r="D4" s="19"/>
      <c r="E4" s="19"/>
      <c r="F4" s="19"/>
      <c r="G4" s="19"/>
      <c r="H4" s="19"/>
      <c r="I4" s="19"/>
    </row>
    <row r="5" spans="1:17" s="21" customFormat="1" ht="10.15" customHeight="1" x14ac:dyDescent="0.3">
      <c r="B5" s="22"/>
      <c r="C5" s="23"/>
      <c r="D5" s="23"/>
      <c r="E5" s="23"/>
      <c r="F5" s="14"/>
      <c r="G5" s="15"/>
      <c r="H5" s="19"/>
      <c r="I5" s="14"/>
      <c r="J5" s="23"/>
    </row>
    <row r="6" spans="1:17" ht="15" customHeight="1" x14ac:dyDescent="0.3">
      <c r="A6" s="24"/>
      <c r="B6" s="25" t="s">
        <v>0</v>
      </c>
      <c r="C6" s="26" t="s">
        <v>41</v>
      </c>
      <c r="D6" s="432" t="s">
        <v>32</v>
      </c>
      <c r="E6" s="433"/>
      <c r="F6" s="14"/>
      <c r="H6" s="19"/>
    </row>
    <row r="7" spans="1:17" ht="15" customHeight="1" x14ac:dyDescent="0.3">
      <c r="A7" s="24"/>
      <c r="B7" s="25" t="s">
        <v>1</v>
      </c>
      <c r="C7" s="27" t="s">
        <v>42</v>
      </c>
      <c r="D7" s="427" t="s">
        <v>33</v>
      </c>
      <c r="E7" s="431"/>
      <c r="F7" s="28">
        <v>250</v>
      </c>
      <c r="H7" s="19"/>
    </row>
    <row r="8" spans="1:17" ht="15" customHeight="1" x14ac:dyDescent="0.3">
      <c r="A8" s="24"/>
      <c r="B8" s="25" t="s">
        <v>2</v>
      </c>
      <c r="C8" s="27" t="s">
        <v>43</v>
      </c>
      <c r="D8" s="427" t="s">
        <v>34</v>
      </c>
      <c r="E8" s="431"/>
      <c r="F8" s="28">
        <v>365</v>
      </c>
      <c r="H8" s="19"/>
      <c r="I8" s="29"/>
      <c r="J8" s="30"/>
      <c r="K8" s="29"/>
      <c r="L8" s="29"/>
      <c r="M8" s="29"/>
      <c r="O8" s="31"/>
    </row>
    <row r="9" spans="1:17" ht="15" customHeight="1" x14ac:dyDescent="0.3">
      <c r="A9" s="24"/>
      <c r="B9" s="25" t="s">
        <v>44</v>
      </c>
      <c r="C9" s="27" t="s">
        <v>45</v>
      </c>
      <c r="D9" s="427" t="s">
        <v>35</v>
      </c>
      <c r="E9" s="431"/>
      <c r="F9" s="32">
        <f ca="1">C23</f>
        <v>0.7</v>
      </c>
      <c r="H9" s="19"/>
      <c r="I9" s="33"/>
      <c r="K9" s="34"/>
      <c r="L9" s="35"/>
      <c r="M9" s="34"/>
      <c r="Q9" s="34"/>
    </row>
    <row r="10" spans="1:17" ht="15" customHeight="1" x14ac:dyDescent="0.3">
      <c r="A10" s="24"/>
      <c r="B10" s="25"/>
      <c r="C10" s="36"/>
      <c r="D10" s="429" t="s">
        <v>36</v>
      </c>
      <c r="E10" s="430"/>
      <c r="F10" s="37">
        <v>0.6</v>
      </c>
      <c r="H10" s="19"/>
      <c r="I10" s="33"/>
      <c r="K10" s="34"/>
      <c r="L10" s="34"/>
      <c r="M10" s="34"/>
      <c r="Q10" s="34"/>
    </row>
    <row r="11" spans="1:17" ht="15" customHeight="1" x14ac:dyDescent="0.3">
      <c r="A11" s="24"/>
      <c r="B11" s="25" t="s">
        <v>3</v>
      </c>
      <c r="C11" s="38">
        <v>44197</v>
      </c>
      <c r="D11" s="429" t="s">
        <v>37</v>
      </c>
      <c r="E11" s="430"/>
      <c r="F11" s="37">
        <v>0.4</v>
      </c>
      <c r="H11" s="19"/>
      <c r="I11" s="39"/>
      <c r="K11" s="34"/>
      <c r="L11" s="34"/>
      <c r="M11" s="34"/>
    </row>
    <row r="12" spans="1:17" ht="15" customHeight="1" x14ac:dyDescent="0.3">
      <c r="A12" s="24"/>
      <c r="B12" s="25" t="s">
        <v>4</v>
      </c>
      <c r="C12" s="28">
        <v>5</v>
      </c>
      <c r="D12" s="427" t="s">
        <v>38</v>
      </c>
      <c r="E12" s="428"/>
      <c r="F12" s="40">
        <f ca="1">SUMPRODUCT(F10:F11,F13:F14)</f>
        <v>167</v>
      </c>
      <c r="H12" s="19"/>
    </row>
    <row r="13" spans="1:17" ht="15" customHeight="1" x14ac:dyDescent="0.2">
      <c r="A13" s="20"/>
      <c r="B13" s="25" t="s">
        <v>113</v>
      </c>
      <c r="C13" s="41">
        <v>0.1</v>
      </c>
      <c r="D13" s="434" t="s">
        <v>36</v>
      </c>
      <c r="E13" s="430"/>
      <c r="F13" s="40">
        <f ca="1">C27</f>
        <v>185</v>
      </c>
      <c r="H13" s="42"/>
    </row>
    <row r="14" spans="1:17" ht="15" customHeight="1" x14ac:dyDescent="0.2">
      <c r="B14" s="25" t="s">
        <v>114</v>
      </c>
      <c r="C14" s="43">
        <f ca="1">Scenario!Q9</f>
        <v>8.5000000000000006E-2</v>
      </c>
      <c r="D14" s="434" t="s">
        <v>37</v>
      </c>
      <c r="E14" s="430"/>
      <c r="F14" s="40">
        <f>C28</f>
        <v>140</v>
      </c>
      <c r="H14" s="42"/>
    </row>
    <row r="15" spans="1:17" ht="15" customHeight="1" x14ac:dyDescent="0.2">
      <c r="B15" s="25" t="s">
        <v>5</v>
      </c>
      <c r="C15" s="41">
        <v>0.03</v>
      </c>
      <c r="D15" s="427" t="s">
        <v>39</v>
      </c>
      <c r="E15" s="428"/>
      <c r="F15" s="44">
        <f>SUMPRODUCT(F10:F11,F16:F17)</f>
        <v>0.36</v>
      </c>
      <c r="H15" s="42"/>
    </row>
    <row r="16" spans="1:17" ht="15" customHeight="1" x14ac:dyDescent="0.2">
      <c r="D16" s="429" t="s">
        <v>36</v>
      </c>
      <c r="E16" s="430"/>
      <c r="F16" s="37">
        <v>0.2</v>
      </c>
      <c r="H16" s="42"/>
    </row>
    <row r="17" spans="2:8" ht="15" customHeight="1" x14ac:dyDescent="0.2">
      <c r="D17" s="429" t="s">
        <v>37</v>
      </c>
      <c r="E17" s="430"/>
      <c r="F17" s="37">
        <v>0.6</v>
      </c>
    </row>
    <row r="18" spans="2:8" ht="15" customHeight="1" x14ac:dyDescent="0.2">
      <c r="D18" s="428" t="s">
        <v>40</v>
      </c>
      <c r="E18" s="431"/>
      <c r="F18" s="37">
        <v>0.04</v>
      </c>
    </row>
    <row r="19" spans="2:8" ht="15" customHeight="1" x14ac:dyDescent="0.2">
      <c r="B19" s="25"/>
    </row>
    <row r="20" spans="2:8" ht="15" customHeight="1" x14ac:dyDescent="0.2">
      <c r="B20" s="25"/>
    </row>
    <row r="21" spans="2:8" ht="15" customHeight="1" x14ac:dyDescent="0.2">
      <c r="B21" s="45" t="s">
        <v>56</v>
      </c>
    </row>
    <row r="22" spans="2:8" ht="15" customHeight="1" x14ac:dyDescent="0.2">
      <c r="B22" s="25"/>
      <c r="C22" s="46">
        <f>YEAR(C11)</f>
        <v>2021</v>
      </c>
      <c r="D22" s="46">
        <f>C22+1</f>
        <v>2022</v>
      </c>
      <c r="E22" s="46">
        <f t="shared" ref="E22:H22" si="0">D22+1</f>
        <v>2023</v>
      </c>
      <c r="F22" s="46">
        <f t="shared" si="0"/>
        <v>2024</v>
      </c>
      <c r="G22" s="46">
        <f t="shared" si="0"/>
        <v>2025</v>
      </c>
      <c r="H22" s="46">
        <f t="shared" si="0"/>
        <v>2026</v>
      </c>
    </row>
    <row r="23" spans="2:8" ht="15" customHeight="1" x14ac:dyDescent="0.2">
      <c r="B23" s="25" t="s">
        <v>46</v>
      </c>
      <c r="C23" s="47">
        <f ca="1">Scenario!E9</f>
        <v>0.7</v>
      </c>
      <c r="D23" s="47">
        <f ca="1">Scenario!F9</f>
        <v>0.75</v>
      </c>
      <c r="E23" s="47">
        <f ca="1">Scenario!G9</f>
        <v>0.79</v>
      </c>
      <c r="F23" s="47">
        <f ca="1">Scenario!H9</f>
        <v>0.81</v>
      </c>
      <c r="G23" s="47">
        <f ca="1">Scenario!I9</f>
        <v>0.79</v>
      </c>
      <c r="H23" s="47">
        <f ca="1">Scenario!J9</f>
        <v>0.8</v>
      </c>
    </row>
    <row r="24" spans="2:8" ht="15" customHeight="1" x14ac:dyDescent="0.2">
      <c r="B24" s="48" t="s">
        <v>47</v>
      </c>
      <c r="C24" s="47">
        <v>0.6</v>
      </c>
      <c r="D24" s="49">
        <v>0.65</v>
      </c>
      <c r="E24" s="49">
        <v>0.55000000000000004</v>
      </c>
      <c r="F24" s="49">
        <v>0.4</v>
      </c>
      <c r="G24" s="49">
        <v>0.55000000000000004</v>
      </c>
      <c r="H24" s="49">
        <v>0.7</v>
      </c>
    </row>
    <row r="25" spans="2:8" ht="15" customHeight="1" x14ac:dyDescent="0.2">
      <c r="B25" s="48" t="s">
        <v>48</v>
      </c>
      <c r="C25" s="50">
        <v>0.4</v>
      </c>
      <c r="D25" s="51">
        <v>0.35</v>
      </c>
      <c r="E25" s="51">
        <v>0.44999999999999996</v>
      </c>
      <c r="F25" s="51">
        <v>0.6</v>
      </c>
      <c r="G25" s="51">
        <v>0.44999999999999996</v>
      </c>
      <c r="H25" s="51">
        <v>0.30000000000000004</v>
      </c>
    </row>
    <row r="26" spans="2:8" ht="15" customHeight="1" x14ac:dyDescent="0.2">
      <c r="B26" s="25" t="s">
        <v>49</v>
      </c>
      <c r="C26" s="52">
        <v>164</v>
      </c>
      <c r="D26" s="52">
        <v>167.25</v>
      </c>
      <c r="E26" s="52">
        <v>168.65</v>
      </c>
      <c r="F26" s="52">
        <v>170</v>
      </c>
      <c r="G26" s="52">
        <v>174.25</v>
      </c>
      <c r="H26" s="52">
        <v>183</v>
      </c>
    </row>
    <row r="27" spans="2:8" ht="15" customHeight="1" x14ac:dyDescent="0.2">
      <c r="B27" s="48" t="s">
        <v>50</v>
      </c>
      <c r="C27" s="53">
        <f ca="1">Scenario!K9</f>
        <v>185</v>
      </c>
      <c r="D27" s="53">
        <f ca="1">Scenario!L9</f>
        <v>190</v>
      </c>
      <c r="E27" s="53">
        <f ca="1">Scenario!M9</f>
        <v>188</v>
      </c>
      <c r="F27" s="53">
        <f ca="1">Scenario!N9</f>
        <v>185</v>
      </c>
      <c r="G27" s="53">
        <f ca="1">Scenario!O9</f>
        <v>191</v>
      </c>
      <c r="H27" s="53">
        <f ca="1">Scenario!P9</f>
        <v>192</v>
      </c>
    </row>
    <row r="28" spans="2:8" ht="15" customHeight="1" x14ac:dyDescent="0.2">
      <c r="B28" s="48" t="s">
        <v>51</v>
      </c>
      <c r="C28" s="53">
        <v>140</v>
      </c>
      <c r="D28" s="54">
        <v>138</v>
      </c>
      <c r="E28" s="54">
        <v>145</v>
      </c>
      <c r="F28" s="54">
        <v>160</v>
      </c>
      <c r="G28" s="54">
        <v>155</v>
      </c>
      <c r="H28" s="54">
        <v>155</v>
      </c>
    </row>
    <row r="29" spans="2:8" ht="15" customHeight="1" x14ac:dyDescent="0.2">
      <c r="B29" s="25" t="s">
        <v>52</v>
      </c>
      <c r="C29" s="50">
        <v>0.36</v>
      </c>
      <c r="D29" s="50">
        <v>0.33999999999999997</v>
      </c>
      <c r="E29" s="50">
        <v>0.38</v>
      </c>
      <c r="F29" s="50">
        <v>0.44</v>
      </c>
      <c r="G29" s="50">
        <v>0.38</v>
      </c>
      <c r="H29" s="50">
        <v>0.32</v>
      </c>
    </row>
    <row r="30" spans="2:8" ht="15" customHeight="1" x14ac:dyDescent="0.2">
      <c r="B30" s="48" t="s">
        <v>53</v>
      </c>
      <c r="C30" s="50">
        <v>0.2</v>
      </c>
      <c r="D30" s="51">
        <v>0.2</v>
      </c>
      <c r="E30" s="51">
        <v>0.2</v>
      </c>
      <c r="F30" s="51">
        <v>0.2</v>
      </c>
      <c r="G30" s="51">
        <v>0.2</v>
      </c>
      <c r="H30" s="51">
        <v>0.2</v>
      </c>
    </row>
    <row r="31" spans="2:8" ht="15" customHeight="1" x14ac:dyDescent="0.2">
      <c r="B31" s="48" t="s">
        <v>54</v>
      </c>
      <c r="C31" s="50">
        <v>0.6</v>
      </c>
      <c r="D31" s="51">
        <v>0.6</v>
      </c>
      <c r="E31" s="51">
        <v>0.6</v>
      </c>
      <c r="F31" s="51">
        <v>0.6</v>
      </c>
      <c r="G31" s="51">
        <v>0.6</v>
      </c>
      <c r="H31" s="51">
        <v>0.6</v>
      </c>
    </row>
    <row r="32" spans="2:8" ht="15" customHeight="1" x14ac:dyDescent="0.2">
      <c r="B32" s="25" t="s">
        <v>55</v>
      </c>
      <c r="C32" s="50">
        <v>0.02</v>
      </c>
      <c r="D32" s="51">
        <v>0.02</v>
      </c>
      <c r="E32" s="51">
        <v>0.02</v>
      </c>
      <c r="F32" s="51">
        <v>0.02</v>
      </c>
      <c r="G32" s="51">
        <v>0.02</v>
      </c>
      <c r="H32" s="51">
        <v>0.02</v>
      </c>
    </row>
    <row r="33" spans="2:8" ht="15" customHeight="1" x14ac:dyDescent="0.2">
      <c r="B33" s="25"/>
    </row>
    <row r="34" spans="2:8" ht="15" customHeight="1" x14ac:dyDescent="0.2">
      <c r="B34" s="55" t="s">
        <v>57</v>
      </c>
      <c r="C34" s="56">
        <f>YEAR(C11)</f>
        <v>2021</v>
      </c>
      <c r="D34" s="56">
        <f>C34+1</f>
        <v>2022</v>
      </c>
      <c r="E34" s="56">
        <f t="shared" ref="E34:H34" si="1">D34+1</f>
        <v>2023</v>
      </c>
      <c r="F34" s="56">
        <f t="shared" si="1"/>
        <v>2024</v>
      </c>
      <c r="G34" s="56">
        <f t="shared" si="1"/>
        <v>2025</v>
      </c>
      <c r="H34" s="56">
        <f t="shared" si="1"/>
        <v>2026</v>
      </c>
    </row>
    <row r="35" spans="2:8" ht="15" customHeight="1" x14ac:dyDescent="0.2">
      <c r="B35" s="27" t="s">
        <v>46</v>
      </c>
      <c r="C35" s="57">
        <f t="shared" ref="C35:H35" ca="1" si="2">VLOOKUP(GraphVariable,HotelForecastTable,MATCH(C22,$B$22:$H$22,0),0)</f>
        <v>0.7</v>
      </c>
      <c r="D35" s="57">
        <f t="shared" ca="1" si="2"/>
        <v>0.75</v>
      </c>
      <c r="E35" s="57">
        <f t="shared" ca="1" si="2"/>
        <v>0.79</v>
      </c>
      <c r="F35" s="57">
        <f t="shared" ca="1" si="2"/>
        <v>0.81</v>
      </c>
      <c r="G35" s="57">
        <f t="shared" ca="1" si="2"/>
        <v>0.79</v>
      </c>
      <c r="H35" s="57">
        <f t="shared" ca="1" si="2"/>
        <v>0.8</v>
      </c>
    </row>
    <row r="36" spans="2:8" ht="15" customHeight="1" x14ac:dyDescent="0.2">
      <c r="B36" s="58" t="s">
        <v>87</v>
      </c>
      <c r="C36" s="59">
        <f ca="1">C23*C26</f>
        <v>114.8</v>
      </c>
      <c r="D36" s="59">
        <f t="shared" ref="D36:H36" ca="1" si="3">D23*D26</f>
        <v>125.4375</v>
      </c>
      <c r="E36" s="59">
        <f t="shared" ca="1" si="3"/>
        <v>133.23350000000002</v>
      </c>
      <c r="F36" s="59">
        <f t="shared" ca="1" si="3"/>
        <v>137.70000000000002</v>
      </c>
      <c r="G36" s="59">
        <f t="shared" ca="1" si="3"/>
        <v>137.6575</v>
      </c>
      <c r="H36" s="59">
        <f t="shared" ca="1" si="3"/>
        <v>146.4</v>
      </c>
    </row>
    <row r="37" spans="2:8" ht="15" customHeight="1" x14ac:dyDescent="0.2">
      <c r="B37" s="60" t="str">
        <f>"Hotel - "&amp;GraphVariable</f>
        <v>Hotel - Occupancy</v>
      </c>
    </row>
    <row r="38" spans="2:8" ht="15" customHeight="1" x14ac:dyDescent="0.2">
      <c r="B38" s="25"/>
    </row>
    <row r="39" spans="2:8" ht="15" customHeight="1" x14ac:dyDescent="0.2">
      <c r="B39" s="25"/>
    </row>
    <row r="40" spans="2:8" ht="15" customHeight="1" x14ac:dyDescent="0.2">
      <c r="B40" s="25"/>
    </row>
    <row r="41" spans="2:8" ht="15" customHeight="1" x14ac:dyDescent="0.2">
      <c r="B41" s="25"/>
    </row>
    <row r="42" spans="2:8" ht="15" customHeight="1" x14ac:dyDescent="0.2">
      <c r="B42" s="25"/>
    </row>
    <row r="43" spans="2:8" ht="15" customHeight="1" x14ac:dyDescent="0.2">
      <c r="B43" s="25"/>
    </row>
    <row r="44" spans="2:8" ht="15" customHeight="1" x14ac:dyDescent="0.2">
      <c r="B44" s="25"/>
    </row>
    <row r="45" spans="2:8" ht="15" customHeight="1" x14ac:dyDescent="0.2">
      <c r="B45" s="25"/>
    </row>
    <row r="46" spans="2:8" ht="15" customHeight="1" x14ac:dyDescent="0.2">
      <c r="B46" s="25"/>
    </row>
    <row r="47" spans="2:8" ht="15" customHeight="1" x14ac:dyDescent="0.2">
      <c r="B47" s="25"/>
    </row>
    <row r="48" spans="2:8" ht="15" customHeight="1" x14ac:dyDescent="0.2">
      <c r="B48" s="25"/>
    </row>
    <row r="49" spans="1:10" ht="15" customHeight="1" x14ac:dyDescent="0.2">
      <c r="B49" s="25"/>
    </row>
    <row r="50" spans="1:10" ht="15" customHeight="1" x14ac:dyDescent="0.2">
      <c r="B50" s="25"/>
    </row>
    <row r="51" spans="1:10" ht="15" customHeight="1" x14ac:dyDescent="0.2">
      <c r="B51" s="25"/>
      <c r="C51" s="61"/>
    </row>
    <row r="52" spans="1:10" ht="15" customHeight="1" x14ac:dyDescent="0.25">
      <c r="A52" s="24"/>
      <c r="I52" s="31"/>
    </row>
    <row r="53" spans="1:10" ht="15" customHeight="1" x14ac:dyDescent="0.25">
      <c r="A53" s="24"/>
      <c r="I53" s="31"/>
    </row>
    <row r="54" spans="1:10" ht="15" customHeight="1" x14ac:dyDescent="0.2">
      <c r="B54" s="25"/>
      <c r="C54" s="25"/>
      <c r="D54" s="25"/>
      <c r="E54" s="25"/>
      <c r="F54" s="25"/>
      <c r="G54" s="25"/>
    </row>
    <row r="55" spans="1:10" ht="20.45" customHeight="1" x14ac:dyDescent="0.2">
      <c r="B55" s="435" t="s">
        <v>59</v>
      </c>
      <c r="C55" s="435"/>
      <c r="D55" s="25"/>
      <c r="E55" s="25"/>
      <c r="F55" s="25"/>
      <c r="G55" s="25"/>
    </row>
    <row r="56" spans="1:10" s="21" customFormat="1" ht="10.15" customHeight="1" x14ac:dyDescent="0.25">
      <c r="B56" s="22"/>
      <c r="C56" s="23"/>
      <c r="D56" s="23"/>
      <c r="E56" s="23"/>
      <c r="F56" s="14"/>
      <c r="G56" s="15"/>
      <c r="I56" s="14"/>
      <c r="J56" s="23"/>
    </row>
    <row r="57" spans="1:10" ht="20.45" customHeight="1" x14ac:dyDescent="0.2">
      <c r="B57" s="45" t="s">
        <v>117</v>
      </c>
      <c r="C57" s="25"/>
      <c r="D57" s="25"/>
      <c r="E57" s="25"/>
      <c r="F57" s="25"/>
      <c r="G57" s="25"/>
    </row>
    <row r="58" spans="1:10" ht="15" customHeight="1" thickBot="1" x14ac:dyDescent="0.25">
      <c r="B58" s="25"/>
      <c r="C58" s="25"/>
      <c r="D58" s="25"/>
      <c r="E58" s="25"/>
      <c r="F58" s="25"/>
      <c r="G58" s="25"/>
    </row>
    <row r="59" spans="1:10" ht="15" customHeight="1" x14ac:dyDescent="0.25">
      <c r="B59" s="25"/>
      <c r="C59" s="438" t="s">
        <v>60</v>
      </c>
      <c r="D59" s="439"/>
      <c r="E59" s="438" t="s">
        <v>61</v>
      </c>
      <c r="F59" s="440"/>
      <c r="G59" s="439"/>
      <c r="H59" s="441" t="s">
        <v>62</v>
      </c>
      <c r="I59" s="442"/>
      <c r="J59" s="443"/>
    </row>
    <row r="60" spans="1:10" ht="15" customHeight="1" x14ac:dyDescent="0.2">
      <c r="B60" s="55" t="s">
        <v>63</v>
      </c>
      <c r="C60" s="62" t="s">
        <v>64</v>
      </c>
      <c r="D60" s="63" t="s">
        <v>65</v>
      </c>
      <c r="E60" s="62" t="s">
        <v>67</v>
      </c>
      <c r="F60" s="64" t="s">
        <v>68</v>
      </c>
      <c r="G60" s="63" t="s">
        <v>66</v>
      </c>
      <c r="H60" s="65" t="s">
        <v>67</v>
      </c>
      <c r="I60" s="46" t="s">
        <v>68</v>
      </c>
      <c r="J60" s="66" t="s">
        <v>65</v>
      </c>
    </row>
    <row r="61" spans="1:10" ht="15" customHeight="1" x14ac:dyDescent="0.2">
      <c r="B61" s="48" t="s">
        <v>69</v>
      </c>
      <c r="C61" s="67">
        <f ca="1">NOI!C12*D61</f>
        <v>3200137.5</v>
      </c>
      <c r="D61" s="68">
        <v>0.3</v>
      </c>
      <c r="E61" s="69">
        <v>0.2</v>
      </c>
      <c r="F61" s="70">
        <v>0.2</v>
      </c>
      <c r="G61" s="68">
        <v>0.6</v>
      </c>
      <c r="H61" s="71">
        <f ca="1">$C61*E61/(NumberRooms*DaysOpen)</f>
        <v>7.0140000000000002</v>
      </c>
      <c r="I61" s="72">
        <f ca="1">C61*F61/(DaysOpen*NumberRooms*HistOccupancy)</f>
        <v>10.020000000000001</v>
      </c>
      <c r="J61" s="73">
        <f>D61*G61</f>
        <v>0.18</v>
      </c>
    </row>
    <row r="62" spans="1:10" ht="15" customHeight="1" x14ac:dyDescent="0.2">
      <c r="B62" s="48" t="s">
        <v>70</v>
      </c>
      <c r="C62" s="74">
        <f ca="1">NOI!C26*D62</f>
        <v>2851380</v>
      </c>
      <c r="D62" s="75">
        <v>0.8</v>
      </c>
      <c r="E62" s="76">
        <v>0.2</v>
      </c>
      <c r="F62" s="41">
        <v>0</v>
      </c>
      <c r="G62" s="75">
        <v>0.8</v>
      </c>
      <c r="H62" s="77">
        <f ca="1">$C62*E62/(NumberRooms*DaysOpen)</f>
        <v>6.2496</v>
      </c>
      <c r="I62" s="78">
        <f ca="1">C62*F62/(DaysOpen*NumberRooms*HistOccupancy)</f>
        <v>0</v>
      </c>
      <c r="J62" s="79">
        <f t="shared" ref="J62:J63" si="4">D62*G62</f>
        <v>0.64000000000000012</v>
      </c>
    </row>
    <row r="63" spans="1:10" ht="15" customHeight="1" thickBot="1" x14ac:dyDescent="0.25">
      <c r="B63" s="48" t="s">
        <v>40</v>
      </c>
      <c r="C63" s="80">
        <f ca="1">NOI!C29*D63</f>
        <v>298679.5</v>
      </c>
      <c r="D63" s="81">
        <v>0.7</v>
      </c>
      <c r="E63" s="82">
        <v>0.2</v>
      </c>
      <c r="F63" s="83">
        <v>0</v>
      </c>
      <c r="G63" s="81">
        <v>0.8</v>
      </c>
      <c r="H63" s="84">
        <f ca="1">$C63*E63/(NumberRooms*DaysOpen)</f>
        <v>0.65464</v>
      </c>
      <c r="I63" s="85">
        <f ca="1">C63*F63/(DaysOpen*NumberRooms*HistOccupancy)</f>
        <v>0</v>
      </c>
      <c r="J63" s="86">
        <f t="shared" si="4"/>
        <v>0.55999999999999994</v>
      </c>
    </row>
    <row r="64" spans="1:10" ht="15" customHeight="1" x14ac:dyDescent="0.2">
      <c r="B64" s="25" t="s">
        <v>88</v>
      </c>
      <c r="C64" s="25"/>
      <c r="D64" s="25"/>
      <c r="E64" s="25"/>
      <c r="F64" s="25"/>
      <c r="G64" s="25"/>
    </row>
    <row r="65" spans="2:10" ht="15" customHeight="1" thickBot="1" x14ac:dyDescent="0.25">
      <c r="B65" s="25"/>
      <c r="C65" s="25"/>
      <c r="D65" s="25"/>
      <c r="E65" s="25"/>
      <c r="F65" s="25"/>
      <c r="G65" s="25"/>
    </row>
    <row r="66" spans="2:10" ht="15" customHeight="1" x14ac:dyDescent="0.25">
      <c r="B66" s="25"/>
      <c r="C66" s="438" t="s">
        <v>60</v>
      </c>
      <c r="D66" s="440"/>
      <c r="E66" s="438" t="s">
        <v>61</v>
      </c>
      <c r="F66" s="440"/>
      <c r="G66" s="439"/>
      <c r="H66" s="442" t="s">
        <v>62</v>
      </c>
      <c r="I66" s="442"/>
      <c r="J66" s="443"/>
    </row>
    <row r="67" spans="2:10" ht="15" customHeight="1" x14ac:dyDescent="0.2">
      <c r="B67" s="55" t="s">
        <v>72</v>
      </c>
      <c r="C67" s="62" t="s">
        <v>64</v>
      </c>
      <c r="D67" s="64" t="s">
        <v>65</v>
      </c>
      <c r="E67" s="62" t="s">
        <v>67</v>
      </c>
      <c r="F67" s="64" t="s">
        <v>68</v>
      </c>
      <c r="G67" s="63" t="s">
        <v>73</v>
      </c>
      <c r="H67" s="46" t="s">
        <v>67</v>
      </c>
      <c r="I67" s="46" t="s">
        <v>68</v>
      </c>
      <c r="J67" s="66" t="s">
        <v>65</v>
      </c>
    </row>
    <row r="68" spans="2:10" ht="15" customHeight="1" x14ac:dyDescent="0.2">
      <c r="B68" s="48" t="s">
        <v>74</v>
      </c>
      <c r="C68" s="74">
        <f ca="1">NOI!$C$33*Inputs!D68</f>
        <v>1465803.5</v>
      </c>
      <c r="D68" s="87">
        <v>0.1</v>
      </c>
      <c r="E68" s="76">
        <v>0.7</v>
      </c>
      <c r="F68" s="41">
        <v>0</v>
      </c>
      <c r="G68" s="75">
        <v>0.3</v>
      </c>
      <c r="H68" s="88">
        <f t="shared" ref="H68:H74" ca="1" si="5">$C68*E68/(NumberRooms*DaysOpen)</f>
        <v>11.24452</v>
      </c>
      <c r="I68" s="78">
        <f t="shared" ref="I68:I74" ca="1" si="6">C68*F68/(DaysOpen*NumberRooms*HistOccupancy)</f>
        <v>0</v>
      </c>
      <c r="J68" s="79">
        <f t="shared" ref="J68:J74" si="7">D68*G68</f>
        <v>0.03</v>
      </c>
    </row>
    <row r="69" spans="2:10" ht="15" customHeight="1" x14ac:dyDescent="0.2">
      <c r="B69" s="48" t="s">
        <v>75</v>
      </c>
      <c r="C69" s="74">
        <f ca="1">NOI!$C$33*Inputs!D69</f>
        <v>732901.75</v>
      </c>
      <c r="D69" s="87">
        <v>0.05</v>
      </c>
      <c r="E69" s="76">
        <v>0.35</v>
      </c>
      <c r="F69" s="41">
        <v>0.15</v>
      </c>
      <c r="G69" s="75">
        <v>0.5</v>
      </c>
      <c r="H69" s="88">
        <f t="shared" ca="1" si="5"/>
        <v>2.8111299999999999</v>
      </c>
      <c r="I69" s="78">
        <f t="shared" ca="1" si="6"/>
        <v>1.7211000000000001</v>
      </c>
      <c r="J69" s="79">
        <f t="shared" si="7"/>
        <v>2.5000000000000001E-2</v>
      </c>
    </row>
    <row r="70" spans="2:10" ht="15" customHeight="1" x14ac:dyDescent="0.2">
      <c r="B70" s="48" t="s">
        <v>76</v>
      </c>
      <c r="C70" s="74">
        <f ca="1">NOI!$C$33*Inputs!D70</f>
        <v>0</v>
      </c>
      <c r="D70" s="87">
        <v>0</v>
      </c>
      <c r="E70" s="76">
        <v>0</v>
      </c>
      <c r="F70" s="41">
        <v>0</v>
      </c>
      <c r="G70" s="75">
        <v>1</v>
      </c>
      <c r="H70" s="88">
        <f t="shared" ca="1" si="5"/>
        <v>0</v>
      </c>
      <c r="I70" s="78">
        <f t="shared" ca="1" si="6"/>
        <v>0</v>
      </c>
      <c r="J70" s="79">
        <f t="shared" si="7"/>
        <v>0</v>
      </c>
    </row>
    <row r="71" spans="2:10" ht="15" customHeight="1" x14ac:dyDescent="0.2">
      <c r="B71" s="48" t="s">
        <v>77</v>
      </c>
      <c r="C71" s="74">
        <f ca="1">NOI!$C$33*Inputs!D71</f>
        <v>732901.75</v>
      </c>
      <c r="D71" s="87">
        <v>0.05</v>
      </c>
      <c r="E71" s="76">
        <v>0.45</v>
      </c>
      <c r="F71" s="41">
        <v>0</v>
      </c>
      <c r="G71" s="75">
        <v>0.55000000000000004</v>
      </c>
      <c r="H71" s="88">
        <f t="shared" ca="1" si="5"/>
        <v>3.6143100000000006</v>
      </c>
      <c r="I71" s="78">
        <f t="shared" ca="1" si="6"/>
        <v>0</v>
      </c>
      <c r="J71" s="79">
        <f t="shared" si="7"/>
        <v>2.7500000000000004E-2</v>
      </c>
    </row>
    <row r="72" spans="2:10" ht="15" customHeight="1" x14ac:dyDescent="0.2">
      <c r="B72" s="48" t="s">
        <v>78</v>
      </c>
      <c r="C72" s="74">
        <f ca="1">NOI!$C$33*Inputs!D72</f>
        <v>586321.4</v>
      </c>
      <c r="D72" s="87">
        <v>0.04</v>
      </c>
      <c r="E72" s="76">
        <v>0.25</v>
      </c>
      <c r="F72" s="41">
        <v>0.35</v>
      </c>
      <c r="G72" s="75">
        <v>0.4</v>
      </c>
      <c r="H72" s="88">
        <f t="shared" ca="1" si="5"/>
        <v>1.60636</v>
      </c>
      <c r="I72" s="78">
        <f t="shared" ca="1" si="6"/>
        <v>3.21272</v>
      </c>
      <c r="J72" s="79">
        <f t="shared" si="7"/>
        <v>1.6E-2</v>
      </c>
    </row>
    <row r="73" spans="2:10" ht="15" customHeight="1" x14ac:dyDescent="0.2">
      <c r="B73" s="48" t="s">
        <v>79</v>
      </c>
      <c r="C73" s="74">
        <f ca="1">NOI!$C$33*Inputs!D73</f>
        <v>366450.875</v>
      </c>
      <c r="D73" s="87">
        <v>2.5000000000000001E-2</v>
      </c>
      <c r="E73" s="76">
        <v>0</v>
      </c>
      <c r="F73" s="41">
        <v>0</v>
      </c>
      <c r="G73" s="75">
        <v>1</v>
      </c>
      <c r="H73" s="88">
        <f t="shared" ca="1" si="5"/>
        <v>0</v>
      </c>
      <c r="I73" s="78">
        <f t="shared" ca="1" si="6"/>
        <v>0</v>
      </c>
      <c r="J73" s="79">
        <f t="shared" si="7"/>
        <v>2.5000000000000001E-2</v>
      </c>
    </row>
    <row r="74" spans="2:10" ht="15" customHeight="1" thickBot="1" x14ac:dyDescent="0.25">
      <c r="B74" s="48" t="s">
        <v>80</v>
      </c>
      <c r="C74" s="80">
        <f ca="1">NOI!$C$33*Inputs!D74</f>
        <v>0</v>
      </c>
      <c r="D74" s="89">
        <v>0</v>
      </c>
      <c r="E74" s="82">
        <v>0</v>
      </c>
      <c r="F74" s="83">
        <v>0</v>
      </c>
      <c r="G74" s="81">
        <v>0</v>
      </c>
      <c r="H74" s="90">
        <f t="shared" ca="1" si="5"/>
        <v>0</v>
      </c>
      <c r="I74" s="85">
        <f t="shared" ca="1" si="6"/>
        <v>0</v>
      </c>
      <c r="J74" s="86">
        <f t="shared" si="7"/>
        <v>0</v>
      </c>
    </row>
    <row r="75" spans="2:10" ht="15" customHeight="1" x14ac:dyDescent="0.2">
      <c r="B75" s="25" t="s">
        <v>81</v>
      </c>
      <c r="C75" s="25"/>
      <c r="D75" s="25"/>
      <c r="E75" s="25"/>
      <c r="F75" s="25"/>
      <c r="G75" s="25"/>
    </row>
    <row r="76" spans="2:10" ht="15" customHeight="1" x14ac:dyDescent="0.2">
      <c r="B76" s="25"/>
      <c r="C76" s="25"/>
      <c r="D76" s="25"/>
      <c r="E76" s="25"/>
      <c r="F76" s="25"/>
      <c r="G76" s="25"/>
    </row>
    <row r="77" spans="2:10" ht="15" customHeight="1" thickBot="1" x14ac:dyDescent="0.25">
      <c r="B77" s="55" t="s">
        <v>82</v>
      </c>
      <c r="C77" s="25"/>
      <c r="D77" s="25"/>
      <c r="E77" s="25"/>
      <c r="F77" s="25"/>
      <c r="G77" s="25"/>
    </row>
    <row r="78" spans="2:10" ht="15" customHeight="1" x14ac:dyDescent="0.2">
      <c r="B78" s="48" t="s">
        <v>83</v>
      </c>
      <c r="C78" s="91">
        <f ca="1">NOI!$C$33*Inputs!D78</f>
        <v>586321.4</v>
      </c>
      <c r="D78" s="92">
        <v>0.04</v>
      </c>
      <c r="E78" s="93">
        <v>1</v>
      </c>
      <c r="F78" s="94">
        <v>0</v>
      </c>
      <c r="G78" s="95">
        <v>0</v>
      </c>
      <c r="H78" s="96">
        <f ca="1">$C78*E78/(NumberRooms*DaysOpen)</f>
        <v>6.42544</v>
      </c>
      <c r="I78" s="97">
        <f ca="1">C78*F78/(DaysOpen*NumberRooms*HistOccupancy)</f>
        <v>0</v>
      </c>
      <c r="J78" s="98">
        <f t="shared" ref="J78:J80" si="8">D78*G78</f>
        <v>0</v>
      </c>
    </row>
    <row r="79" spans="2:10" ht="15" customHeight="1" x14ac:dyDescent="0.2">
      <c r="B79" s="48" t="s">
        <v>7</v>
      </c>
      <c r="C79" s="74">
        <f ca="1">NOI!$C$33*Inputs!D79</f>
        <v>87948.21</v>
      </c>
      <c r="D79" s="87">
        <v>6.0000000000000001E-3</v>
      </c>
      <c r="E79" s="76">
        <v>1</v>
      </c>
      <c r="F79" s="41">
        <v>0</v>
      </c>
      <c r="G79" s="75">
        <v>0</v>
      </c>
      <c r="H79" s="88">
        <f ca="1">$C79*E79/(NumberRooms*DaysOpen)</f>
        <v>0.96381600000000012</v>
      </c>
      <c r="I79" s="78">
        <f ca="1">C79*F79/(DaysOpen*NumberRooms*HistOccupancy)</f>
        <v>0</v>
      </c>
      <c r="J79" s="79">
        <f t="shared" si="8"/>
        <v>0</v>
      </c>
    </row>
    <row r="80" spans="2:10" ht="15" customHeight="1" thickBot="1" x14ac:dyDescent="0.25">
      <c r="B80" s="48" t="s">
        <v>84</v>
      </c>
      <c r="C80" s="80">
        <f ca="1">NOI!$C$33*Inputs!D80</f>
        <v>109935.2625</v>
      </c>
      <c r="D80" s="89">
        <v>7.4999999999999997E-3</v>
      </c>
      <c r="E80" s="82">
        <v>1</v>
      </c>
      <c r="F80" s="83">
        <v>0</v>
      </c>
      <c r="G80" s="81">
        <v>0</v>
      </c>
      <c r="H80" s="90">
        <f ca="1">$C80*E80/(NumberRooms*DaysOpen)</f>
        <v>1.2047699999999999</v>
      </c>
      <c r="I80" s="85">
        <f ca="1">C80*F80/(DaysOpen*NumberRooms*HistOccupancy)</f>
        <v>0</v>
      </c>
      <c r="J80" s="86">
        <f t="shared" si="8"/>
        <v>0</v>
      </c>
    </row>
    <row r="81" spans="1:13" ht="15" customHeight="1" x14ac:dyDescent="0.2">
      <c r="B81" s="25"/>
      <c r="C81" s="25"/>
      <c r="D81" s="25"/>
      <c r="E81" s="25"/>
      <c r="F81" s="25"/>
      <c r="G81" s="25"/>
    </row>
    <row r="82" spans="1:13" ht="15" customHeight="1" thickBot="1" x14ac:dyDescent="0.25">
      <c r="B82" s="55" t="s">
        <v>85</v>
      </c>
      <c r="C82" s="25"/>
      <c r="D82" s="25"/>
      <c r="E82" s="25"/>
      <c r="F82" s="25"/>
      <c r="G82" s="25"/>
    </row>
    <row r="83" spans="1:13" ht="15" customHeight="1" thickBot="1" x14ac:dyDescent="0.25">
      <c r="B83" s="48" t="s">
        <v>86</v>
      </c>
      <c r="C83" s="99">
        <f ca="1">NOI!$C$33*Inputs!D83</f>
        <v>586321.4</v>
      </c>
      <c r="D83" s="100">
        <v>0.04</v>
      </c>
      <c r="E83" s="101">
        <v>0</v>
      </c>
      <c r="F83" s="102">
        <v>0</v>
      </c>
      <c r="G83" s="103">
        <v>1</v>
      </c>
      <c r="H83" s="104">
        <f ca="1">$C83*E83/(NumberRooms*DaysOpen)</f>
        <v>0</v>
      </c>
      <c r="I83" s="105">
        <f ca="1">C83*F83/(DaysOpen*NumberRooms*HistOccupancy)</f>
        <v>0</v>
      </c>
      <c r="J83" s="106">
        <f>D83*G83</f>
        <v>0.04</v>
      </c>
    </row>
    <row r="84" spans="1:13" ht="15" customHeight="1" thickBot="1" x14ac:dyDescent="0.25">
      <c r="B84" s="48"/>
      <c r="C84" s="25"/>
      <c r="D84" s="25"/>
      <c r="E84" s="25"/>
      <c r="F84" s="25"/>
      <c r="G84" s="25"/>
    </row>
    <row r="85" spans="1:13" ht="15" customHeight="1" thickBot="1" x14ac:dyDescent="0.25">
      <c r="B85" s="48" t="s">
        <v>8</v>
      </c>
      <c r="C85" s="99">
        <f ca="1">NOI!$C$33*Inputs!D85</f>
        <v>0</v>
      </c>
      <c r="D85" s="100">
        <v>0</v>
      </c>
      <c r="E85" s="101">
        <v>1</v>
      </c>
      <c r="F85" s="102">
        <v>0</v>
      </c>
      <c r="G85" s="103">
        <v>0</v>
      </c>
      <c r="H85" s="104"/>
      <c r="I85" s="105"/>
      <c r="J85" s="106"/>
    </row>
    <row r="86" spans="1:13" ht="15" customHeight="1" x14ac:dyDescent="0.2">
      <c r="B86" s="25"/>
      <c r="C86" s="25"/>
      <c r="D86" s="25"/>
      <c r="E86" s="25"/>
      <c r="F86" s="25"/>
      <c r="G86" s="25"/>
    </row>
    <row r="87" spans="1:13" ht="15" customHeight="1" x14ac:dyDescent="0.2">
      <c r="B87" s="25"/>
      <c r="C87" s="25"/>
      <c r="D87" s="25"/>
      <c r="E87" s="25"/>
      <c r="F87" s="25"/>
      <c r="G87" s="25"/>
    </row>
    <row r="88" spans="1:13" s="11" customFormat="1" x14ac:dyDescent="0.25">
      <c r="C88" s="319"/>
      <c r="D88" s="319"/>
      <c r="E88" s="319"/>
      <c r="F88" s="319"/>
      <c r="G88" s="322"/>
      <c r="H88" s="323"/>
      <c r="I88" s="324"/>
      <c r="J88" s="319"/>
    </row>
    <row r="89" spans="1:13" s="11" customFormat="1" ht="10.15" customHeight="1" x14ac:dyDescent="0.25">
      <c r="C89" s="319"/>
      <c r="D89" s="319"/>
      <c r="E89" s="319"/>
      <c r="F89" s="319"/>
      <c r="G89" s="323"/>
      <c r="H89" s="323"/>
      <c r="I89" s="320"/>
      <c r="J89" s="319"/>
    </row>
    <row r="90" spans="1:13" s="11" customFormat="1" ht="15" customHeight="1" x14ac:dyDescent="0.25">
      <c r="C90" s="321"/>
      <c r="H90" s="419"/>
      <c r="I90" s="419"/>
      <c r="J90" s="419"/>
    </row>
    <row r="91" spans="1:13" s="11" customFormat="1" ht="15" customHeight="1" x14ac:dyDescent="0.25">
      <c r="C91" s="321"/>
      <c r="D91" s="325"/>
      <c r="H91" s="419"/>
      <c r="I91" s="419"/>
      <c r="J91" s="419"/>
    </row>
    <row r="92" spans="1:13" s="11" customFormat="1" ht="15" customHeight="1" x14ac:dyDescent="0.25">
      <c r="C92" s="321"/>
      <c r="F92" s="319"/>
      <c r="G92" s="323"/>
      <c r="H92" s="326"/>
      <c r="I92" s="320"/>
      <c r="J92" s="319"/>
    </row>
    <row r="93" spans="1:13" s="11" customFormat="1" ht="15" customHeight="1" x14ac:dyDescent="0.25">
      <c r="C93" s="319"/>
      <c r="F93" s="319"/>
      <c r="G93" s="319"/>
      <c r="H93" s="319"/>
      <c r="I93" s="319"/>
      <c r="J93" s="319"/>
    </row>
    <row r="94" spans="1:13" s="327" customFormat="1" x14ac:dyDescent="0.2">
      <c r="A94" s="11"/>
      <c r="G94" s="328"/>
      <c r="H94" s="328"/>
      <c r="K94" s="328"/>
      <c r="L94" s="328"/>
      <c r="M94" s="328"/>
    </row>
    <row r="95" spans="1:13" x14ac:dyDescent="0.2">
      <c r="G95" s="111"/>
      <c r="H95" s="111"/>
      <c r="K95" s="112"/>
      <c r="L95" s="112"/>
      <c r="M95" s="112"/>
    </row>
    <row r="96" spans="1:13" x14ac:dyDescent="0.2">
      <c r="C96" s="110"/>
      <c r="D96" s="110"/>
      <c r="E96" s="110"/>
      <c r="F96" s="110"/>
      <c r="G96" s="110"/>
      <c r="H96" s="110"/>
      <c r="K96" s="112"/>
      <c r="L96" s="112"/>
      <c r="M96" s="112"/>
    </row>
    <row r="97" spans="2:13" x14ac:dyDescent="0.2">
      <c r="C97" s="110"/>
      <c r="D97" s="110"/>
      <c r="E97" s="110"/>
      <c r="F97" s="110"/>
      <c r="G97" s="110"/>
      <c r="H97" s="110"/>
      <c r="K97" s="112"/>
      <c r="L97" s="112"/>
      <c r="M97" s="112"/>
    </row>
    <row r="98" spans="2:13" x14ac:dyDescent="0.2">
      <c r="C98" s="110"/>
      <c r="D98" s="110"/>
      <c r="E98" s="110"/>
      <c r="F98" s="110"/>
      <c r="G98" s="110"/>
      <c r="H98" s="110"/>
      <c r="K98" s="112"/>
      <c r="L98" s="112"/>
      <c r="M98" s="112"/>
    </row>
    <row r="99" spans="2:13" x14ac:dyDescent="0.25">
      <c r="B99" s="31"/>
      <c r="K99" s="112"/>
      <c r="L99" s="112"/>
      <c r="M99" s="112"/>
    </row>
    <row r="100" spans="2:13" x14ac:dyDescent="0.25">
      <c r="B100" s="113"/>
      <c r="C100" s="114"/>
      <c r="D100" s="114"/>
      <c r="E100" s="114"/>
      <c r="F100" s="114"/>
      <c r="G100" s="114"/>
      <c r="H100" s="114"/>
      <c r="K100" s="112"/>
      <c r="L100" s="112"/>
      <c r="M100" s="112"/>
    </row>
    <row r="101" spans="2:13" x14ac:dyDescent="0.25">
      <c r="B101" s="31"/>
      <c r="K101" s="112"/>
      <c r="L101" s="112"/>
      <c r="M101" s="112"/>
    </row>
    <row r="102" spans="2:13" x14ac:dyDescent="0.2">
      <c r="C102" s="115"/>
      <c r="D102" s="115"/>
      <c r="E102" s="115"/>
      <c r="F102" s="115"/>
      <c r="G102" s="115"/>
      <c r="H102" s="115"/>
      <c r="K102" s="112"/>
      <c r="L102" s="112"/>
      <c r="M102" s="112"/>
    </row>
    <row r="103" spans="2:13" x14ac:dyDescent="0.2">
      <c r="C103" s="116"/>
      <c r="D103" s="116"/>
      <c r="E103" s="116"/>
      <c r="F103" s="116"/>
      <c r="G103" s="116"/>
      <c r="H103" s="116"/>
      <c r="K103" s="112"/>
      <c r="L103" s="112"/>
      <c r="M103" s="112"/>
    </row>
    <row r="104" spans="2:13" x14ac:dyDescent="0.25">
      <c r="C104" s="115"/>
      <c r="D104" s="115"/>
      <c r="E104" s="115"/>
      <c r="F104" s="115"/>
      <c r="G104" s="115"/>
      <c r="H104" s="115"/>
      <c r="K104" s="117"/>
      <c r="L104" s="117"/>
      <c r="M104" s="117"/>
    </row>
    <row r="105" spans="2:13" x14ac:dyDescent="0.2">
      <c r="C105" s="116"/>
      <c r="D105" s="116"/>
      <c r="E105" s="116"/>
      <c r="F105" s="116"/>
      <c r="G105" s="116"/>
      <c r="H105" s="116"/>
    </row>
    <row r="106" spans="2:13" x14ac:dyDescent="0.2">
      <c r="C106" s="115"/>
      <c r="D106" s="115"/>
      <c r="E106" s="115"/>
      <c r="F106" s="115"/>
      <c r="G106" s="115"/>
      <c r="H106" s="115"/>
      <c r="K106" s="118"/>
      <c r="L106" s="118"/>
      <c r="M106" s="118"/>
    </row>
    <row r="107" spans="2:13" x14ac:dyDescent="0.25">
      <c r="C107" s="116"/>
      <c r="D107" s="116"/>
      <c r="E107" s="116"/>
      <c r="F107" s="116"/>
      <c r="G107" s="116"/>
      <c r="H107" s="116"/>
      <c r="K107" s="117"/>
      <c r="L107" s="117"/>
      <c r="M107" s="115"/>
    </row>
    <row r="108" spans="2:13" x14ac:dyDescent="0.2">
      <c r="C108" s="110"/>
      <c r="D108" s="110"/>
      <c r="E108" s="110"/>
      <c r="F108" s="110"/>
      <c r="G108" s="110"/>
      <c r="H108" s="110"/>
    </row>
    <row r="109" spans="2:13" x14ac:dyDescent="0.2">
      <c r="C109" s="111"/>
      <c r="D109" s="111"/>
      <c r="E109" s="111"/>
      <c r="F109" s="111"/>
      <c r="G109" s="111"/>
      <c r="H109" s="111"/>
    </row>
    <row r="110" spans="2:13" x14ac:dyDescent="0.2">
      <c r="C110" s="115"/>
      <c r="D110" s="115"/>
      <c r="E110" s="115"/>
      <c r="F110" s="115"/>
      <c r="G110" s="115"/>
      <c r="H110" s="115"/>
    </row>
    <row r="111" spans="2:13" x14ac:dyDescent="0.2">
      <c r="C111" s="115"/>
      <c r="D111" s="115"/>
      <c r="E111" s="115"/>
      <c r="F111" s="115"/>
      <c r="G111" s="115"/>
      <c r="H111" s="115"/>
    </row>
    <row r="112" spans="2:13" x14ac:dyDescent="0.25">
      <c r="B112" s="436"/>
      <c r="C112" s="437"/>
      <c r="D112" s="437"/>
      <c r="E112" s="437"/>
      <c r="F112" s="437"/>
      <c r="G112" s="437"/>
      <c r="H112" s="437"/>
    </row>
    <row r="113" spans="2:8" x14ac:dyDescent="0.2">
      <c r="C113" s="115"/>
      <c r="D113" s="115"/>
      <c r="E113" s="115"/>
      <c r="F113" s="115"/>
      <c r="G113" s="115"/>
      <c r="H113" s="115"/>
    </row>
    <row r="114" spans="2:8" x14ac:dyDescent="0.2">
      <c r="C114" s="115"/>
      <c r="D114" s="115"/>
      <c r="E114" s="115"/>
      <c r="F114" s="115"/>
      <c r="G114" s="115"/>
      <c r="H114" s="115"/>
    </row>
    <row r="115" spans="2:8" x14ac:dyDescent="0.2">
      <c r="C115" s="115"/>
      <c r="D115" s="115"/>
      <c r="E115" s="115"/>
      <c r="F115" s="115"/>
      <c r="G115" s="115"/>
      <c r="H115" s="115"/>
    </row>
    <row r="116" spans="2:8" x14ac:dyDescent="0.2">
      <c r="C116" s="115"/>
      <c r="D116" s="115"/>
      <c r="E116" s="115"/>
      <c r="F116" s="115"/>
      <c r="G116" s="115"/>
      <c r="H116" s="115"/>
    </row>
    <row r="117" spans="2:8" x14ac:dyDescent="0.2">
      <c r="C117" s="119"/>
      <c r="D117" s="119"/>
      <c r="E117" s="119"/>
      <c r="F117" s="119"/>
      <c r="G117" s="119"/>
      <c r="H117" s="119"/>
    </row>
    <row r="118" spans="2:8" x14ac:dyDescent="0.2">
      <c r="C118" s="119"/>
      <c r="D118" s="119"/>
      <c r="E118" s="119"/>
      <c r="F118" s="119"/>
      <c r="G118" s="119"/>
      <c r="H118" s="119"/>
    </row>
    <row r="119" spans="2:8" x14ac:dyDescent="0.25">
      <c r="B119" s="436"/>
      <c r="C119" s="437"/>
      <c r="D119" s="437"/>
      <c r="E119" s="437"/>
      <c r="F119" s="437"/>
      <c r="G119" s="437"/>
      <c r="H119" s="437"/>
    </row>
    <row r="120" spans="2:8" x14ac:dyDescent="0.2">
      <c r="C120" s="110"/>
      <c r="D120" s="110"/>
      <c r="E120" s="110"/>
      <c r="F120" s="110"/>
      <c r="G120" s="110"/>
      <c r="H120" s="110"/>
    </row>
    <row r="121" spans="2:8" x14ac:dyDescent="0.2">
      <c r="C121" s="111"/>
      <c r="D121" s="111"/>
      <c r="E121" s="111"/>
      <c r="F121" s="111"/>
      <c r="G121" s="111"/>
      <c r="H121" s="116"/>
    </row>
    <row r="122" spans="2:8" x14ac:dyDescent="0.2">
      <c r="C122" s="111"/>
      <c r="D122" s="111"/>
      <c r="E122" s="111"/>
      <c r="F122" s="111"/>
      <c r="G122" s="111"/>
      <c r="H122" s="118"/>
    </row>
    <row r="123" spans="2:8" x14ac:dyDescent="0.25">
      <c r="C123" s="111"/>
      <c r="D123" s="111"/>
      <c r="E123" s="111"/>
      <c r="F123" s="111"/>
      <c r="G123" s="111"/>
      <c r="H123" s="117"/>
    </row>
    <row r="124" spans="2:8" x14ac:dyDescent="0.2">
      <c r="C124" s="111"/>
      <c r="H124" s="116"/>
    </row>
    <row r="125" spans="2:8" x14ac:dyDescent="0.25">
      <c r="B125" s="31"/>
      <c r="C125" s="110"/>
      <c r="D125" s="110"/>
      <c r="E125" s="110"/>
      <c r="F125" s="110"/>
      <c r="G125" s="110"/>
      <c r="H125" s="120"/>
    </row>
    <row r="126" spans="2:8" x14ac:dyDescent="0.25">
      <c r="B126" s="31"/>
      <c r="C126" s="110"/>
      <c r="D126" s="110"/>
      <c r="E126" s="110"/>
      <c r="F126" s="110"/>
      <c r="G126" s="110"/>
      <c r="H126" s="120"/>
    </row>
    <row r="127" spans="2:8" x14ac:dyDescent="0.2">
      <c r="C127" s="118"/>
      <c r="D127" s="118"/>
      <c r="E127" s="118"/>
      <c r="F127" s="118"/>
      <c r="G127" s="118"/>
      <c r="H127" s="120"/>
    </row>
    <row r="128" spans="2:8" x14ac:dyDescent="0.25">
      <c r="C128" s="117"/>
      <c r="D128" s="117"/>
      <c r="E128" s="117"/>
      <c r="F128" s="117"/>
      <c r="G128" s="117"/>
      <c r="H128" s="120"/>
    </row>
    <row r="129" spans="2:8" x14ac:dyDescent="0.2">
      <c r="H129" s="120"/>
    </row>
    <row r="130" spans="2:8" x14ac:dyDescent="0.25">
      <c r="B130" s="436"/>
      <c r="C130" s="437"/>
      <c r="E130" s="436"/>
      <c r="F130" s="437"/>
      <c r="H130" s="120"/>
    </row>
    <row r="131" spans="2:8" x14ac:dyDescent="0.25">
      <c r="C131" s="121"/>
      <c r="D131" s="120"/>
      <c r="E131" s="122"/>
      <c r="F131" s="121"/>
      <c r="H131" s="120"/>
    </row>
    <row r="132" spans="2:8" x14ac:dyDescent="0.25">
      <c r="C132" s="123"/>
      <c r="D132" s="120"/>
      <c r="E132" s="122"/>
      <c r="F132" s="121"/>
      <c r="H132" s="120"/>
    </row>
    <row r="133" spans="2:8" x14ac:dyDescent="0.25">
      <c r="C133" s="121"/>
      <c r="D133" s="120"/>
      <c r="E133" s="122"/>
      <c r="F133" s="123"/>
    </row>
    <row r="134" spans="2:8" x14ac:dyDescent="0.25">
      <c r="C134" s="124"/>
      <c r="D134" s="120"/>
      <c r="E134" s="125"/>
      <c r="F134" s="126"/>
      <c r="G134" s="127"/>
    </row>
    <row r="135" spans="2:8" x14ac:dyDescent="0.25">
      <c r="C135" s="117"/>
      <c r="D135" s="120"/>
    </row>
    <row r="136" spans="2:8" x14ac:dyDescent="0.2">
      <c r="C136" s="120"/>
    </row>
  </sheetData>
  <mergeCells count="27">
    <mergeCell ref="D14:E14"/>
    <mergeCell ref="B4:C4"/>
    <mergeCell ref="B112:H112"/>
    <mergeCell ref="B119:H119"/>
    <mergeCell ref="B130:C130"/>
    <mergeCell ref="E130:F130"/>
    <mergeCell ref="B55:C55"/>
    <mergeCell ref="C59:D59"/>
    <mergeCell ref="E59:G59"/>
    <mergeCell ref="H59:J59"/>
    <mergeCell ref="C66:D66"/>
    <mergeCell ref="E66:G66"/>
    <mergeCell ref="H66:J66"/>
    <mergeCell ref="D7:E7"/>
    <mergeCell ref="D8:E8"/>
    <mergeCell ref="D9:E9"/>
    <mergeCell ref="D6:E6"/>
    <mergeCell ref="D10:E10"/>
    <mergeCell ref="D11:E11"/>
    <mergeCell ref="D12:E12"/>
    <mergeCell ref="D13:E13"/>
    <mergeCell ref="H91:J91"/>
    <mergeCell ref="D15:E15"/>
    <mergeCell ref="D16:E16"/>
    <mergeCell ref="D17:E17"/>
    <mergeCell ref="D18:E18"/>
    <mergeCell ref="H90:J90"/>
  </mergeCells>
  <dataValidations disablePrompts="1" count="1">
    <dataValidation type="list" allowBlank="1" showInputMessage="1" showErrorMessage="1" sqref="B35" xr:uid="{F149632C-3BDD-4C11-BA8D-B4190CEF9E44}">
      <formula1>$B$23:$B$32</formula1>
    </dataValidation>
  </dataValidations>
  <pageMargins left="0.7" right="0.7" top="0.75" bottom="0.75" header="0.3" footer="0.3"/>
  <pageSetup scale="4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5FF4-161E-41F8-86D2-A3DD25D261AD}">
  <sheetPr codeName="Sheet3">
    <tabColor rgb="FF393F47"/>
    <pageSetUpPr fitToPage="1"/>
  </sheetPr>
  <dimension ref="A1:AD62"/>
  <sheetViews>
    <sheetView tabSelected="1" workbookViewId="0">
      <selection activeCell="G28" sqref="G28"/>
    </sheetView>
  </sheetViews>
  <sheetFormatPr defaultColWidth="8.85546875" defaultRowHeight="14.25" outlineLevelRow="1" x14ac:dyDescent="0.2"/>
  <cols>
    <col min="1" max="1" width="4.28515625" style="131" customWidth="1"/>
    <col min="2" max="2" width="40.28515625" style="131" customWidth="1"/>
    <col min="3" max="3" width="10.7109375" style="131" customWidth="1"/>
    <col min="4" max="29" width="13.7109375" style="131" customWidth="1"/>
    <col min="30" max="30" width="2.28515625" style="131" customWidth="1"/>
    <col min="31" max="16384" width="8.85546875" style="131"/>
  </cols>
  <sheetData>
    <row r="1" spans="1:30" s="16" customFormat="1" x14ac:dyDescent="0.2"/>
    <row r="2" spans="1:30" s="16" customFormat="1" ht="20.25" x14ac:dyDescent="0.3">
      <c r="A2" s="17"/>
      <c r="B2" s="18" t="str">
        <f>Inputs!B2</f>
        <v>Comparing Complex Deal Structures</v>
      </c>
      <c r="C2" s="18"/>
      <c r="D2" s="18"/>
      <c r="E2" s="18"/>
      <c r="F2" s="18"/>
    </row>
    <row r="3" spans="1:30" s="16" customFormat="1" ht="20.25" x14ac:dyDescent="0.3">
      <c r="A3" s="14"/>
      <c r="B3" s="19"/>
      <c r="C3" s="19"/>
      <c r="D3" s="19"/>
      <c r="E3" s="19"/>
      <c r="F3" s="19"/>
    </row>
    <row r="4" spans="1:30" s="16" customFormat="1" ht="20.45" customHeight="1" x14ac:dyDescent="0.2">
      <c r="A4" s="20"/>
      <c r="B4" s="128" t="s">
        <v>118</v>
      </c>
      <c r="C4" s="444"/>
      <c r="D4" s="444"/>
      <c r="E4" s="129"/>
      <c r="F4" s="130"/>
    </row>
    <row r="5" spans="1:30" s="21" customFormat="1" ht="10.15" customHeight="1" x14ac:dyDescent="0.25">
      <c r="B5" s="22"/>
      <c r="C5" s="23"/>
      <c r="D5" s="14"/>
      <c r="E5" s="14"/>
      <c r="F5" s="14"/>
      <c r="G5" s="23"/>
    </row>
    <row r="6" spans="1:30" ht="15" customHeight="1" x14ac:dyDescent="0.25">
      <c r="B6" s="132" t="s">
        <v>6</v>
      </c>
      <c r="C6" s="133"/>
      <c r="D6" s="133"/>
      <c r="E6" s="445" t="s">
        <v>143</v>
      </c>
      <c r="F6" s="445"/>
      <c r="G6" s="445"/>
      <c r="H6" s="445"/>
      <c r="I6" s="445"/>
      <c r="J6" s="445"/>
      <c r="K6" s="445"/>
      <c r="L6" s="445"/>
      <c r="M6" s="445"/>
      <c r="N6" s="445"/>
      <c r="O6" s="445"/>
      <c r="P6" s="445"/>
      <c r="Q6" s="445" t="s">
        <v>143</v>
      </c>
      <c r="R6" s="445"/>
      <c r="S6" s="445"/>
      <c r="T6" s="445"/>
      <c r="U6" s="445"/>
      <c r="V6" s="445"/>
      <c r="W6" s="445"/>
      <c r="X6" s="445"/>
      <c r="Y6" s="445"/>
      <c r="Z6" s="445"/>
      <c r="AA6" s="445"/>
      <c r="AB6" s="445"/>
      <c r="AC6" s="445"/>
    </row>
    <row r="7" spans="1:30" ht="15" customHeight="1" x14ac:dyDescent="0.25">
      <c r="B7" s="133"/>
      <c r="C7" s="133"/>
      <c r="D7" s="134" t="s">
        <v>30</v>
      </c>
      <c r="E7" s="135">
        <f>Inputs!C11-1</f>
        <v>44196</v>
      </c>
      <c r="F7" s="135">
        <f t="shared" ref="F7:AC7" si="0">EOMONTH(E7,1)</f>
        <v>44227</v>
      </c>
      <c r="G7" s="135">
        <f t="shared" si="0"/>
        <v>44255</v>
      </c>
      <c r="H7" s="135">
        <f t="shared" si="0"/>
        <v>44286</v>
      </c>
      <c r="I7" s="135">
        <f t="shared" si="0"/>
        <v>44316</v>
      </c>
      <c r="J7" s="135">
        <f t="shared" si="0"/>
        <v>44347</v>
      </c>
      <c r="K7" s="135">
        <f t="shared" si="0"/>
        <v>44377</v>
      </c>
      <c r="L7" s="135">
        <f t="shared" si="0"/>
        <v>44408</v>
      </c>
      <c r="M7" s="135">
        <f t="shared" si="0"/>
        <v>44439</v>
      </c>
      <c r="N7" s="135">
        <f t="shared" si="0"/>
        <v>44469</v>
      </c>
      <c r="O7" s="135">
        <f t="shared" si="0"/>
        <v>44500</v>
      </c>
      <c r="P7" s="135">
        <f t="shared" si="0"/>
        <v>44530</v>
      </c>
      <c r="Q7" s="135">
        <f t="shared" si="0"/>
        <v>44561</v>
      </c>
      <c r="R7" s="135">
        <f t="shared" si="0"/>
        <v>44592</v>
      </c>
      <c r="S7" s="135">
        <f t="shared" si="0"/>
        <v>44620</v>
      </c>
      <c r="T7" s="135">
        <f t="shared" si="0"/>
        <v>44651</v>
      </c>
      <c r="U7" s="135">
        <f t="shared" si="0"/>
        <v>44681</v>
      </c>
      <c r="V7" s="135">
        <f t="shared" si="0"/>
        <v>44712</v>
      </c>
      <c r="W7" s="135">
        <f t="shared" si="0"/>
        <v>44742</v>
      </c>
      <c r="X7" s="135">
        <f t="shared" si="0"/>
        <v>44773</v>
      </c>
      <c r="Y7" s="135">
        <f t="shared" si="0"/>
        <v>44804</v>
      </c>
      <c r="Z7" s="135">
        <f t="shared" si="0"/>
        <v>44834</v>
      </c>
      <c r="AA7" s="135">
        <f t="shared" si="0"/>
        <v>44865</v>
      </c>
      <c r="AB7" s="135">
        <f t="shared" si="0"/>
        <v>44895</v>
      </c>
      <c r="AC7" s="135">
        <f t="shared" si="0"/>
        <v>44926</v>
      </c>
    </row>
    <row r="8" spans="1:30" s="21" customFormat="1" ht="15" customHeight="1" x14ac:dyDescent="0.25">
      <c r="B8" s="22"/>
      <c r="C8" s="23"/>
      <c r="D8" s="14"/>
      <c r="E8" s="14"/>
      <c r="F8" s="14"/>
      <c r="G8" s="23"/>
    </row>
    <row r="9" spans="1:30" ht="15" customHeight="1" x14ac:dyDescent="0.2">
      <c r="B9" s="133" t="s">
        <v>119</v>
      </c>
      <c r="C9" s="133"/>
      <c r="D9" s="136">
        <f>'Provided - CAP Acct. 1'!H9</f>
        <v>5000000</v>
      </c>
      <c r="E9" s="136">
        <f t="shared" ref="E9:AC9" si="1">$D9*E37</f>
        <v>5000000</v>
      </c>
      <c r="F9" s="136">
        <f t="shared" si="1"/>
        <v>0</v>
      </c>
      <c r="G9" s="136">
        <f t="shared" si="1"/>
        <v>0</v>
      </c>
      <c r="H9" s="136">
        <f t="shared" si="1"/>
        <v>0</v>
      </c>
      <c r="I9" s="136">
        <f t="shared" si="1"/>
        <v>0</v>
      </c>
      <c r="J9" s="136">
        <f t="shared" si="1"/>
        <v>0</v>
      </c>
      <c r="K9" s="136">
        <f t="shared" si="1"/>
        <v>0</v>
      </c>
      <c r="L9" s="136">
        <f t="shared" si="1"/>
        <v>0</v>
      </c>
      <c r="M9" s="136">
        <f t="shared" si="1"/>
        <v>0</v>
      </c>
      <c r="N9" s="136">
        <f t="shared" si="1"/>
        <v>0</v>
      </c>
      <c r="O9" s="136">
        <f t="shared" si="1"/>
        <v>0</v>
      </c>
      <c r="P9" s="136">
        <f t="shared" si="1"/>
        <v>0</v>
      </c>
      <c r="Q9" s="136">
        <f t="shared" si="1"/>
        <v>0</v>
      </c>
      <c r="R9" s="136">
        <f t="shared" si="1"/>
        <v>0</v>
      </c>
      <c r="S9" s="136">
        <f t="shared" si="1"/>
        <v>0</v>
      </c>
      <c r="T9" s="136">
        <f t="shared" si="1"/>
        <v>0</v>
      </c>
      <c r="U9" s="136">
        <f t="shared" si="1"/>
        <v>0</v>
      </c>
      <c r="V9" s="136">
        <f t="shared" si="1"/>
        <v>0</v>
      </c>
      <c r="W9" s="136">
        <f t="shared" si="1"/>
        <v>0</v>
      </c>
      <c r="X9" s="136">
        <f t="shared" si="1"/>
        <v>0</v>
      </c>
      <c r="Y9" s="136">
        <f t="shared" si="1"/>
        <v>0</v>
      </c>
      <c r="Z9" s="136">
        <f t="shared" si="1"/>
        <v>0</v>
      </c>
      <c r="AA9" s="136">
        <f t="shared" si="1"/>
        <v>0</v>
      </c>
      <c r="AB9" s="136">
        <f t="shared" si="1"/>
        <v>0</v>
      </c>
      <c r="AC9" s="136">
        <f t="shared" si="1"/>
        <v>0</v>
      </c>
      <c r="AD9" s="137" t="s">
        <v>15</v>
      </c>
    </row>
    <row r="10" spans="1:30" ht="15" customHeight="1" x14ac:dyDescent="0.2">
      <c r="B10" s="133" t="s">
        <v>120</v>
      </c>
      <c r="C10" s="133"/>
      <c r="D10" s="138">
        <v>300000</v>
      </c>
      <c r="E10" s="136">
        <f t="shared" ref="E10:AC10" si="2">$D10*E38</f>
        <v>300000</v>
      </c>
      <c r="F10" s="136">
        <f t="shared" si="2"/>
        <v>0</v>
      </c>
      <c r="G10" s="136">
        <f t="shared" si="2"/>
        <v>0</v>
      </c>
      <c r="H10" s="136">
        <f t="shared" si="2"/>
        <v>0</v>
      </c>
      <c r="I10" s="136">
        <f t="shared" si="2"/>
        <v>0</v>
      </c>
      <c r="J10" s="136">
        <f t="shared" si="2"/>
        <v>0</v>
      </c>
      <c r="K10" s="136">
        <f t="shared" si="2"/>
        <v>0</v>
      </c>
      <c r="L10" s="136">
        <f t="shared" si="2"/>
        <v>0</v>
      </c>
      <c r="M10" s="136">
        <f t="shared" si="2"/>
        <v>0</v>
      </c>
      <c r="N10" s="136">
        <f t="shared" si="2"/>
        <v>0</v>
      </c>
      <c r="O10" s="136">
        <f t="shared" si="2"/>
        <v>0</v>
      </c>
      <c r="P10" s="136">
        <f t="shared" si="2"/>
        <v>0</v>
      </c>
      <c r="Q10" s="136">
        <f t="shared" si="2"/>
        <v>0</v>
      </c>
      <c r="R10" s="136">
        <f t="shared" si="2"/>
        <v>0</v>
      </c>
      <c r="S10" s="136">
        <f t="shared" si="2"/>
        <v>0</v>
      </c>
      <c r="T10" s="136">
        <f t="shared" si="2"/>
        <v>0</v>
      </c>
      <c r="U10" s="136">
        <f t="shared" si="2"/>
        <v>0</v>
      </c>
      <c r="V10" s="136">
        <f t="shared" si="2"/>
        <v>0</v>
      </c>
      <c r="W10" s="136">
        <f t="shared" si="2"/>
        <v>0</v>
      </c>
      <c r="X10" s="136">
        <f t="shared" si="2"/>
        <v>0</v>
      </c>
      <c r="Y10" s="136">
        <f t="shared" si="2"/>
        <v>0</v>
      </c>
      <c r="Z10" s="136">
        <f t="shared" si="2"/>
        <v>0</v>
      </c>
      <c r="AA10" s="136">
        <f t="shared" si="2"/>
        <v>0</v>
      </c>
      <c r="AB10" s="136">
        <f t="shared" si="2"/>
        <v>0</v>
      </c>
      <c r="AC10" s="136">
        <f t="shared" si="2"/>
        <v>0</v>
      </c>
      <c r="AD10" s="137" t="s">
        <v>15</v>
      </c>
    </row>
    <row r="11" spans="1:30" ht="15" customHeight="1" x14ac:dyDescent="0.2">
      <c r="B11" s="133" t="s">
        <v>121</v>
      </c>
      <c r="C11" s="133"/>
      <c r="D11" s="138">
        <v>500000</v>
      </c>
      <c r="E11" s="136">
        <f t="shared" ref="E11:AC11" si="3">$D11*E39</f>
        <v>71428.571428571566</v>
      </c>
      <c r="F11" s="136">
        <f t="shared" si="3"/>
        <v>17857.142857142855</v>
      </c>
      <c r="G11" s="136">
        <f t="shared" si="3"/>
        <v>17857.142857142855</v>
      </c>
      <c r="H11" s="136">
        <f t="shared" si="3"/>
        <v>17857.142857142855</v>
      </c>
      <c r="I11" s="136">
        <f t="shared" si="3"/>
        <v>17857.142857142855</v>
      </c>
      <c r="J11" s="136">
        <f t="shared" si="3"/>
        <v>17857.142857142855</v>
      </c>
      <c r="K11" s="136">
        <f t="shared" si="3"/>
        <v>17857.142857142855</v>
      </c>
      <c r="L11" s="136">
        <f t="shared" si="3"/>
        <v>17857.142857142855</v>
      </c>
      <c r="M11" s="136">
        <f t="shared" si="3"/>
        <v>17857.142857142855</v>
      </c>
      <c r="N11" s="136">
        <f t="shared" si="3"/>
        <v>17857.142857142855</v>
      </c>
      <c r="O11" s="136">
        <f t="shared" si="3"/>
        <v>17857.142857142855</v>
      </c>
      <c r="P11" s="136">
        <f t="shared" si="3"/>
        <v>17857.142857142855</v>
      </c>
      <c r="Q11" s="136">
        <f t="shared" si="3"/>
        <v>17857.142857142855</v>
      </c>
      <c r="R11" s="136">
        <f t="shared" si="3"/>
        <v>17857.142857142855</v>
      </c>
      <c r="S11" s="136">
        <f t="shared" si="3"/>
        <v>17857.142857142855</v>
      </c>
      <c r="T11" s="136">
        <f t="shared" si="3"/>
        <v>17857.142857142855</v>
      </c>
      <c r="U11" s="136">
        <f t="shared" si="3"/>
        <v>17857.142857142855</v>
      </c>
      <c r="V11" s="136">
        <f t="shared" si="3"/>
        <v>17857.142857142855</v>
      </c>
      <c r="W11" s="136">
        <f t="shared" si="3"/>
        <v>17857.142857142855</v>
      </c>
      <c r="X11" s="136">
        <f t="shared" si="3"/>
        <v>17857.142857142855</v>
      </c>
      <c r="Y11" s="136">
        <f t="shared" si="3"/>
        <v>17857.142857142855</v>
      </c>
      <c r="Z11" s="136">
        <f t="shared" si="3"/>
        <v>17857.142857142855</v>
      </c>
      <c r="AA11" s="136">
        <f t="shared" si="3"/>
        <v>17857.142857142855</v>
      </c>
      <c r="AB11" s="136">
        <f t="shared" si="3"/>
        <v>17857.142857142855</v>
      </c>
      <c r="AC11" s="136">
        <f t="shared" si="3"/>
        <v>17857.142857142855</v>
      </c>
      <c r="AD11" s="137" t="s">
        <v>15</v>
      </c>
    </row>
    <row r="12" spans="1:30" ht="15" customHeight="1" x14ac:dyDescent="0.2">
      <c r="B12" s="133" t="s">
        <v>122</v>
      </c>
      <c r="C12" s="133"/>
      <c r="D12" s="138">
        <v>1700000</v>
      </c>
      <c r="E12" s="136">
        <f t="shared" ref="E12:AC12" si="4">$D12*E40</f>
        <v>1020000</v>
      </c>
      <c r="F12" s="136">
        <f t="shared" si="4"/>
        <v>136000</v>
      </c>
      <c r="G12" s="136">
        <f t="shared" si="4"/>
        <v>136000</v>
      </c>
      <c r="H12" s="136">
        <f t="shared" si="4"/>
        <v>136000</v>
      </c>
      <c r="I12" s="136">
        <f t="shared" si="4"/>
        <v>136000</v>
      </c>
      <c r="J12" s="136">
        <f t="shared" si="4"/>
        <v>136000</v>
      </c>
      <c r="K12" s="136">
        <f t="shared" si="4"/>
        <v>0</v>
      </c>
      <c r="L12" s="136">
        <f t="shared" si="4"/>
        <v>0</v>
      </c>
      <c r="M12" s="136">
        <f t="shared" si="4"/>
        <v>0</v>
      </c>
      <c r="N12" s="136">
        <f t="shared" si="4"/>
        <v>0</v>
      </c>
      <c r="O12" s="136">
        <f t="shared" si="4"/>
        <v>0</v>
      </c>
      <c r="P12" s="136">
        <f t="shared" si="4"/>
        <v>0</v>
      </c>
      <c r="Q12" s="136">
        <f t="shared" si="4"/>
        <v>0</v>
      </c>
      <c r="R12" s="136">
        <f t="shared" si="4"/>
        <v>0</v>
      </c>
      <c r="S12" s="136">
        <f t="shared" si="4"/>
        <v>0</v>
      </c>
      <c r="T12" s="136">
        <f t="shared" si="4"/>
        <v>0</v>
      </c>
      <c r="U12" s="136">
        <f t="shared" si="4"/>
        <v>0</v>
      </c>
      <c r="V12" s="136">
        <f t="shared" si="4"/>
        <v>0</v>
      </c>
      <c r="W12" s="136">
        <f t="shared" si="4"/>
        <v>0</v>
      </c>
      <c r="X12" s="136">
        <f t="shared" si="4"/>
        <v>0</v>
      </c>
      <c r="Y12" s="136">
        <f t="shared" si="4"/>
        <v>0</v>
      </c>
      <c r="Z12" s="136">
        <f t="shared" si="4"/>
        <v>0</v>
      </c>
      <c r="AA12" s="136">
        <f t="shared" si="4"/>
        <v>0</v>
      </c>
      <c r="AB12" s="136">
        <f t="shared" si="4"/>
        <v>0</v>
      </c>
      <c r="AC12" s="136">
        <f t="shared" si="4"/>
        <v>0</v>
      </c>
      <c r="AD12" s="137" t="s">
        <v>15</v>
      </c>
    </row>
    <row r="13" spans="1:30" ht="15" customHeight="1" x14ac:dyDescent="0.2">
      <c r="B13" s="133" t="s">
        <v>123</v>
      </c>
      <c r="C13" s="133"/>
      <c r="D13" s="138">
        <v>1300000</v>
      </c>
      <c r="E13" s="136">
        <f t="shared" ref="E13:AC13" si="5">$D13*E41</f>
        <v>1300000</v>
      </c>
      <c r="F13" s="136">
        <f t="shared" si="5"/>
        <v>0</v>
      </c>
      <c r="G13" s="136">
        <f t="shared" si="5"/>
        <v>0</v>
      </c>
      <c r="H13" s="136">
        <f t="shared" si="5"/>
        <v>0</v>
      </c>
      <c r="I13" s="136">
        <f t="shared" si="5"/>
        <v>0</v>
      </c>
      <c r="J13" s="136">
        <f t="shared" si="5"/>
        <v>0</v>
      </c>
      <c r="K13" s="136">
        <f t="shared" si="5"/>
        <v>0</v>
      </c>
      <c r="L13" s="136">
        <f t="shared" si="5"/>
        <v>0</v>
      </c>
      <c r="M13" s="136">
        <f t="shared" si="5"/>
        <v>0</v>
      </c>
      <c r="N13" s="136">
        <f t="shared" si="5"/>
        <v>0</v>
      </c>
      <c r="O13" s="136">
        <f t="shared" si="5"/>
        <v>0</v>
      </c>
      <c r="P13" s="136">
        <f t="shared" si="5"/>
        <v>0</v>
      </c>
      <c r="Q13" s="136">
        <f t="shared" si="5"/>
        <v>0</v>
      </c>
      <c r="R13" s="136">
        <f t="shared" si="5"/>
        <v>0</v>
      </c>
      <c r="S13" s="136">
        <f t="shared" si="5"/>
        <v>0</v>
      </c>
      <c r="T13" s="136">
        <f t="shared" si="5"/>
        <v>0</v>
      </c>
      <c r="U13" s="136">
        <f t="shared" si="5"/>
        <v>0</v>
      </c>
      <c r="V13" s="136">
        <f t="shared" si="5"/>
        <v>0</v>
      </c>
      <c r="W13" s="136">
        <f t="shared" si="5"/>
        <v>0</v>
      </c>
      <c r="X13" s="136">
        <f t="shared" si="5"/>
        <v>0</v>
      </c>
      <c r="Y13" s="136">
        <f t="shared" si="5"/>
        <v>0</v>
      </c>
      <c r="Z13" s="136">
        <f t="shared" si="5"/>
        <v>0</v>
      </c>
      <c r="AA13" s="136">
        <f t="shared" si="5"/>
        <v>0</v>
      </c>
      <c r="AB13" s="136">
        <f t="shared" si="5"/>
        <v>0</v>
      </c>
      <c r="AC13" s="136">
        <f t="shared" si="5"/>
        <v>0</v>
      </c>
      <c r="AD13" s="137" t="s">
        <v>15</v>
      </c>
    </row>
    <row r="14" spans="1:30" ht="15" customHeight="1" x14ac:dyDescent="0.2">
      <c r="B14" s="133" t="s">
        <v>124</v>
      </c>
      <c r="C14" s="133"/>
      <c r="D14" s="138">
        <v>1800000</v>
      </c>
      <c r="E14" s="136">
        <f t="shared" ref="E14:AC14" si="6">$D14*E42</f>
        <v>0</v>
      </c>
      <c r="F14" s="136">
        <f t="shared" si="6"/>
        <v>0</v>
      </c>
      <c r="G14" s="136">
        <f t="shared" si="6"/>
        <v>0</v>
      </c>
      <c r="H14" s="136">
        <f t="shared" si="6"/>
        <v>0</v>
      </c>
      <c r="I14" s="136">
        <f t="shared" si="6"/>
        <v>0</v>
      </c>
      <c r="J14" s="136">
        <f t="shared" si="6"/>
        <v>0</v>
      </c>
      <c r="K14" s="136">
        <f t="shared" si="6"/>
        <v>0</v>
      </c>
      <c r="L14" s="136">
        <f t="shared" si="6"/>
        <v>0</v>
      </c>
      <c r="M14" s="136">
        <f t="shared" si="6"/>
        <v>0</v>
      </c>
      <c r="N14" s="136">
        <f t="shared" si="6"/>
        <v>0</v>
      </c>
      <c r="O14" s="136">
        <f t="shared" si="6"/>
        <v>0</v>
      </c>
      <c r="P14" s="136">
        <f t="shared" si="6"/>
        <v>0</v>
      </c>
      <c r="Q14" s="136">
        <f t="shared" si="6"/>
        <v>0</v>
      </c>
      <c r="R14" s="136">
        <f t="shared" si="6"/>
        <v>0</v>
      </c>
      <c r="S14" s="136">
        <f t="shared" si="6"/>
        <v>0</v>
      </c>
      <c r="T14" s="136">
        <f t="shared" si="6"/>
        <v>0</v>
      </c>
      <c r="U14" s="136">
        <f t="shared" si="6"/>
        <v>0</v>
      </c>
      <c r="V14" s="136">
        <f t="shared" si="6"/>
        <v>360000</v>
      </c>
      <c r="W14" s="136">
        <f t="shared" si="6"/>
        <v>360000</v>
      </c>
      <c r="X14" s="136">
        <f t="shared" si="6"/>
        <v>360000</v>
      </c>
      <c r="Y14" s="136">
        <f t="shared" si="6"/>
        <v>360000</v>
      </c>
      <c r="Z14" s="136">
        <f t="shared" si="6"/>
        <v>360000</v>
      </c>
      <c r="AA14" s="136">
        <f t="shared" si="6"/>
        <v>0</v>
      </c>
      <c r="AB14" s="136">
        <f t="shared" si="6"/>
        <v>0</v>
      </c>
      <c r="AC14" s="136">
        <f t="shared" si="6"/>
        <v>0</v>
      </c>
      <c r="AD14" s="137" t="s">
        <v>15</v>
      </c>
    </row>
    <row r="15" spans="1:30" ht="15" customHeight="1" x14ac:dyDescent="0.2">
      <c r="B15" s="133" t="s">
        <v>125</v>
      </c>
      <c r="C15" s="133"/>
      <c r="D15" s="136">
        <f t="shared" ref="D15:AC15" si="7">SUM(D16:D24)</f>
        <v>15070000</v>
      </c>
      <c r="E15" s="136">
        <f t="shared" si="7"/>
        <v>183700</v>
      </c>
      <c r="F15" s="136">
        <f t="shared" si="7"/>
        <v>139700</v>
      </c>
      <c r="G15" s="136">
        <f t="shared" si="7"/>
        <v>139700</v>
      </c>
      <c r="H15" s="136">
        <f t="shared" si="7"/>
        <v>161700</v>
      </c>
      <c r="I15" s="136">
        <f t="shared" si="7"/>
        <v>145200</v>
      </c>
      <c r="J15" s="136">
        <f t="shared" si="7"/>
        <v>99000</v>
      </c>
      <c r="K15" s="136">
        <f t="shared" si="7"/>
        <v>411631.57894736843</v>
      </c>
      <c r="L15" s="136">
        <f t="shared" si="7"/>
        <v>639331.57894736843</v>
      </c>
      <c r="M15" s="136">
        <f t="shared" si="7"/>
        <v>639331.57894736843</v>
      </c>
      <c r="N15" s="136">
        <f t="shared" si="7"/>
        <v>639331.57894736843</v>
      </c>
      <c r="O15" s="136">
        <f t="shared" si="7"/>
        <v>639331.57894736843</v>
      </c>
      <c r="P15" s="136">
        <f t="shared" si="7"/>
        <v>639331.57894736843</v>
      </c>
      <c r="Q15" s="136">
        <f t="shared" si="7"/>
        <v>639331.57894736843</v>
      </c>
      <c r="R15" s="136">
        <f t="shared" si="7"/>
        <v>995731.57894736843</v>
      </c>
      <c r="S15" s="136">
        <f t="shared" si="7"/>
        <v>1105731.5789473683</v>
      </c>
      <c r="T15" s="136">
        <f t="shared" si="7"/>
        <v>896731.57894736843</v>
      </c>
      <c r="U15" s="136">
        <f t="shared" si="7"/>
        <v>1149731.5789473683</v>
      </c>
      <c r="V15" s="136">
        <f t="shared" si="7"/>
        <v>669031.57894736843</v>
      </c>
      <c r="W15" s="136">
        <f t="shared" si="7"/>
        <v>669031.57894736843</v>
      </c>
      <c r="X15" s="136">
        <f t="shared" si="7"/>
        <v>669031.57894736843</v>
      </c>
      <c r="Y15" s="136">
        <f t="shared" si="7"/>
        <v>699831.57894736843</v>
      </c>
      <c r="Z15" s="136">
        <f t="shared" si="7"/>
        <v>688831.57894736843</v>
      </c>
      <c r="AA15" s="136">
        <f t="shared" si="7"/>
        <v>1084831.5789473683</v>
      </c>
      <c r="AB15" s="136">
        <f t="shared" si="7"/>
        <v>332431.57894736843</v>
      </c>
      <c r="AC15" s="136">
        <f t="shared" si="7"/>
        <v>992431.57894736854</v>
      </c>
      <c r="AD15" s="137" t="s">
        <v>15</v>
      </c>
    </row>
    <row r="16" spans="1:30" ht="15" customHeight="1" outlineLevel="1" x14ac:dyDescent="0.2">
      <c r="B16" s="139" t="s">
        <v>126</v>
      </c>
      <c r="C16" s="133"/>
      <c r="D16" s="138">
        <v>100000</v>
      </c>
      <c r="E16" s="136">
        <f t="shared" ref="E16:AC16" si="8">$D16*E44</f>
        <v>50000</v>
      </c>
      <c r="F16" s="136">
        <f t="shared" si="8"/>
        <v>10000</v>
      </c>
      <c r="G16" s="136">
        <f t="shared" si="8"/>
        <v>10000</v>
      </c>
      <c r="H16" s="136">
        <f t="shared" si="8"/>
        <v>10000</v>
      </c>
      <c r="I16" s="136">
        <f t="shared" si="8"/>
        <v>20000</v>
      </c>
      <c r="J16" s="136">
        <f t="shared" si="8"/>
        <v>0</v>
      </c>
      <c r="K16" s="136">
        <f t="shared" si="8"/>
        <v>0</v>
      </c>
      <c r="L16" s="136">
        <f t="shared" si="8"/>
        <v>0</v>
      </c>
      <c r="M16" s="136">
        <f t="shared" si="8"/>
        <v>0</v>
      </c>
      <c r="N16" s="136">
        <f t="shared" si="8"/>
        <v>0</v>
      </c>
      <c r="O16" s="136">
        <f t="shared" si="8"/>
        <v>0</v>
      </c>
      <c r="P16" s="136">
        <f t="shared" si="8"/>
        <v>0</v>
      </c>
      <c r="Q16" s="136">
        <f t="shared" si="8"/>
        <v>0</v>
      </c>
      <c r="R16" s="136">
        <f t="shared" si="8"/>
        <v>0</v>
      </c>
      <c r="S16" s="136">
        <f t="shared" si="8"/>
        <v>0</v>
      </c>
      <c r="T16" s="136">
        <f t="shared" si="8"/>
        <v>0</v>
      </c>
      <c r="U16" s="136">
        <f t="shared" si="8"/>
        <v>0</v>
      </c>
      <c r="V16" s="136">
        <f t="shared" si="8"/>
        <v>0</v>
      </c>
      <c r="W16" s="136">
        <f t="shared" si="8"/>
        <v>0</v>
      </c>
      <c r="X16" s="136">
        <f t="shared" si="8"/>
        <v>0</v>
      </c>
      <c r="Y16" s="136">
        <f t="shared" si="8"/>
        <v>0</v>
      </c>
      <c r="Z16" s="136">
        <f t="shared" si="8"/>
        <v>0</v>
      </c>
      <c r="AA16" s="136">
        <f t="shared" si="8"/>
        <v>0</v>
      </c>
      <c r="AB16" s="136">
        <f t="shared" si="8"/>
        <v>0</v>
      </c>
      <c r="AC16" s="136">
        <f t="shared" si="8"/>
        <v>0</v>
      </c>
      <c r="AD16" s="137" t="s">
        <v>15</v>
      </c>
    </row>
    <row r="17" spans="2:30" ht="15" customHeight="1" outlineLevel="1" x14ac:dyDescent="0.2">
      <c r="B17" s="139" t="s">
        <v>127</v>
      </c>
      <c r="C17" s="133"/>
      <c r="D17" s="138">
        <v>400000</v>
      </c>
      <c r="E17" s="136">
        <f t="shared" ref="E17:AC17" si="9">$D17*E45</f>
        <v>72000</v>
      </c>
      <c r="F17" s="136">
        <f t="shared" si="9"/>
        <v>72000</v>
      </c>
      <c r="G17" s="136">
        <f t="shared" si="9"/>
        <v>72000</v>
      </c>
      <c r="H17" s="136">
        <f t="shared" si="9"/>
        <v>72000</v>
      </c>
      <c r="I17" s="136">
        <f t="shared" si="9"/>
        <v>112000.00000000001</v>
      </c>
      <c r="J17" s="136">
        <f t="shared" si="9"/>
        <v>0</v>
      </c>
      <c r="K17" s="136">
        <f t="shared" si="9"/>
        <v>0</v>
      </c>
      <c r="L17" s="136">
        <f t="shared" si="9"/>
        <v>0</v>
      </c>
      <c r="M17" s="136">
        <f t="shared" si="9"/>
        <v>0</v>
      </c>
      <c r="N17" s="136">
        <f t="shared" si="9"/>
        <v>0</v>
      </c>
      <c r="O17" s="136">
        <f t="shared" si="9"/>
        <v>0</v>
      </c>
      <c r="P17" s="136">
        <f t="shared" si="9"/>
        <v>0</v>
      </c>
      <c r="Q17" s="136">
        <f t="shared" si="9"/>
        <v>0</v>
      </c>
      <c r="R17" s="136">
        <f t="shared" si="9"/>
        <v>0</v>
      </c>
      <c r="S17" s="136">
        <f t="shared" si="9"/>
        <v>0</v>
      </c>
      <c r="T17" s="136">
        <f t="shared" si="9"/>
        <v>0</v>
      </c>
      <c r="U17" s="136">
        <f t="shared" si="9"/>
        <v>0</v>
      </c>
      <c r="V17" s="136">
        <f t="shared" si="9"/>
        <v>0</v>
      </c>
      <c r="W17" s="136">
        <f t="shared" si="9"/>
        <v>0</v>
      </c>
      <c r="X17" s="136">
        <f t="shared" si="9"/>
        <v>0</v>
      </c>
      <c r="Y17" s="136">
        <f t="shared" si="9"/>
        <v>0</v>
      </c>
      <c r="Z17" s="136">
        <f t="shared" si="9"/>
        <v>0</v>
      </c>
      <c r="AA17" s="136">
        <f t="shared" si="9"/>
        <v>0</v>
      </c>
      <c r="AB17" s="136">
        <f t="shared" si="9"/>
        <v>0</v>
      </c>
      <c r="AC17" s="136">
        <f t="shared" si="9"/>
        <v>0</v>
      </c>
      <c r="AD17" s="137" t="s">
        <v>15</v>
      </c>
    </row>
    <row r="18" spans="2:30" ht="15" customHeight="1" outlineLevel="1" x14ac:dyDescent="0.2">
      <c r="B18" s="139" t="s">
        <v>128</v>
      </c>
      <c r="C18" s="133"/>
      <c r="D18" s="138">
        <v>6000000</v>
      </c>
      <c r="E18" s="136">
        <f t="shared" ref="E18:AC18" si="10">$D18*E46</f>
        <v>0</v>
      </c>
      <c r="F18" s="136">
        <f t="shared" si="10"/>
        <v>0</v>
      </c>
      <c r="G18" s="136">
        <f t="shared" si="10"/>
        <v>0</v>
      </c>
      <c r="H18" s="136">
        <f t="shared" si="10"/>
        <v>0</v>
      </c>
      <c r="I18" s="136">
        <f t="shared" si="10"/>
        <v>0</v>
      </c>
      <c r="J18" s="136">
        <f t="shared" si="10"/>
        <v>0</v>
      </c>
      <c r="K18" s="136">
        <f t="shared" si="10"/>
        <v>284210.5263157895</v>
      </c>
      <c r="L18" s="136">
        <f t="shared" si="10"/>
        <v>284210.5263157895</v>
      </c>
      <c r="M18" s="136">
        <f t="shared" si="10"/>
        <v>284210.5263157895</v>
      </c>
      <c r="N18" s="136">
        <f t="shared" si="10"/>
        <v>284210.5263157895</v>
      </c>
      <c r="O18" s="136">
        <f t="shared" si="10"/>
        <v>284210.5263157895</v>
      </c>
      <c r="P18" s="136">
        <f t="shared" si="10"/>
        <v>284210.5263157895</v>
      </c>
      <c r="Q18" s="136">
        <f t="shared" si="10"/>
        <v>284210.5263157895</v>
      </c>
      <c r="R18" s="136">
        <f t="shared" si="10"/>
        <v>284210.5263157895</v>
      </c>
      <c r="S18" s="136">
        <f t="shared" si="10"/>
        <v>284210.5263157895</v>
      </c>
      <c r="T18" s="136">
        <f t="shared" si="10"/>
        <v>284210.5263157895</v>
      </c>
      <c r="U18" s="136">
        <f t="shared" si="10"/>
        <v>284210.5263157895</v>
      </c>
      <c r="V18" s="136">
        <f t="shared" si="10"/>
        <v>284210.5263157895</v>
      </c>
      <c r="W18" s="136">
        <f t="shared" si="10"/>
        <v>284210.5263157895</v>
      </c>
      <c r="X18" s="136">
        <f t="shared" si="10"/>
        <v>284210.5263157895</v>
      </c>
      <c r="Y18" s="136">
        <f t="shared" si="10"/>
        <v>284210.5263157895</v>
      </c>
      <c r="Z18" s="136">
        <f t="shared" si="10"/>
        <v>284210.5263157895</v>
      </c>
      <c r="AA18" s="136">
        <f t="shared" si="10"/>
        <v>284210.5263157895</v>
      </c>
      <c r="AB18" s="136">
        <f t="shared" si="10"/>
        <v>284210.5263157895</v>
      </c>
      <c r="AC18" s="136">
        <f t="shared" si="10"/>
        <v>884210.52631578955</v>
      </c>
      <c r="AD18" s="137" t="s">
        <v>15</v>
      </c>
    </row>
    <row r="19" spans="2:30" ht="15" customHeight="1" outlineLevel="1" x14ac:dyDescent="0.2">
      <c r="B19" s="139" t="s">
        <v>129</v>
      </c>
      <c r="C19" s="133"/>
      <c r="D19" s="138">
        <v>3600000</v>
      </c>
      <c r="E19" s="136">
        <f t="shared" ref="E19:AC19" si="11">$D19*E47</f>
        <v>0</v>
      </c>
      <c r="F19" s="136">
        <f t="shared" si="11"/>
        <v>0</v>
      </c>
      <c r="G19" s="136">
        <f t="shared" si="11"/>
        <v>0</v>
      </c>
      <c r="H19" s="136">
        <f t="shared" si="11"/>
        <v>0</v>
      </c>
      <c r="I19" s="136">
        <f t="shared" si="11"/>
        <v>0</v>
      </c>
      <c r="J19" s="136">
        <f t="shared" si="11"/>
        <v>0</v>
      </c>
      <c r="K19" s="136">
        <f t="shared" si="11"/>
        <v>0</v>
      </c>
      <c r="L19" s="136">
        <f t="shared" si="11"/>
        <v>0</v>
      </c>
      <c r="M19" s="136">
        <f t="shared" si="11"/>
        <v>0</v>
      </c>
      <c r="N19" s="136">
        <f t="shared" si="11"/>
        <v>0</v>
      </c>
      <c r="O19" s="136">
        <f t="shared" si="11"/>
        <v>0</v>
      </c>
      <c r="P19" s="136">
        <f t="shared" si="11"/>
        <v>0</v>
      </c>
      <c r="Q19" s="136">
        <f t="shared" si="11"/>
        <v>0</v>
      </c>
      <c r="R19" s="136">
        <f t="shared" si="11"/>
        <v>324000</v>
      </c>
      <c r="S19" s="136">
        <f t="shared" si="11"/>
        <v>324000</v>
      </c>
      <c r="T19" s="136">
        <f t="shared" si="11"/>
        <v>324000</v>
      </c>
      <c r="U19" s="136">
        <f t="shared" si="11"/>
        <v>324000</v>
      </c>
      <c r="V19" s="136">
        <f t="shared" si="11"/>
        <v>324000</v>
      </c>
      <c r="W19" s="136">
        <f t="shared" si="11"/>
        <v>324000</v>
      </c>
      <c r="X19" s="136">
        <f t="shared" si="11"/>
        <v>324000</v>
      </c>
      <c r="Y19" s="136">
        <f t="shared" si="11"/>
        <v>324000</v>
      </c>
      <c r="Z19" s="136">
        <f t="shared" si="11"/>
        <v>324000</v>
      </c>
      <c r="AA19" s="136">
        <f t="shared" si="11"/>
        <v>684000</v>
      </c>
      <c r="AB19" s="136">
        <f t="shared" si="11"/>
        <v>0</v>
      </c>
      <c r="AC19" s="136">
        <f t="shared" si="11"/>
        <v>0</v>
      </c>
      <c r="AD19" s="137" t="s">
        <v>15</v>
      </c>
    </row>
    <row r="20" spans="2:30" ht="15" customHeight="1" outlineLevel="1" x14ac:dyDescent="0.2">
      <c r="B20" s="139" t="s">
        <v>130</v>
      </c>
      <c r="C20" s="133"/>
      <c r="D20" s="138">
        <v>2300000</v>
      </c>
      <c r="E20" s="136">
        <f t="shared" ref="E20:AC20" si="12">$D20*E48</f>
        <v>0</v>
      </c>
      <c r="F20" s="136">
        <f t="shared" si="12"/>
        <v>0</v>
      </c>
      <c r="G20" s="136">
        <f t="shared" si="12"/>
        <v>0</v>
      </c>
      <c r="H20" s="136">
        <f t="shared" si="12"/>
        <v>0</v>
      </c>
      <c r="I20" s="136">
        <f t="shared" si="12"/>
        <v>0</v>
      </c>
      <c r="J20" s="136">
        <f t="shared" si="12"/>
        <v>0</v>
      </c>
      <c r="K20" s="136">
        <f t="shared" si="12"/>
        <v>0</v>
      </c>
      <c r="L20" s="136">
        <f t="shared" si="12"/>
        <v>207000</v>
      </c>
      <c r="M20" s="136">
        <f t="shared" si="12"/>
        <v>207000</v>
      </c>
      <c r="N20" s="136">
        <f t="shared" si="12"/>
        <v>207000</v>
      </c>
      <c r="O20" s="136">
        <f t="shared" si="12"/>
        <v>207000</v>
      </c>
      <c r="P20" s="136">
        <f t="shared" si="12"/>
        <v>207000</v>
      </c>
      <c r="Q20" s="136">
        <f t="shared" si="12"/>
        <v>207000</v>
      </c>
      <c r="R20" s="136">
        <f t="shared" si="12"/>
        <v>207000</v>
      </c>
      <c r="S20" s="136">
        <f t="shared" si="12"/>
        <v>207000</v>
      </c>
      <c r="T20" s="136">
        <f t="shared" si="12"/>
        <v>207000</v>
      </c>
      <c r="U20" s="136">
        <f t="shared" si="12"/>
        <v>437000</v>
      </c>
      <c r="V20" s="136">
        <f t="shared" si="12"/>
        <v>0</v>
      </c>
      <c r="W20" s="136">
        <f t="shared" si="12"/>
        <v>0</v>
      </c>
      <c r="X20" s="136">
        <f t="shared" si="12"/>
        <v>0</v>
      </c>
      <c r="Y20" s="136">
        <f t="shared" si="12"/>
        <v>0</v>
      </c>
      <c r="Z20" s="136">
        <f t="shared" si="12"/>
        <v>0</v>
      </c>
      <c r="AA20" s="136">
        <f t="shared" si="12"/>
        <v>0</v>
      </c>
      <c r="AB20" s="136">
        <f t="shared" si="12"/>
        <v>0</v>
      </c>
      <c r="AC20" s="136">
        <f t="shared" si="12"/>
        <v>0</v>
      </c>
      <c r="AD20" s="137" t="s">
        <v>15</v>
      </c>
    </row>
    <row r="21" spans="2:30" ht="15" customHeight="1" outlineLevel="1" x14ac:dyDescent="0.2">
      <c r="B21" s="139" t="s">
        <v>131</v>
      </c>
      <c r="C21" s="133"/>
      <c r="D21" s="138">
        <v>1000000</v>
      </c>
      <c r="E21" s="136">
        <f t="shared" ref="E21:AC21" si="13">$D21*E49</f>
        <v>0</v>
      </c>
      <c r="F21" s="136">
        <f t="shared" si="13"/>
        <v>0</v>
      </c>
      <c r="G21" s="136">
        <f t="shared" si="13"/>
        <v>0</v>
      </c>
      <c r="H21" s="136">
        <f t="shared" si="13"/>
        <v>0</v>
      </c>
      <c r="I21" s="136">
        <f t="shared" si="13"/>
        <v>0</v>
      </c>
      <c r="J21" s="136">
        <f t="shared" si="13"/>
        <v>90000</v>
      </c>
      <c r="K21" s="136">
        <f t="shared" si="13"/>
        <v>90000</v>
      </c>
      <c r="L21" s="136">
        <f t="shared" si="13"/>
        <v>90000</v>
      </c>
      <c r="M21" s="136">
        <f t="shared" si="13"/>
        <v>90000</v>
      </c>
      <c r="N21" s="136">
        <f t="shared" si="13"/>
        <v>90000</v>
      </c>
      <c r="O21" s="136">
        <f t="shared" si="13"/>
        <v>90000</v>
      </c>
      <c r="P21" s="136">
        <f t="shared" si="13"/>
        <v>90000</v>
      </c>
      <c r="Q21" s="136">
        <f t="shared" si="13"/>
        <v>90000</v>
      </c>
      <c r="R21" s="136">
        <f t="shared" si="13"/>
        <v>90000</v>
      </c>
      <c r="S21" s="136">
        <f t="shared" si="13"/>
        <v>190000</v>
      </c>
      <c r="T21" s="136">
        <f t="shared" si="13"/>
        <v>0</v>
      </c>
      <c r="U21" s="136">
        <f t="shared" si="13"/>
        <v>0</v>
      </c>
      <c r="V21" s="136">
        <f t="shared" si="13"/>
        <v>0</v>
      </c>
      <c r="W21" s="136">
        <f t="shared" si="13"/>
        <v>0</v>
      </c>
      <c r="X21" s="136">
        <f t="shared" si="13"/>
        <v>0</v>
      </c>
      <c r="Y21" s="136">
        <f t="shared" si="13"/>
        <v>0</v>
      </c>
      <c r="Z21" s="136">
        <f t="shared" si="13"/>
        <v>0</v>
      </c>
      <c r="AA21" s="136">
        <f t="shared" si="13"/>
        <v>0</v>
      </c>
      <c r="AB21" s="136">
        <f t="shared" si="13"/>
        <v>0</v>
      </c>
      <c r="AC21" s="136">
        <f t="shared" si="13"/>
        <v>0</v>
      </c>
      <c r="AD21" s="137" t="s">
        <v>15</v>
      </c>
    </row>
    <row r="22" spans="2:30" ht="15" customHeight="1" outlineLevel="1" x14ac:dyDescent="0.2">
      <c r="B22" s="139" t="s">
        <v>132</v>
      </c>
      <c r="C22" s="133"/>
      <c r="D22" s="138">
        <v>100000</v>
      </c>
      <c r="E22" s="136">
        <f t="shared" ref="E22:AC22" si="14">$D22*E50</f>
        <v>0</v>
      </c>
      <c r="F22" s="136">
        <f t="shared" si="14"/>
        <v>0</v>
      </c>
      <c r="G22" s="136">
        <f t="shared" si="14"/>
        <v>0</v>
      </c>
      <c r="H22" s="136">
        <f t="shared" si="14"/>
        <v>0</v>
      </c>
      <c r="I22" s="136">
        <f t="shared" si="14"/>
        <v>0</v>
      </c>
      <c r="J22" s="136">
        <f t="shared" si="14"/>
        <v>0</v>
      </c>
      <c r="K22" s="136">
        <f t="shared" si="14"/>
        <v>0</v>
      </c>
      <c r="L22" s="136">
        <f t="shared" si="14"/>
        <v>0</v>
      </c>
      <c r="M22" s="136">
        <f t="shared" si="14"/>
        <v>0</v>
      </c>
      <c r="N22" s="136">
        <f t="shared" si="14"/>
        <v>0</v>
      </c>
      <c r="O22" s="136">
        <f t="shared" si="14"/>
        <v>0</v>
      </c>
      <c r="P22" s="136">
        <f t="shared" si="14"/>
        <v>0</v>
      </c>
      <c r="Q22" s="136">
        <f t="shared" si="14"/>
        <v>0</v>
      </c>
      <c r="R22" s="136">
        <f t="shared" si="14"/>
        <v>0</v>
      </c>
      <c r="S22" s="136">
        <f t="shared" si="14"/>
        <v>0</v>
      </c>
      <c r="T22" s="136">
        <f t="shared" si="14"/>
        <v>0</v>
      </c>
      <c r="U22" s="136">
        <f t="shared" si="14"/>
        <v>0</v>
      </c>
      <c r="V22" s="136">
        <f t="shared" si="14"/>
        <v>0</v>
      </c>
      <c r="W22" s="136">
        <f t="shared" si="14"/>
        <v>0</v>
      </c>
      <c r="X22" s="136">
        <f t="shared" si="14"/>
        <v>0</v>
      </c>
      <c r="Y22" s="136">
        <f t="shared" si="14"/>
        <v>28000.000000000004</v>
      </c>
      <c r="Z22" s="136">
        <f t="shared" si="14"/>
        <v>18000</v>
      </c>
      <c r="AA22" s="136">
        <f t="shared" si="14"/>
        <v>18000</v>
      </c>
      <c r="AB22" s="136">
        <f t="shared" si="14"/>
        <v>18000</v>
      </c>
      <c r="AC22" s="136">
        <f t="shared" si="14"/>
        <v>18000</v>
      </c>
      <c r="AD22" s="137" t="s">
        <v>15</v>
      </c>
    </row>
    <row r="23" spans="2:30" ht="15" customHeight="1" outlineLevel="1" x14ac:dyDescent="0.2">
      <c r="B23" s="139" t="s">
        <v>133</v>
      </c>
      <c r="C23" s="133"/>
      <c r="D23" s="138">
        <v>200000</v>
      </c>
      <c r="E23" s="136">
        <f t="shared" ref="E23:AC23" si="15">$D23*E51</f>
        <v>45000</v>
      </c>
      <c r="F23" s="136">
        <f t="shared" si="15"/>
        <v>45000</v>
      </c>
      <c r="G23" s="136">
        <f t="shared" si="15"/>
        <v>45000</v>
      </c>
      <c r="H23" s="136">
        <f t="shared" si="15"/>
        <v>65000</v>
      </c>
      <c r="I23" s="136">
        <f t="shared" si="15"/>
        <v>0</v>
      </c>
      <c r="J23" s="136">
        <f t="shared" si="15"/>
        <v>0</v>
      </c>
      <c r="K23" s="136">
        <f t="shared" si="15"/>
        <v>0</v>
      </c>
      <c r="L23" s="136">
        <f t="shared" si="15"/>
        <v>0</v>
      </c>
      <c r="M23" s="136">
        <f t="shared" si="15"/>
        <v>0</v>
      </c>
      <c r="N23" s="136">
        <f t="shared" si="15"/>
        <v>0</v>
      </c>
      <c r="O23" s="136">
        <f t="shared" si="15"/>
        <v>0</v>
      </c>
      <c r="P23" s="136">
        <f t="shared" si="15"/>
        <v>0</v>
      </c>
      <c r="Q23" s="136">
        <f t="shared" si="15"/>
        <v>0</v>
      </c>
      <c r="R23" s="136">
        <f t="shared" si="15"/>
        <v>0</v>
      </c>
      <c r="S23" s="136">
        <f t="shared" si="15"/>
        <v>0</v>
      </c>
      <c r="T23" s="136">
        <f t="shared" si="15"/>
        <v>0</v>
      </c>
      <c r="U23" s="136">
        <f t="shared" si="15"/>
        <v>0</v>
      </c>
      <c r="V23" s="136">
        <f t="shared" si="15"/>
        <v>0</v>
      </c>
      <c r="W23" s="136">
        <f t="shared" si="15"/>
        <v>0</v>
      </c>
      <c r="X23" s="136">
        <f t="shared" si="15"/>
        <v>0</v>
      </c>
      <c r="Y23" s="136">
        <f t="shared" si="15"/>
        <v>0</v>
      </c>
      <c r="Z23" s="136">
        <f t="shared" si="15"/>
        <v>0</v>
      </c>
      <c r="AA23" s="136">
        <f t="shared" si="15"/>
        <v>0</v>
      </c>
      <c r="AB23" s="136">
        <f t="shared" si="15"/>
        <v>0</v>
      </c>
      <c r="AC23" s="136">
        <f t="shared" si="15"/>
        <v>0</v>
      </c>
      <c r="AD23" s="137" t="s">
        <v>15</v>
      </c>
    </row>
    <row r="24" spans="2:30" ht="15" customHeight="1" outlineLevel="1" x14ac:dyDescent="0.2">
      <c r="B24" s="140" t="s">
        <v>134</v>
      </c>
      <c r="C24" s="141">
        <v>0.1</v>
      </c>
      <c r="D24" s="136">
        <f>SUM(D16:D23)*C24</f>
        <v>1370000</v>
      </c>
      <c r="E24" s="136">
        <f t="shared" ref="E24:AC24" si="16">SUM(E16:E23)*$C24</f>
        <v>16700</v>
      </c>
      <c r="F24" s="136">
        <f t="shared" si="16"/>
        <v>12700</v>
      </c>
      <c r="G24" s="136">
        <f t="shared" si="16"/>
        <v>12700</v>
      </c>
      <c r="H24" s="136">
        <f t="shared" si="16"/>
        <v>14700</v>
      </c>
      <c r="I24" s="136">
        <f t="shared" si="16"/>
        <v>13200</v>
      </c>
      <c r="J24" s="136">
        <f t="shared" si="16"/>
        <v>9000</v>
      </c>
      <c r="K24" s="136">
        <f t="shared" si="16"/>
        <v>37421.052631578954</v>
      </c>
      <c r="L24" s="136">
        <f t="shared" si="16"/>
        <v>58121.052631578947</v>
      </c>
      <c r="M24" s="136">
        <f t="shared" si="16"/>
        <v>58121.052631578947</v>
      </c>
      <c r="N24" s="136">
        <f t="shared" si="16"/>
        <v>58121.052631578947</v>
      </c>
      <c r="O24" s="136">
        <f t="shared" si="16"/>
        <v>58121.052631578947</v>
      </c>
      <c r="P24" s="136">
        <f t="shared" si="16"/>
        <v>58121.052631578947</v>
      </c>
      <c r="Q24" s="136">
        <f t="shared" si="16"/>
        <v>58121.052631578947</v>
      </c>
      <c r="R24" s="136">
        <f t="shared" si="16"/>
        <v>90521.052631578947</v>
      </c>
      <c r="S24" s="136">
        <f t="shared" si="16"/>
        <v>100521.05263157895</v>
      </c>
      <c r="T24" s="136">
        <f t="shared" si="16"/>
        <v>81521.052631578947</v>
      </c>
      <c r="U24" s="136">
        <f t="shared" si="16"/>
        <v>104521.05263157895</v>
      </c>
      <c r="V24" s="136">
        <f t="shared" si="16"/>
        <v>60821.052631578947</v>
      </c>
      <c r="W24" s="136">
        <f t="shared" si="16"/>
        <v>60821.052631578947</v>
      </c>
      <c r="X24" s="136">
        <f t="shared" si="16"/>
        <v>60821.052631578947</v>
      </c>
      <c r="Y24" s="136">
        <f t="shared" si="16"/>
        <v>63621.052631578947</v>
      </c>
      <c r="Z24" s="136">
        <f t="shared" si="16"/>
        <v>62621.052631578947</v>
      </c>
      <c r="AA24" s="136">
        <f t="shared" si="16"/>
        <v>98621.052631578947</v>
      </c>
      <c r="AB24" s="136">
        <f t="shared" si="16"/>
        <v>30221.05263157895</v>
      </c>
      <c r="AC24" s="136">
        <f t="shared" si="16"/>
        <v>90221.052631578961</v>
      </c>
      <c r="AD24" s="137" t="s">
        <v>15</v>
      </c>
    </row>
    <row r="25" spans="2:30" ht="15" customHeight="1" x14ac:dyDescent="0.2">
      <c r="B25" s="133" t="s">
        <v>135</v>
      </c>
      <c r="C25" s="133"/>
      <c r="D25" s="138">
        <v>700000</v>
      </c>
      <c r="E25" s="136">
        <f t="shared" ref="E25:AC25" si="17">$D25*E53</f>
        <v>0</v>
      </c>
      <c r="F25" s="136">
        <f t="shared" si="17"/>
        <v>0</v>
      </c>
      <c r="G25" s="136">
        <f t="shared" si="17"/>
        <v>0</v>
      </c>
      <c r="H25" s="136">
        <f t="shared" si="17"/>
        <v>0</v>
      </c>
      <c r="I25" s="136">
        <f t="shared" si="17"/>
        <v>0</v>
      </c>
      <c r="J25" s="136">
        <f t="shared" si="17"/>
        <v>0</v>
      </c>
      <c r="K25" s="136">
        <f t="shared" si="17"/>
        <v>0</v>
      </c>
      <c r="L25" s="136">
        <f t="shared" si="17"/>
        <v>0</v>
      </c>
      <c r="M25" s="136">
        <f t="shared" si="17"/>
        <v>0</v>
      </c>
      <c r="N25" s="136">
        <f t="shared" si="17"/>
        <v>0</v>
      </c>
      <c r="O25" s="136">
        <f t="shared" si="17"/>
        <v>0</v>
      </c>
      <c r="P25" s="136">
        <f t="shared" si="17"/>
        <v>0</v>
      </c>
      <c r="Q25" s="136">
        <f t="shared" si="17"/>
        <v>0</v>
      </c>
      <c r="R25" s="136">
        <f t="shared" si="17"/>
        <v>0</v>
      </c>
      <c r="S25" s="136">
        <f t="shared" si="17"/>
        <v>0</v>
      </c>
      <c r="T25" s="136">
        <f t="shared" si="17"/>
        <v>0</v>
      </c>
      <c r="U25" s="136">
        <f t="shared" si="17"/>
        <v>0</v>
      </c>
      <c r="V25" s="136">
        <f t="shared" si="17"/>
        <v>140000</v>
      </c>
      <c r="W25" s="136">
        <f t="shared" si="17"/>
        <v>140000</v>
      </c>
      <c r="X25" s="136">
        <f t="shared" si="17"/>
        <v>140000</v>
      </c>
      <c r="Y25" s="136">
        <f t="shared" si="17"/>
        <v>140000</v>
      </c>
      <c r="Z25" s="136">
        <f t="shared" si="17"/>
        <v>140000</v>
      </c>
      <c r="AA25" s="136">
        <f t="shared" si="17"/>
        <v>0</v>
      </c>
      <c r="AB25" s="136">
        <f t="shared" si="17"/>
        <v>0</v>
      </c>
      <c r="AC25" s="136">
        <f t="shared" si="17"/>
        <v>0</v>
      </c>
      <c r="AD25" s="137" t="s">
        <v>15</v>
      </c>
    </row>
    <row r="26" spans="2:30" ht="15" customHeight="1" x14ac:dyDescent="0.2">
      <c r="B26" s="142" t="s">
        <v>136</v>
      </c>
      <c r="C26" s="143"/>
      <c r="D26" s="144">
        <v>800000</v>
      </c>
      <c r="E26" s="145">
        <f t="shared" ref="E26:AC26" si="18">$D26*E54</f>
        <v>0</v>
      </c>
      <c r="F26" s="145">
        <f t="shared" si="18"/>
        <v>0</v>
      </c>
      <c r="G26" s="145">
        <f t="shared" si="18"/>
        <v>0</v>
      </c>
      <c r="H26" s="145">
        <f t="shared" si="18"/>
        <v>0</v>
      </c>
      <c r="I26" s="145">
        <f t="shared" si="18"/>
        <v>0</v>
      </c>
      <c r="J26" s="145">
        <f t="shared" si="18"/>
        <v>0</v>
      </c>
      <c r="K26" s="145">
        <f t="shared" si="18"/>
        <v>0</v>
      </c>
      <c r="L26" s="145">
        <f t="shared" si="18"/>
        <v>0</v>
      </c>
      <c r="M26" s="145">
        <f t="shared" si="18"/>
        <v>0</v>
      </c>
      <c r="N26" s="145">
        <f t="shared" si="18"/>
        <v>0</v>
      </c>
      <c r="O26" s="145">
        <f t="shared" si="18"/>
        <v>0</v>
      </c>
      <c r="P26" s="145">
        <f t="shared" si="18"/>
        <v>0</v>
      </c>
      <c r="Q26" s="145">
        <f t="shared" si="18"/>
        <v>0</v>
      </c>
      <c r="R26" s="145">
        <f t="shared" si="18"/>
        <v>0</v>
      </c>
      <c r="S26" s="145">
        <f t="shared" si="18"/>
        <v>0</v>
      </c>
      <c r="T26" s="145">
        <f t="shared" si="18"/>
        <v>0</v>
      </c>
      <c r="U26" s="145">
        <f t="shared" si="18"/>
        <v>0</v>
      </c>
      <c r="V26" s="145">
        <f t="shared" si="18"/>
        <v>0</v>
      </c>
      <c r="W26" s="145">
        <f t="shared" si="18"/>
        <v>0</v>
      </c>
      <c r="X26" s="145">
        <f t="shared" si="18"/>
        <v>0</v>
      </c>
      <c r="Y26" s="145">
        <f t="shared" si="18"/>
        <v>0</v>
      </c>
      <c r="Z26" s="145">
        <f t="shared" si="18"/>
        <v>200000</v>
      </c>
      <c r="AA26" s="145">
        <f t="shared" si="18"/>
        <v>200000</v>
      </c>
      <c r="AB26" s="145">
        <f t="shared" si="18"/>
        <v>200000</v>
      </c>
      <c r="AC26" s="145">
        <f t="shared" si="18"/>
        <v>200000</v>
      </c>
      <c r="AD26" s="137" t="s">
        <v>15</v>
      </c>
    </row>
    <row r="27" spans="2:30" ht="15" customHeight="1" x14ac:dyDescent="0.25">
      <c r="B27" s="146" t="s">
        <v>137</v>
      </c>
      <c r="C27" s="146"/>
      <c r="D27" s="147">
        <f>SUM(D9:D15,D25:D26)</f>
        <v>27170000</v>
      </c>
      <c r="E27" s="147">
        <f t="shared" ref="E27:AC27" si="19">SUM(E9:E15,E25:E26)</f>
        <v>7875128.5714285718</v>
      </c>
      <c r="F27" s="147">
        <f t="shared" si="19"/>
        <v>293557.14285714284</v>
      </c>
      <c r="G27" s="147">
        <f t="shared" si="19"/>
        <v>293557.14285714284</v>
      </c>
      <c r="H27" s="147">
        <f t="shared" si="19"/>
        <v>315557.14285714284</v>
      </c>
      <c r="I27" s="147">
        <f t="shared" si="19"/>
        <v>299057.14285714284</v>
      </c>
      <c r="J27" s="147">
        <f t="shared" si="19"/>
        <v>252857.14285714284</v>
      </c>
      <c r="K27" s="147">
        <f t="shared" si="19"/>
        <v>429488.72180451127</v>
      </c>
      <c r="L27" s="147">
        <f t="shared" si="19"/>
        <v>657188.72180451127</v>
      </c>
      <c r="M27" s="147">
        <f t="shared" si="19"/>
        <v>657188.72180451127</v>
      </c>
      <c r="N27" s="147">
        <f t="shared" si="19"/>
        <v>657188.72180451127</v>
      </c>
      <c r="O27" s="147">
        <f t="shared" si="19"/>
        <v>657188.72180451127</v>
      </c>
      <c r="P27" s="147">
        <f t="shared" si="19"/>
        <v>657188.72180451127</v>
      </c>
      <c r="Q27" s="147">
        <f t="shared" si="19"/>
        <v>657188.72180451127</v>
      </c>
      <c r="R27" s="147">
        <f t="shared" si="19"/>
        <v>1013588.7218045113</v>
      </c>
      <c r="S27" s="147">
        <f t="shared" si="19"/>
        <v>1123588.7218045113</v>
      </c>
      <c r="T27" s="147">
        <f t="shared" si="19"/>
        <v>914588.72180451127</v>
      </c>
      <c r="U27" s="147">
        <f t="shared" si="19"/>
        <v>1167588.7218045113</v>
      </c>
      <c r="V27" s="147">
        <f t="shared" si="19"/>
        <v>1186888.7218045113</v>
      </c>
      <c r="W27" s="147">
        <f t="shared" si="19"/>
        <v>1186888.7218045113</v>
      </c>
      <c r="X27" s="147">
        <f t="shared" si="19"/>
        <v>1186888.7218045113</v>
      </c>
      <c r="Y27" s="147">
        <f t="shared" si="19"/>
        <v>1217688.7218045113</v>
      </c>
      <c r="Z27" s="147">
        <f t="shared" si="19"/>
        <v>1406688.7218045113</v>
      </c>
      <c r="AA27" s="147">
        <f t="shared" si="19"/>
        <v>1302688.7218045113</v>
      </c>
      <c r="AB27" s="147">
        <f t="shared" si="19"/>
        <v>550288.72180451127</v>
      </c>
      <c r="AC27" s="147">
        <f t="shared" si="19"/>
        <v>1210288.7218045113</v>
      </c>
      <c r="AD27" s="137" t="s">
        <v>15</v>
      </c>
    </row>
    <row r="28" spans="2:30" ht="15" customHeight="1" x14ac:dyDescent="0.2">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7"/>
    </row>
    <row r="29" spans="2:30" ht="15" customHeight="1" x14ac:dyDescent="0.2">
      <c r="B29" s="148" t="s">
        <v>138</v>
      </c>
      <c r="C29" s="141">
        <v>0.03</v>
      </c>
      <c r="D29" s="136">
        <f>C29*(D27-D9)</f>
        <v>665100</v>
      </c>
      <c r="E29" s="136">
        <f t="shared" ref="E29:AC29" si="20">$C29*SUM(E10:E15,E25:E26)</f>
        <v>86253.857142857145</v>
      </c>
      <c r="F29" s="136">
        <f t="shared" si="20"/>
        <v>8806.7142857142844</v>
      </c>
      <c r="G29" s="136">
        <f t="shared" si="20"/>
        <v>8806.7142857142844</v>
      </c>
      <c r="H29" s="136">
        <f t="shared" si="20"/>
        <v>9466.7142857142844</v>
      </c>
      <c r="I29" s="136">
        <f t="shared" si="20"/>
        <v>8971.7142857142844</v>
      </c>
      <c r="J29" s="136">
        <f t="shared" si="20"/>
        <v>7585.7142857142853</v>
      </c>
      <c r="K29" s="136">
        <f t="shared" si="20"/>
        <v>12884.661654135338</v>
      </c>
      <c r="L29" s="136">
        <f t="shared" si="20"/>
        <v>19715.661654135336</v>
      </c>
      <c r="M29" s="136">
        <f t="shared" si="20"/>
        <v>19715.661654135336</v>
      </c>
      <c r="N29" s="136">
        <f t="shared" si="20"/>
        <v>19715.661654135336</v>
      </c>
      <c r="O29" s="136">
        <f t="shared" si="20"/>
        <v>19715.661654135336</v>
      </c>
      <c r="P29" s="136">
        <f t="shared" si="20"/>
        <v>19715.661654135336</v>
      </c>
      <c r="Q29" s="136">
        <f t="shared" si="20"/>
        <v>19715.661654135336</v>
      </c>
      <c r="R29" s="136">
        <f t="shared" si="20"/>
        <v>30407.661654135336</v>
      </c>
      <c r="S29" s="136">
        <f t="shared" si="20"/>
        <v>33707.661654135336</v>
      </c>
      <c r="T29" s="136">
        <f t="shared" si="20"/>
        <v>27437.661654135336</v>
      </c>
      <c r="U29" s="136">
        <f t="shared" si="20"/>
        <v>35027.661654135336</v>
      </c>
      <c r="V29" s="136">
        <f t="shared" si="20"/>
        <v>35606.661654135336</v>
      </c>
      <c r="W29" s="136">
        <f t="shared" si="20"/>
        <v>35606.661654135336</v>
      </c>
      <c r="X29" s="136">
        <f t="shared" si="20"/>
        <v>35606.661654135336</v>
      </c>
      <c r="Y29" s="136">
        <f t="shared" si="20"/>
        <v>36530.661654135336</v>
      </c>
      <c r="Z29" s="136">
        <f t="shared" si="20"/>
        <v>42200.661654135336</v>
      </c>
      <c r="AA29" s="136">
        <f t="shared" si="20"/>
        <v>39080.661654135336</v>
      </c>
      <c r="AB29" s="136">
        <f t="shared" si="20"/>
        <v>16508.661654135336</v>
      </c>
      <c r="AC29" s="136">
        <f t="shared" si="20"/>
        <v>36308.661654135336</v>
      </c>
      <c r="AD29" s="137" t="s">
        <v>15</v>
      </c>
    </row>
    <row r="30" spans="2:30" ht="15" customHeight="1" x14ac:dyDescent="0.2">
      <c r="B30" s="148" t="s">
        <v>139</v>
      </c>
      <c r="C30" s="141">
        <v>0.03</v>
      </c>
      <c r="D30" s="136">
        <f>C30*(D27+D29-D9)</f>
        <v>685053</v>
      </c>
      <c r="E30" s="136">
        <f t="shared" ref="E30:AC30" si="21">$C30*SUM(E10:E15,E25:E26,E29)</f>
        <v>88841.472857142871</v>
      </c>
      <c r="F30" s="136">
        <f t="shared" si="21"/>
        <v>9070.915714285713</v>
      </c>
      <c r="G30" s="136">
        <f t="shared" si="21"/>
        <v>9070.915714285713</v>
      </c>
      <c r="H30" s="136">
        <f t="shared" si="21"/>
        <v>9750.7157142857122</v>
      </c>
      <c r="I30" s="136">
        <f t="shared" si="21"/>
        <v>9240.8657142857119</v>
      </c>
      <c r="J30" s="136">
        <f t="shared" si="21"/>
        <v>7813.2857142857138</v>
      </c>
      <c r="K30" s="136">
        <f t="shared" si="21"/>
        <v>13271.201503759397</v>
      </c>
      <c r="L30" s="136">
        <f t="shared" si="21"/>
        <v>20307.131503759396</v>
      </c>
      <c r="M30" s="136">
        <f t="shared" si="21"/>
        <v>20307.131503759396</v>
      </c>
      <c r="N30" s="136">
        <f t="shared" si="21"/>
        <v>20307.131503759396</v>
      </c>
      <c r="O30" s="136">
        <f t="shared" si="21"/>
        <v>20307.131503759396</v>
      </c>
      <c r="P30" s="136">
        <f t="shared" si="21"/>
        <v>20307.131503759396</v>
      </c>
      <c r="Q30" s="136">
        <f t="shared" si="21"/>
        <v>20307.131503759396</v>
      </c>
      <c r="R30" s="136">
        <f t="shared" si="21"/>
        <v>31319.891503759398</v>
      </c>
      <c r="S30" s="136">
        <f t="shared" si="21"/>
        <v>34718.891503759398</v>
      </c>
      <c r="T30" s="136">
        <f t="shared" si="21"/>
        <v>28260.791503759396</v>
      </c>
      <c r="U30" s="136">
        <f t="shared" si="21"/>
        <v>36078.491503759396</v>
      </c>
      <c r="V30" s="136">
        <f t="shared" si="21"/>
        <v>36674.861503759399</v>
      </c>
      <c r="W30" s="136">
        <f t="shared" si="21"/>
        <v>36674.861503759399</v>
      </c>
      <c r="X30" s="136">
        <f t="shared" si="21"/>
        <v>36674.861503759399</v>
      </c>
      <c r="Y30" s="136">
        <f t="shared" si="21"/>
        <v>37626.5815037594</v>
      </c>
      <c r="Z30" s="136">
        <f t="shared" si="21"/>
        <v>43466.681503759399</v>
      </c>
      <c r="AA30" s="136">
        <f t="shared" si="21"/>
        <v>40253.0815037594</v>
      </c>
      <c r="AB30" s="136">
        <f t="shared" si="21"/>
        <v>17003.921503759397</v>
      </c>
      <c r="AC30" s="136">
        <f t="shared" si="21"/>
        <v>37397.921503759397</v>
      </c>
      <c r="AD30" s="137" t="s">
        <v>15</v>
      </c>
    </row>
    <row r="31" spans="2:30" ht="15" customHeight="1" x14ac:dyDescent="0.2">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7"/>
    </row>
    <row r="32" spans="2:30" ht="15" customHeight="1" x14ac:dyDescent="0.25">
      <c r="B32" s="146" t="s">
        <v>140</v>
      </c>
      <c r="C32" s="146"/>
      <c r="D32" s="149">
        <f t="shared" ref="D32:AC32" si="22">SUM(D27,D29:D30)</f>
        <v>28520153</v>
      </c>
      <c r="E32" s="149">
        <f t="shared" si="22"/>
        <v>8050223.9014285719</v>
      </c>
      <c r="F32" s="149">
        <f t="shared" si="22"/>
        <v>311434.77285714279</v>
      </c>
      <c r="G32" s="149">
        <f t="shared" si="22"/>
        <v>311434.77285714279</v>
      </c>
      <c r="H32" s="149">
        <f t="shared" si="22"/>
        <v>334774.57285714283</v>
      </c>
      <c r="I32" s="149">
        <f t="shared" si="22"/>
        <v>317269.7228571428</v>
      </c>
      <c r="J32" s="149">
        <f t="shared" si="22"/>
        <v>268256.14285714284</v>
      </c>
      <c r="K32" s="149">
        <f t="shared" si="22"/>
        <v>455644.58496240602</v>
      </c>
      <c r="L32" s="149">
        <f t="shared" si="22"/>
        <v>697211.51496240601</v>
      </c>
      <c r="M32" s="149">
        <f t="shared" si="22"/>
        <v>697211.51496240601</v>
      </c>
      <c r="N32" s="149">
        <f t="shared" si="22"/>
        <v>697211.51496240601</v>
      </c>
      <c r="O32" s="149">
        <f t="shared" si="22"/>
        <v>697211.51496240601</v>
      </c>
      <c r="P32" s="149">
        <f t="shared" si="22"/>
        <v>697211.51496240601</v>
      </c>
      <c r="Q32" s="149">
        <f t="shared" si="22"/>
        <v>697211.51496240601</v>
      </c>
      <c r="R32" s="149">
        <f t="shared" si="22"/>
        <v>1075316.2749624059</v>
      </c>
      <c r="S32" s="149">
        <f t="shared" si="22"/>
        <v>1192015.2749624061</v>
      </c>
      <c r="T32" s="149">
        <f t="shared" si="22"/>
        <v>970287.17496240605</v>
      </c>
      <c r="U32" s="149">
        <f t="shared" si="22"/>
        <v>1238694.874962406</v>
      </c>
      <c r="V32" s="149">
        <f t="shared" si="22"/>
        <v>1259170.2449624061</v>
      </c>
      <c r="W32" s="149">
        <f t="shared" si="22"/>
        <v>1259170.2449624061</v>
      </c>
      <c r="X32" s="149">
        <f t="shared" si="22"/>
        <v>1259170.2449624061</v>
      </c>
      <c r="Y32" s="149">
        <f t="shared" si="22"/>
        <v>1291845.9649624061</v>
      </c>
      <c r="Z32" s="149">
        <f t="shared" si="22"/>
        <v>1492356.0649624062</v>
      </c>
      <c r="AA32" s="149">
        <f t="shared" si="22"/>
        <v>1382022.4649624061</v>
      </c>
      <c r="AB32" s="149">
        <f t="shared" si="22"/>
        <v>583801.30496240593</v>
      </c>
      <c r="AC32" s="149">
        <f t="shared" si="22"/>
        <v>1283995.3049624062</v>
      </c>
      <c r="AD32" s="137"/>
    </row>
    <row r="33" spans="2:30" ht="15" customHeight="1" x14ac:dyDescent="0.2">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7"/>
    </row>
    <row r="34" spans="2:30" ht="15" customHeight="1" x14ac:dyDescent="0.25">
      <c r="B34" s="132" t="s">
        <v>141</v>
      </c>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7"/>
    </row>
    <row r="35" spans="2:30" ht="15" customHeight="1" x14ac:dyDescent="0.2">
      <c r="B35" s="133"/>
      <c r="C35" s="133"/>
      <c r="D35" s="133"/>
      <c r="E35" s="445" t="str">
        <f>E6</f>
        <v>Months</v>
      </c>
      <c r="F35" s="445"/>
      <c r="G35" s="445"/>
      <c r="H35" s="445"/>
      <c r="I35" s="445"/>
      <c r="J35" s="445"/>
      <c r="K35" s="445"/>
      <c r="L35" s="445"/>
      <c r="M35" s="445"/>
      <c r="N35" s="445"/>
      <c r="O35" s="445"/>
      <c r="P35" s="445"/>
      <c r="Q35" s="445" t="str">
        <f>Q6</f>
        <v>Months</v>
      </c>
      <c r="R35" s="445"/>
      <c r="S35" s="445"/>
      <c r="T35" s="445"/>
      <c r="U35" s="445"/>
      <c r="V35" s="445"/>
      <c r="W35" s="445"/>
      <c r="X35" s="445"/>
      <c r="Y35" s="445"/>
      <c r="Z35" s="445"/>
      <c r="AA35" s="445"/>
      <c r="AB35" s="445"/>
      <c r="AC35" s="445"/>
      <c r="AD35" s="137"/>
    </row>
    <row r="36" spans="2:30" ht="15" customHeight="1" x14ac:dyDescent="0.25">
      <c r="B36" s="133"/>
      <c r="C36" s="133"/>
      <c r="D36" s="134" t="s">
        <v>30</v>
      </c>
      <c r="E36" s="135">
        <f>E7</f>
        <v>44196</v>
      </c>
      <c r="F36" s="135">
        <f t="shared" ref="F36:P36" si="23">F7</f>
        <v>44227</v>
      </c>
      <c r="G36" s="135">
        <f t="shared" si="23"/>
        <v>44255</v>
      </c>
      <c r="H36" s="135">
        <f t="shared" si="23"/>
        <v>44286</v>
      </c>
      <c r="I36" s="135">
        <f t="shared" si="23"/>
        <v>44316</v>
      </c>
      <c r="J36" s="135">
        <f t="shared" si="23"/>
        <v>44347</v>
      </c>
      <c r="K36" s="135">
        <f t="shared" si="23"/>
        <v>44377</v>
      </c>
      <c r="L36" s="135">
        <f t="shared" si="23"/>
        <v>44408</v>
      </c>
      <c r="M36" s="135">
        <f t="shared" si="23"/>
        <v>44439</v>
      </c>
      <c r="N36" s="135">
        <f t="shared" si="23"/>
        <v>44469</v>
      </c>
      <c r="O36" s="135">
        <f t="shared" si="23"/>
        <v>44500</v>
      </c>
      <c r="P36" s="135">
        <f t="shared" si="23"/>
        <v>44530</v>
      </c>
      <c r="Q36" s="135">
        <f>Q7</f>
        <v>44561</v>
      </c>
      <c r="R36" s="135">
        <f t="shared" ref="R36:AC36" si="24">R7</f>
        <v>44592</v>
      </c>
      <c r="S36" s="135">
        <f t="shared" si="24"/>
        <v>44620</v>
      </c>
      <c r="T36" s="135">
        <f t="shared" si="24"/>
        <v>44651</v>
      </c>
      <c r="U36" s="135">
        <f t="shared" si="24"/>
        <v>44681</v>
      </c>
      <c r="V36" s="135">
        <f t="shared" si="24"/>
        <v>44712</v>
      </c>
      <c r="W36" s="135">
        <f t="shared" si="24"/>
        <v>44742</v>
      </c>
      <c r="X36" s="135">
        <f t="shared" si="24"/>
        <v>44773</v>
      </c>
      <c r="Y36" s="135">
        <f t="shared" si="24"/>
        <v>44804</v>
      </c>
      <c r="Z36" s="135">
        <f t="shared" si="24"/>
        <v>44834</v>
      </c>
      <c r="AA36" s="135">
        <f t="shared" si="24"/>
        <v>44865</v>
      </c>
      <c r="AB36" s="135">
        <f t="shared" si="24"/>
        <v>44895</v>
      </c>
      <c r="AC36" s="135">
        <f t="shared" si="24"/>
        <v>44926</v>
      </c>
      <c r="AD36" s="137" t="s">
        <v>15</v>
      </c>
    </row>
    <row r="37" spans="2:30" ht="15" customHeight="1" x14ac:dyDescent="0.2">
      <c r="B37" s="133" t="s">
        <v>119</v>
      </c>
      <c r="C37" s="133"/>
      <c r="D37" s="150">
        <f t="shared" ref="D37:D42" si="25">SUM(E37:AC37)</f>
        <v>1</v>
      </c>
      <c r="E37" s="151">
        <v>1</v>
      </c>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37" t="s">
        <v>15</v>
      </c>
    </row>
    <row r="38" spans="2:30" ht="15" customHeight="1" x14ac:dyDescent="0.2">
      <c r="B38" s="133" t="s">
        <v>120</v>
      </c>
      <c r="C38" s="133"/>
      <c r="D38" s="150">
        <f t="shared" si="25"/>
        <v>1</v>
      </c>
      <c r="E38" s="151">
        <v>1</v>
      </c>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37" t="s">
        <v>15</v>
      </c>
    </row>
    <row r="39" spans="2:30" ht="15" customHeight="1" x14ac:dyDescent="0.2">
      <c r="B39" s="133" t="s">
        <v>121</v>
      </c>
      <c r="C39" s="133"/>
      <c r="D39" s="150">
        <f t="shared" si="25"/>
        <v>0.99999999999999989</v>
      </c>
      <c r="E39" s="151">
        <v>0.14285714285714313</v>
      </c>
      <c r="F39" s="151">
        <f t="shared" ref="F39:AC39" si="26">1/28</f>
        <v>3.5714285714285712E-2</v>
      </c>
      <c r="G39" s="151">
        <f t="shared" si="26"/>
        <v>3.5714285714285712E-2</v>
      </c>
      <c r="H39" s="151">
        <f t="shared" si="26"/>
        <v>3.5714285714285712E-2</v>
      </c>
      <c r="I39" s="151">
        <f t="shared" si="26"/>
        <v>3.5714285714285712E-2</v>
      </c>
      <c r="J39" s="151">
        <f t="shared" si="26"/>
        <v>3.5714285714285712E-2</v>
      </c>
      <c r="K39" s="151">
        <f t="shared" si="26"/>
        <v>3.5714285714285712E-2</v>
      </c>
      <c r="L39" s="151">
        <f t="shared" si="26"/>
        <v>3.5714285714285712E-2</v>
      </c>
      <c r="M39" s="151">
        <f t="shared" si="26"/>
        <v>3.5714285714285712E-2</v>
      </c>
      <c r="N39" s="151">
        <f t="shared" si="26"/>
        <v>3.5714285714285712E-2</v>
      </c>
      <c r="O39" s="151">
        <f t="shared" si="26"/>
        <v>3.5714285714285712E-2</v>
      </c>
      <c r="P39" s="151">
        <f t="shared" si="26"/>
        <v>3.5714285714285712E-2</v>
      </c>
      <c r="Q39" s="151">
        <f t="shared" si="26"/>
        <v>3.5714285714285712E-2</v>
      </c>
      <c r="R39" s="151">
        <f t="shared" si="26"/>
        <v>3.5714285714285712E-2</v>
      </c>
      <c r="S39" s="151">
        <f t="shared" si="26"/>
        <v>3.5714285714285712E-2</v>
      </c>
      <c r="T39" s="151">
        <f t="shared" si="26"/>
        <v>3.5714285714285712E-2</v>
      </c>
      <c r="U39" s="151">
        <f t="shared" si="26"/>
        <v>3.5714285714285712E-2</v>
      </c>
      <c r="V39" s="151">
        <f t="shared" si="26"/>
        <v>3.5714285714285712E-2</v>
      </c>
      <c r="W39" s="151">
        <f t="shared" si="26"/>
        <v>3.5714285714285712E-2</v>
      </c>
      <c r="X39" s="151">
        <f t="shared" si="26"/>
        <v>3.5714285714285712E-2</v>
      </c>
      <c r="Y39" s="151">
        <f t="shared" si="26"/>
        <v>3.5714285714285712E-2</v>
      </c>
      <c r="Z39" s="151">
        <f t="shared" si="26"/>
        <v>3.5714285714285712E-2</v>
      </c>
      <c r="AA39" s="151">
        <f t="shared" si="26"/>
        <v>3.5714285714285712E-2</v>
      </c>
      <c r="AB39" s="151">
        <f t="shared" si="26"/>
        <v>3.5714285714285712E-2</v>
      </c>
      <c r="AC39" s="151">
        <f t="shared" si="26"/>
        <v>3.5714285714285712E-2</v>
      </c>
      <c r="AD39" s="137" t="s">
        <v>15</v>
      </c>
    </row>
    <row r="40" spans="2:30" ht="15" customHeight="1" x14ac:dyDescent="0.2">
      <c r="B40" s="133" t="s">
        <v>122</v>
      </c>
      <c r="C40" s="133"/>
      <c r="D40" s="150">
        <f t="shared" si="25"/>
        <v>0.99999999999999978</v>
      </c>
      <c r="E40" s="151">
        <v>0.6</v>
      </c>
      <c r="F40" s="151">
        <v>0.08</v>
      </c>
      <c r="G40" s="151">
        <v>0.08</v>
      </c>
      <c r="H40" s="151">
        <v>0.08</v>
      </c>
      <c r="I40" s="151">
        <v>0.08</v>
      </c>
      <c r="J40" s="151">
        <v>0.08</v>
      </c>
      <c r="K40" s="151"/>
      <c r="L40" s="151"/>
      <c r="M40" s="151"/>
      <c r="N40" s="151"/>
      <c r="O40" s="151"/>
      <c r="P40" s="151"/>
      <c r="Q40" s="151"/>
      <c r="R40" s="151"/>
      <c r="S40" s="151"/>
      <c r="T40" s="151"/>
      <c r="U40" s="151"/>
      <c r="V40" s="151"/>
      <c r="W40" s="151"/>
      <c r="X40" s="151"/>
      <c r="Y40" s="151"/>
      <c r="Z40" s="151"/>
      <c r="AA40" s="151"/>
      <c r="AB40" s="151"/>
      <c r="AC40" s="151"/>
      <c r="AD40" s="137" t="s">
        <v>15</v>
      </c>
    </row>
    <row r="41" spans="2:30" ht="15" customHeight="1" x14ac:dyDescent="0.2">
      <c r="B41" s="133" t="s">
        <v>123</v>
      </c>
      <c r="C41" s="133"/>
      <c r="D41" s="150">
        <f t="shared" si="25"/>
        <v>1</v>
      </c>
      <c r="E41" s="151">
        <v>1</v>
      </c>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37" t="s">
        <v>15</v>
      </c>
    </row>
    <row r="42" spans="2:30" ht="15" customHeight="1" x14ac:dyDescent="0.2">
      <c r="B42" s="133" t="s">
        <v>124</v>
      </c>
      <c r="C42" s="133"/>
      <c r="D42" s="150">
        <f t="shared" si="25"/>
        <v>1</v>
      </c>
      <c r="E42" s="151"/>
      <c r="F42" s="151"/>
      <c r="G42" s="151"/>
      <c r="H42" s="151"/>
      <c r="I42" s="151"/>
      <c r="J42" s="151"/>
      <c r="K42" s="151"/>
      <c r="L42" s="151"/>
      <c r="M42" s="151"/>
      <c r="N42" s="151"/>
      <c r="O42" s="151"/>
      <c r="P42" s="151"/>
      <c r="Q42" s="151"/>
      <c r="R42" s="151"/>
      <c r="S42" s="151"/>
      <c r="T42" s="151"/>
      <c r="U42" s="151"/>
      <c r="V42" s="151">
        <v>0.2</v>
      </c>
      <c r="W42" s="151">
        <v>0.2</v>
      </c>
      <c r="X42" s="151">
        <v>0.2</v>
      </c>
      <c r="Y42" s="151">
        <v>0.2</v>
      </c>
      <c r="Z42" s="151">
        <v>0.2</v>
      </c>
      <c r="AA42" s="151"/>
      <c r="AB42" s="151"/>
      <c r="AC42" s="151"/>
      <c r="AD42" s="137" t="s">
        <v>15</v>
      </c>
    </row>
    <row r="43" spans="2:30" ht="15" customHeight="1" x14ac:dyDescent="0.2">
      <c r="B43" s="133" t="s">
        <v>125</v>
      </c>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7"/>
    </row>
    <row r="44" spans="2:30" ht="15" customHeight="1" x14ac:dyDescent="0.2">
      <c r="B44" s="139" t="s">
        <v>126</v>
      </c>
      <c r="C44" s="133"/>
      <c r="D44" s="150">
        <f t="shared" ref="D44:D51" si="27">SUM(E44:AC44)</f>
        <v>1</v>
      </c>
      <c r="E44" s="151">
        <v>0.5</v>
      </c>
      <c r="F44" s="151">
        <v>0.1</v>
      </c>
      <c r="G44" s="151">
        <v>0.1</v>
      </c>
      <c r="H44" s="151">
        <v>0.1</v>
      </c>
      <c r="I44" s="151">
        <v>0.2</v>
      </c>
      <c r="J44" s="151"/>
      <c r="K44" s="151"/>
      <c r="L44" s="151"/>
      <c r="M44" s="151"/>
      <c r="N44" s="151"/>
      <c r="O44" s="151"/>
      <c r="P44" s="151"/>
      <c r="Q44" s="151"/>
      <c r="R44" s="151"/>
      <c r="S44" s="151"/>
      <c r="T44" s="151"/>
      <c r="U44" s="151"/>
      <c r="V44" s="151"/>
      <c r="W44" s="151"/>
      <c r="X44" s="151"/>
      <c r="Y44" s="151"/>
      <c r="Z44" s="151"/>
      <c r="AA44" s="151"/>
      <c r="AB44" s="151"/>
      <c r="AC44" s="151"/>
      <c r="AD44" s="137" t="s">
        <v>15</v>
      </c>
    </row>
    <row r="45" spans="2:30" ht="15" customHeight="1" x14ac:dyDescent="0.2">
      <c r="B45" s="139" t="s">
        <v>127</v>
      </c>
      <c r="C45" s="133"/>
      <c r="D45" s="150">
        <f t="shared" si="27"/>
        <v>1</v>
      </c>
      <c r="E45" s="151">
        <f>90%/5</f>
        <v>0.18</v>
      </c>
      <c r="F45" s="151">
        <f>90%/5</f>
        <v>0.18</v>
      </c>
      <c r="G45" s="151">
        <f>90%/5</f>
        <v>0.18</v>
      </c>
      <c r="H45" s="151">
        <f>90%/5</f>
        <v>0.18</v>
      </c>
      <c r="I45" s="151">
        <v>0.28000000000000003</v>
      </c>
      <c r="J45" s="151"/>
      <c r="K45" s="151"/>
      <c r="L45" s="151"/>
      <c r="M45" s="151"/>
      <c r="N45" s="151"/>
      <c r="O45" s="151"/>
      <c r="P45" s="151"/>
      <c r="Q45" s="151"/>
      <c r="R45" s="151"/>
      <c r="S45" s="151"/>
      <c r="T45" s="151"/>
      <c r="U45" s="151"/>
      <c r="V45" s="151"/>
      <c r="W45" s="151"/>
      <c r="X45" s="151"/>
      <c r="Y45" s="151"/>
      <c r="Z45" s="151"/>
      <c r="AA45" s="151"/>
      <c r="AB45" s="151"/>
      <c r="AC45" s="151"/>
      <c r="AD45" s="137" t="s">
        <v>15</v>
      </c>
    </row>
    <row r="46" spans="2:30" ht="15" customHeight="1" x14ac:dyDescent="0.2">
      <c r="B46" s="139" t="s">
        <v>128</v>
      </c>
      <c r="C46" s="133"/>
      <c r="D46" s="150">
        <f t="shared" si="27"/>
        <v>1.0000000000000002</v>
      </c>
      <c r="E46" s="151"/>
      <c r="F46" s="151"/>
      <c r="G46" s="151"/>
      <c r="H46" s="151"/>
      <c r="I46" s="151"/>
      <c r="J46" s="151"/>
      <c r="K46" s="151">
        <f t="shared" ref="K46:AB46" si="28">0.9/19</f>
        <v>4.736842105263158E-2</v>
      </c>
      <c r="L46" s="151">
        <f t="shared" si="28"/>
        <v>4.736842105263158E-2</v>
      </c>
      <c r="M46" s="151">
        <f t="shared" si="28"/>
        <v>4.736842105263158E-2</v>
      </c>
      <c r="N46" s="151">
        <f t="shared" si="28"/>
        <v>4.736842105263158E-2</v>
      </c>
      <c r="O46" s="151">
        <f t="shared" si="28"/>
        <v>4.736842105263158E-2</v>
      </c>
      <c r="P46" s="151">
        <f t="shared" si="28"/>
        <v>4.736842105263158E-2</v>
      </c>
      <c r="Q46" s="151">
        <f t="shared" si="28"/>
        <v>4.736842105263158E-2</v>
      </c>
      <c r="R46" s="151">
        <f t="shared" si="28"/>
        <v>4.736842105263158E-2</v>
      </c>
      <c r="S46" s="151">
        <f t="shared" si="28"/>
        <v>4.736842105263158E-2</v>
      </c>
      <c r="T46" s="151">
        <f t="shared" si="28"/>
        <v>4.736842105263158E-2</v>
      </c>
      <c r="U46" s="151">
        <f t="shared" si="28"/>
        <v>4.736842105263158E-2</v>
      </c>
      <c r="V46" s="151">
        <f t="shared" si="28"/>
        <v>4.736842105263158E-2</v>
      </c>
      <c r="W46" s="151">
        <f t="shared" si="28"/>
        <v>4.736842105263158E-2</v>
      </c>
      <c r="X46" s="151">
        <f t="shared" si="28"/>
        <v>4.736842105263158E-2</v>
      </c>
      <c r="Y46" s="151">
        <f t="shared" si="28"/>
        <v>4.736842105263158E-2</v>
      </c>
      <c r="Z46" s="151">
        <f t="shared" si="28"/>
        <v>4.736842105263158E-2</v>
      </c>
      <c r="AA46" s="151">
        <f t="shared" si="28"/>
        <v>4.736842105263158E-2</v>
      </c>
      <c r="AB46" s="151">
        <f t="shared" si="28"/>
        <v>4.736842105263158E-2</v>
      </c>
      <c r="AC46" s="151">
        <v>0.14736842105263159</v>
      </c>
      <c r="AD46" s="137" t="s">
        <v>15</v>
      </c>
    </row>
    <row r="47" spans="2:30" ht="15" customHeight="1" x14ac:dyDescent="0.2">
      <c r="B47" s="139" t="s">
        <v>129</v>
      </c>
      <c r="C47" s="133"/>
      <c r="D47" s="150">
        <f t="shared" si="27"/>
        <v>0.99999999999999978</v>
      </c>
      <c r="E47" s="151"/>
      <c r="F47" s="151"/>
      <c r="G47" s="151"/>
      <c r="H47" s="151"/>
      <c r="I47" s="151"/>
      <c r="J47" s="151"/>
      <c r="K47" s="151"/>
      <c r="L47" s="151"/>
      <c r="M47" s="151"/>
      <c r="N47" s="151"/>
      <c r="O47" s="151"/>
      <c r="P47" s="151"/>
      <c r="Q47" s="151"/>
      <c r="R47" s="151">
        <f t="shared" ref="R47:Z47" si="29">0.9/10</f>
        <v>0.09</v>
      </c>
      <c r="S47" s="151">
        <f t="shared" si="29"/>
        <v>0.09</v>
      </c>
      <c r="T47" s="151">
        <f t="shared" si="29"/>
        <v>0.09</v>
      </c>
      <c r="U47" s="151">
        <f t="shared" si="29"/>
        <v>0.09</v>
      </c>
      <c r="V47" s="151">
        <f t="shared" si="29"/>
        <v>0.09</v>
      </c>
      <c r="W47" s="151">
        <f t="shared" si="29"/>
        <v>0.09</v>
      </c>
      <c r="X47" s="151">
        <f t="shared" si="29"/>
        <v>0.09</v>
      </c>
      <c r="Y47" s="151">
        <f t="shared" si="29"/>
        <v>0.09</v>
      </c>
      <c r="Z47" s="151">
        <f t="shared" si="29"/>
        <v>0.09</v>
      </c>
      <c r="AA47" s="151">
        <v>0.19</v>
      </c>
      <c r="AB47" s="151"/>
      <c r="AC47" s="151"/>
      <c r="AD47" s="137" t="s">
        <v>15</v>
      </c>
    </row>
    <row r="48" spans="2:30" ht="15" customHeight="1" x14ac:dyDescent="0.2">
      <c r="B48" s="139" t="s">
        <v>130</v>
      </c>
      <c r="C48" s="133"/>
      <c r="D48" s="150">
        <f t="shared" si="27"/>
        <v>0.99999999999999978</v>
      </c>
      <c r="E48" s="151"/>
      <c r="F48" s="151"/>
      <c r="G48" s="151"/>
      <c r="H48" s="151"/>
      <c r="I48" s="151"/>
      <c r="J48" s="151"/>
      <c r="K48" s="151"/>
      <c r="L48" s="151">
        <f t="shared" ref="L48:T48" si="30">0.9/10</f>
        <v>0.09</v>
      </c>
      <c r="M48" s="151">
        <f t="shared" si="30"/>
        <v>0.09</v>
      </c>
      <c r="N48" s="151">
        <f t="shared" si="30"/>
        <v>0.09</v>
      </c>
      <c r="O48" s="151">
        <f t="shared" si="30"/>
        <v>0.09</v>
      </c>
      <c r="P48" s="151">
        <f t="shared" si="30"/>
        <v>0.09</v>
      </c>
      <c r="Q48" s="151">
        <f t="shared" si="30"/>
        <v>0.09</v>
      </c>
      <c r="R48" s="151">
        <f t="shared" si="30"/>
        <v>0.09</v>
      </c>
      <c r="S48" s="151">
        <f t="shared" si="30"/>
        <v>0.09</v>
      </c>
      <c r="T48" s="151">
        <f t="shared" si="30"/>
        <v>0.09</v>
      </c>
      <c r="U48" s="151">
        <v>0.19</v>
      </c>
      <c r="V48" s="151"/>
      <c r="W48" s="151"/>
      <c r="X48" s="151"/>
      <c r="Y48" s="151"/>
      <c r="Z48" s="151"/>
      <c r="AA48" s="151"/>
      <c r="AB48" s="151"/>
      <c r="AC48" s="151"/>
      <c r="AD48" s="137" t="s">
        <v>15</v>
      </c>
    </row>
    <row r="49" spans="2:30" ht="15" customHeight="1" x14ac:dyDescent="0.2">
      <c r="B49" s="139" t="s">
        <v>131</v>
      </c>
      <c r="C49" s="133"/>
      <c r="D49" s="150">
        <f t="shared" si="27"/>
        <v>0.99999999999999978</v>
      </c>
      <c r="E49" s="151"/>
      <c r="F49" s="151"/>
      <c r="G49" s="151"/>
      <c r="H49" s="151"/>
      <c r="I49" s="151"/>
      <c r="J49" s="151">
        <f t="shared" ref="J49:R49" si="31">0.9/10</f>
        <v>0.09</v>
      </c>
      <c r="K49" s="151">
        <f t="shared" si="31"/>
        <v>0.09</v>
      </c>
      <c r="L49" s="151">
        <f t="shared" si="31"/>
        <v>0.09</v>
      </c>
      <c r="M49" s="151">
        <f t="shared" si="31"/>
        <v>0.09</v>
      </c>
      <c r="N49" s="151">
        <f t="shared" si="31"/>
        <v>0.09</v>
      </c>
      <c r="O49" s="151">
        <f t="shared" si="31"/>
        <v>0.09</v>
      </c>
      <c r="P49" s="151">
        <f t="shared" si="31"/>
        <v>0.09</v>
      </c>
      <c r="Q49" s="151">
        <f t="shared" si="31"/>
        <v>0.09</v>
      </c>
      <c r="R49" s="151">
        <f t="shared" si="31"/>
        <v>0.09</v>
      </c>
      <c r="S49" s="151">
        <v>0.19</v>
      </c>
      <c r="T49" s="151"/>
      <c r="U49" s="151"/>
      <c r="V49" s="151"/>
      <c r="W49" s="151"/>
      <c r="X49" s="151"/>
      <c r="Y49" s="151"/>
      <c r="Z49" s="151"/>
      <c r="AA49" s="151"/>
      <c r="AB49" s="151"/>
      <c r="AC49" s="151"/>
      <c r="AD49" s="137" t="s">
        <v>15</v>
      </c>
    </row>
    <row r="50" spans="2:30" ht="15" customHeight="1" x14ac:dyDescent="0.2">
      <c r="B50" s="139" t="s">
        <v>132</v>
      </c>
      <c r="C50" s="133"/>
      <c r="D50" s="150">
        <f t="shared" si="27"/>
        <v>1</v>
      </c>
      <c r="E50" s="151"/>
      <c r="F50" s="151"/>
      <c r="G50" s="151"/>
      <c r="H50" s="151"/>
      <c r="I50" s="151"/>
      <c r="J50" s="151"/>
      <c r="K50" s="151"/>
      <c r="L50" s="151"/>
      <c r="M50" s="151"/>
      <c r="N50" s="151"/>
      <c r="O50" s="151"/>
      <c r="P50" s="151"/>
      <c r="Q50" s="151"/>
      <c r="R50" s="151"/>
      <c r="S50" s="151"/>
      <c r="T50" s="151"/>
      <c r="U50" s="151"/>
      <c r="V50" s="151"/>
      <c r="W50" s="151"/>
      <c r="X50" s="151"/>
      <c r="Y50" s="151">
        <v>0.28000000000000003</v>
      </c>
      <c r="Z50" s="151">
        <f>0.9/5</f>
        <v>0.18</v>
      </c>
      <c r="AA50" s="151">
        <f>0.9/5</f>
        <v>0.18</v>
      </c>
      <c r="AB50" s="151">
        <f>0.9/5</f>
        <v>0.18</v>
      </c>
      <c r="AC50" s="151">
        <f>0.9/5</f>
        <v>0.18</v>
      </c>
      <c r="AD50" s="137" t="s">
        <v>15</v>
      </c>
    </row>
    <row r="51" spans="2:30" ht="15" customHeight="1" x14ac:dyDescent="0.2">
      <c r="B51" s="139" t="s">
        <v>133</v>
      </c>
      <c r="C51" s="133"/>
      <c r="D51" s="150">
        <f t="shared" si="27"/>
        <v>1</v>
      </c>
      <c r="E51" s="151">
        <f>0.9/4</f>
        <v>0.22500000000000001</v>
      </c>
      <c r="F51" s="151">
        <f>0.9/4</f>
        <v>0.22500000000000001</v>
      </c>
      <c r="G51" s="151">
        <f>0.9/4</f>
        <v>0.22500000000000001</v>
      </c>
      <c r="H51" s="151">
        <f>0.9/4+10%</f>
        <v>0.32500000000000001</v>
      </c>
      <c r="I51" s="151"/>
      <c r="J51" s="151"/>
      <c r="K51" s="151"/>
      <c r="L51" s="151"/>
      <c r="M51" s="151"/>
      <c r="N51" s="151"/>
      <c r="O51" s="151"/>
      <c r="P51" s="151"/>
      <c r="Q51" s="151"/>
      <c r="R51" s="151"/>
      <c r="S51" s="151"/>
      <c r="T51" s="151"/>
      <c r="U51" s="151"/>
      <c r="V51" s="151"/>
      <c r="W51" s="151"/>
      <c r="X51" s="151"/>
      <c r="Y51" s="151"/>
      <c r="Z51" s="151"/>
      <c r="AA51" s="151"/>
      <c r="AB51" s="151"/>
      <c r="AC51" s="151"/>
      <c r="AD51" s="137" t="s">
        <v>15</v>
      </c>
    </row>
    <row r="52" spans="2:30" ht="15" customHeight="1" x14ac:dyDescent="0.2">
      <c r="B52" s="140" t="s">
        <v>142</v>
      </c>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7"/>
    </row>
    <row r="53" spans="2:30" ht="15" customHeight="1" x14ac:dyDescent="0.2">
      <c r="B53" s="133" t="s">
        <v>135</v>
      </c>
      <c r="C53" s="133"/>
      <c r="D53" s="150">
        <f>SUM(E53:AC53)</f>
        <v>1</v>
      </c>
      <c r="E53" s="151"/>
      <c r="F53" s="151"/>
      <c r="G53" s="151"/>
      <c r="H53" s="151"/>
      <c r="I53" s="151"/>
      <c r="J53" s="151"/>
      <c r="K53" s="151"/>
      <c r="L53" s="151"/>
      <c r="M53" s="151"/>
      <c r="N53" s="151"/>
      <c r="O53" s="151"/>
      <c r="P53" s="151"/>
      <c r="Q53" s="151"/>
      <c r="R53" s="151"/>
      <c r="S53" s="151"/>
      <c r="T53" s="151"/>
      <c r="U53" s="151"/>
      <c r="V53" s="151">
        <v>0.2</v>
      </c>
      <c r="W53" s="151">
        <v>0.2</v>
      </c>
      <c r="X53" s="151">
        <v>0.2</v>
      </c>
      <c r="Y53" s="151">
        <v>0.2</v>
      </c>
      <c r="Z53" s="151">
        <v>0.2</v>
      </c>
      <c r="AA53" s="151"/>
      <c r="AB53" s="151"/>
      <c r="AC53" s="151"/>
      <c r="AD53" s="137" t="s">
        <v>15</v>
      </c>
    </row>
    <row r="54" spans="2:30" ht="15" customHeight="1" x14ac:dyDescent="0.2">
      <c r="B54" s="133" t="s">
        <v>136</v>
      </c>
      <c r="C54" s="133"/>
      <c r="D54" s="150">
        <f>SUM(E54:AC54)</f>
        <v>1</v>
      </c>
      <c r="E54" s="151"/>
      <c r="F54" s="151"/>
      <c r="G54" s="151"/>
      <c r="H54" s="151"/>
      <c r="I54" s="151"/>
      <c r="J54" s="151"/>
      <c r="K54" s="151"/>
      <c r="L54" s="151"/>
      <c r="M54" s="151"/>
      <c r="N54" s="151"/>
      <c r="O54" s="151"/>
      <c r="P54" s="151"/>
      <c r="Q54" s="151"/>
      <c r="R54" s="151"/>
      <c r="S54" s="151"/>
      <c r="T54" s="151"/>
      <c r="U54" s="151"/>
      <c r="V54" s="151"/>
      <c r="W54" s="151"/>
      <c r="X54" s="151"/>
      <c r="Y54" s="151"/>
      <c r="Z54" s="151">
        <v>0.25</v>
      </c>
      <c r="AA54" s="151">
        <v>0.25</v>
      </c>
      <c r="AB54" s="151">
        <v>0.25</v>
      </c>
      <c r="AC54" s="151">
        <v>0.25</v>
      </c>
      <c r="AD54" s="137" t="s">
        <v>15</v>
      </c>
    </row>
    <row r="56" spans="2:30" s="11" customFormat="1" ht="18" x14ac:dyDescent="0.25">
      <c r="C56" s="319"/>
      <c r="D56" s="319"/>
      <c r="E56" s="319"/>
      <c r="F56" s="319"/>
      <c r="G56" s="322"/>
      <c r="H56" s="323"/>
      <c r="I56" s="324"/>
      <c r="J56" s="319"/>
    </row>
    <row r="57" spans="2:30" s="11" customFormat="1" ht="10.15" customHeight="1" x14ac:dyDescent="0.25">
      <c r="C57" s="319"/>
      <c r="D57" s="319"/>
      <c r="E57" s="319"/>
      <c r="F57" s="319"/>
      <c r="G57" s="323"/>
      <c r="H57" s="323"/>
      <c r="I57" s="320"/>
      <c r="J57" s="319"/>
    </row>
    <row r="58" spans="2:30" s="11" customFormat="1" ht="15" customHeight="1" x14ac:dyDescent="0.25">
      <c r="C58" s="321"/>
      <c r="I58" s="419"/>
      <c r="J58" s="419"/>
      <c r="K58" s="419"/>
      <c r="L58" s="419"/>
      <c r="M58" s="419"/>
    </row>
    <row r="59" spans="2:30" s="11" customFormat="1" ht="15" customHeight="1" x14ac:dyDescent="0.25">
      <c r="C59" s="321"/>
      <c r="D59" s="325"/>
      <c r="I59" s="419"/>
      <c r="J59" s="419"/>
      <c r="K59" s="419"/>
      <c r="L59" s="419"/>
      <c r="M59" s="419"/>
    </row>
    <row r="60" spans="2:30" s="11" customFormat="1" ht="15" customHeight="1" x14ac:dyDescent="0.25">
      <c r="C60" s="321"/>
      <c r="F60" s="319"/>
      <c r="G60" s="323"/>
      <c r="H60" s="326"/>
      <c r="I60" s="320"/>
      <c r="J60" s="319"/>
    </row>
    <row r="61" spans="2:30" s="11" customFormat="1" ht="18" x14ac:dyDescent="0.25">
      <c r="C61" s="319"/>
      <c r="F61" s="319"/>
      <c r="G61" s="319"/>
      <c r="H61" s="319"/>
      <c r="I61" s="319"/>
      <c r="J61" s="319"/>
    </row>
    <row r="62" spans="2:30" s="329" customFormat="1" x14ac:dyDescent="0.2"/>
  </sheetData>
  <mergeCells count="7">
    <mergeCell ref="I58:M58"/>
    <mergeCell ref="I59:M59"/>
    <mergeCell ref="C4:D4"/>
    <mergeCell ref="E6:P6"/>
    <mergeCell ref="Q6:AC6"/>
    <mergeCell ref="E35:P35"/>
    <mergeCell ref="Q35:AC35"/>
  </mergeCells>
  <dataValidations count="1">
    <dataValidation allowBlank="1" showInputMessage="1" showErrorMessage="1" sqref="E4:F4" xr:uid="{4099310C-0C12-4BA8-8C5E-7152658CD93E}"/>
  </dataValidations>
  <pageMargins left="0.7" right="0.7" top="0.75" bottom="0.75" header="0.3" footer="0.3"/>
  <pageSetup scale="29"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8D94-4745-4727-8423-F663F0BD054B}">
  <sheetPr codeName="Sheet4">
    <tabColor rgb="FF393F47"/>
    <pageSetUpPr fitToPage="1"/>
  </sheetPr>
  <dimension ref="A1:DS41"/>
  <sheetViews>
    <sheetView tabSelected="1" workbookViewId="0">
      <selection activeCell="G28" sqref="G28"/>
    </sheetView>
  </sheetViews>
  <sheetFormatPr defaultColWidth="8.85546875" defaultRowHeight="14.25" x14ac:dyDescent="0.2"/>
  <cols>
    <col min="1" max="1" width="4.28515625" style="133" customWidth="1"/>
    <col min="2" max="2" width="40.28515625" style="133" customWidth="1"/>
    <col min="3" max="16384" width="8.85546875" style="133"/>
  </cols>
  <sheetData>
    <row r="1" spans="1:123" s="16" customFormat="1" x14ac:dyDescent="0.2"/>
    <row r="2" spans="1:123" s="16" customFormat="1" ht="20.25" x14ac:dyDescent="0.3">
      <c r="A2" s="17"/>
      <c r="B2" s="18" t="str">
        <f>Inputs!B2</f>
        <v>Comparing Complex Deal Structures</v>
      </c>
      <c r="C2" s="18"/>
      <c r="D2" s="18"/>
    </row>
    <row r="3" spans="1:123" s="16" customFormat="1" ht="20.25" x14ac:dyDescent="0.3">
      <c r="A3" s="14"/>
      <c r="B3" s="19"/>
      <c r="C3" s="19"/>
      <c r="D3" s="19"/>
    </row>
    <row r="4" spans="1:123" s="16" customFormat="1" ht="20.45" customHeight="1" x14ac:dyDescent="0.2">
      <c r="A4" s="20"/>
      <c r="B4" s="128" t="s">
        <v>145</v>
      </c>
      <c r="C4" s="129"/>
      <c r="D4" s="130"/>
    </row>
    <row r="5" spans="1:123" s="21" customFormat="1" ht="10.15" customHeight="1" x14ac:dyDescent="0.25">
      <c r="B5" s="22"/>
      <c r="C5" s="14"/>
      <c r="D5" s="14"/>
      <c r="E5" s="23"/>
    </row>
    <row r="7" spans="1:123" s="131" customFormat="1" ht="15.75" x14ac:dyDescent="0.25">
      <c r="B7" s="132" t="s">
        <v>144</v>
      </c>
    </row>
    <row r="8" spans="1:123" s="131" customFormat="1" ht="15" x14ac:dyDescent="0.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37"/>
    </row>
    <row r="9" spans="1:123" s="131" customFormat="1" ht="15" x14ac:dyDescent="0.2">
      <c r="C9" s="153">
        <f>Construction!E36</f>
        <v>44196</v>
      </c>
      <c r="D9" s="153">
        <f>EOMONTH(C9,1)</f>
        <v>44227</v>
      </c>
      <c r="E9" s="153">
        <f t="shared" ref="E9:BP9" si="0">EOMONTH(D9,1)</f>
        <v>44255</v>
      </c>
      <c r="F9" s="153">
        <f t="shared" si="0"/>
        <v>44286</v>
      </c>
      <c r="G9" s="153">
        <f t="shared" si="0"/>
        <v>44316</v>
      </c>
      <c r="H9" s="153">
        <f t="shared" si="0"/>
        <v>44347</v>
      </c>
      <c r="I9" s="153">
        <f t="shared" si="0"/>
        <v>44377</v>
      </c>
      <c r="J9" s="153">
        <f t="shared" si="0"/>
        <v>44408</v>
      </c>
      <c r="K9" s="153">
        <f t="shared" si="0"/>
        <v>44439</v>
      </c>
      <c r="L9" s="153">
        <f t="shared" si="0"/>
        <v>44469</v>
      </c>
      <c r="M9" s="153">
        <f t="shared" si="0"/>
        <v>44500</v>
      </c>
      <c r="N9" s="153">
        <f t="shared" si="0"/>
        <v>44530</v>
      </c>
      <c r="O9" s="153">
        <f t="shared" si="0"/>
        <v>44561</v>
      </c>
      <c r="P9" s="153">
        <f t="shared" si="0"/>
        <v>44592</v>
      </c>
      <c r="Q9" s="153">
        <f t="shared" si="0"/>
        <v>44620</v>
      </c>
      <c r="R9" s="153">
        <f t="shared" si="0"/>
        <v>44651</v>
      </c>
      <c r="S9" s="153">
        <f t="shared" si="0"/>
        <v>44681</v>
      </c>
      <c r="T9" s="153">
        <f t="shared" si="0"/>
        <v>44712</v>
      </c>
      <c r="U9" s="153">
        <f t="shared" si="0"/>
        <v>44742</v>
      </c>
      <c r="V9" s="153">
        <f t="shared" si="0"/>
        <v>44773</v>
      </c>
      <c r="W9" s="153">
        <f t="shared" si="0"/>
        <v>44804</v>
      </c>
      <c r="X9" s="153">
        <f t="shared" si="0"/>
        <v>44834</v>
      </c>
      <c r="Y9" s="153">
        <f t="shared" si="0"/>
        <v>44865</v>
      </c>
      <c r="Z9" s="153">
        <f t="shared" si="0"/>
        <v>44895</v>
      </c>
      <c r="AA9" s="153">
        <f t="shared" si="0"/>
        <v>44926</v>
      </c>
      <c r="AB9" s="153">
        <f t="shared" si="0"/>
        <v>44957</v>
      </c>
      <c r="AC9" s="153">
        <f t="shared" si="0"/>
        <v>44985</v>
      </c>
      <c r="AD9" s="153">
        <f t="shared" si="0"/>
        <v>45016</v>
      </c>
      <c r="AE9" s="153">
        <f t="shared" si="0"/>
        <v>45046</v>
      </c>
      <c r="AF9" s="153">
        <f t="shared" si="0"/>
        <v>45077</v>
      </c>
      <c r="AG9" s="153">
        <f t="shared" si="0"/>
        <v>45107</v>
      </c>
      <c r="AH9" s="153">
        <f t="shared" si="0"/>
        <v>45138</v>
      </c>
      <c r="AI9" s="153">
        <f t="shared" si="0"/>
        <v>45169</v>
      </c>
      <c r="AJ9" s="153">
        <f t="shared" si="0"/>
        <v>45199</v>
      </c>
      <c r="AK9" s="153">
        <f t="shared" si="0"/>
        <v>45230</v>
      </c>
      <c r="AL9" s="153">
        <f t="shared" si="0"/>
        <v>45260</v>
      </c>
      <c r="AM9" s="153">
        <f t="shared" si="0"/>
        <v>45291</v>
      </c>
      <c r="AN9" s="153">
        <f t="shared" si="0"/>
        <v>45322</v>
      </c>
      <c r="AO9" s="153">
        <f t="shared" si="0"/>
        <v>45351</v>
      </c>
      <c r="AP9" s="153">
        <f t="shared" si="0"/>
        <v>45382</v>
      </c>
      <c r="AQ9" s="153">
        <f t="shared" si="0"/>
        <v>45412</v>
      </c>
      <c r="AR9" s="153">
        <f t="shared" si="0"/>
        <v>45443</v>
      </c>
      <c r="AS9" s="153">
        <f t="shared" si="0"/>
        <v>45473</v>
      </c>
      <c r="AT9" s="153">
        <f t="shared" si="0"/>
        <v>45504</v>
      </c>
      <c r="AU9" s="153">
        <f t="shared" si="0"/>
        <v>45535</v>
      </c>
      <c r="AV9" s="153">
        <f t="shared" si="0"/>
        <v>45565</v>
      </c>
      <c r="AW9" s="153">
        <f t="shared" si="0"/>
        <v>45596</v>
      </c>
      <c r="AX9" s="153">
        <f t="shared" si="0"/>
        <v>45626</v>
      </c>
      <c r="AY9" s="153">
        <f t="shared" si="0"/>
        <v>45657</v>
      </c>
      <c r="AZ9" s="153">
        <f t="shared" si="0"/>
        <v>45688</v>
      </c>
      <c r="BA9" s="153">
        <f t="shared" si="0"/>
        <v>45716</v>
      </c>
      <c r="BB9" s="153">
        <f t="shared" si="0"/>
        <v>45747</v>
      </c>
      <c r="BC9" s="153">
        <f t="shared" si="0"/>
        <v>45777</v>
      </c>
      <c r="BD9" s="153">
        <f t="shared" si="0"/>
        <v>45808</v>
      </c>
      <c r="BE9" s="153">
        <f t="shared" si="0"/>
        <v>45838</v>
      </c>
      <c r="BF9" s="153">
        <f t="shared" si="0"/>
        <v>45869</v>
      </c>
      <c r="BG9" s="153">
        <f t="shared" si="0"/>
        <v>45900</v>
      </c>
      <c r="BH9" s="153">
        <f t="shared" si="0"/>
        <v>45930</v>
      </c>
      <c r="BI9" s="153">
        <f t="shared" si="0"/>
        <v>45961</v>
      </c>
      <c r="BJ9" s="153">
        <f t="shared" si="0"/>
        <v>45991</v>
      </c>
      <c r="BK9" s="153">
        <f t="shared" si="0"/>
        <v>46022</v>
      </c>
      <c r="BL9" s="153">
        <f t="shared" si="0"/>
        <v>46053</v>
      </c>
      <c r="BM9" s="153">
        <f t="shared" si="0"/>
        <v>46081</v>
      </c>
      <c r="BN9" s="153">
        <f t="shared" si="0"/>
        <v>46112</v>
      </c>
      <c r="BO9" s="153">
        <f t="shared" si="0"/>
        <v>46142</v>
      </c>
      <c r="BP9" s="153">
        <f t="shared" si="0"/>
        <v>46173</v>
      </c>
      <c r="BQ9" s="153">
        <f t="shared" ref="BQ9:DS9" si="1">EOMONTH(BP9,1)</f>
        <v>46203</v>
      </c>
      <c r="BR9" s="153">
        <f t="shared" si="1"/>
        <v>46234</v>
      </c>
      <c r="BS9" s="153">
        <f t="shared" si="1"/>
        <v>46265</v>
      </c>
      <c r="BT9" s="153">
        <f t="shared" si="1"/>
        <v>46295</v>
      </c>
      <c r="BU9" s="153">
        <f t="shared" si="1"/>
        <v>46326</v>
      </c>
      <c r="BV9" s="153">
        <f t="shared" si="1"/>
        <v>46356</v>
      </c>
      <c r="BW9" s="153">
        <f t="shared" si="1"/>
        <v>46387</v>
      </c>
      <c r="BX9" s="153">
        <f t="shared" si="1"/>
        <v>46418</v>
      </c>
      <c r="BY9" s="153">
        <f t="shared" si="1"/>
        <v>46446</v>
      </c>
      <c r="BZ9" s="153">
        <f t="shared" si="1"/>
        <v>46477</v>
      </c>
      <c r="CA9" s="153">
        <f t="shared" si="1"/>
        <v>46507</v>
      </c>
      <c r="CB9" s="153">
        <f t="shared" si="1"/>
        <v>46538</v>
      </c>
      <c r="CC9" s="153">
        <f t="shared" si="1"/>
        <v>46568</v>
      </c>
      <c r="CD9" s="153">
        <f t="shared" si="1"/>
        <v>46599</v>
      </c>
      <c r="CE9" s="153">
        <f t="shared" si="1"/>
        <v>46630</v>
      </c>
      <c r="CF9" s="153">
        <f t="shared" si="1"/>
        <v>46660</v>
      </c>
      <c r="CG9" s="153">
        <f t="shared" si="1"/>
        <v>46691</v>
      </c>
      <c r="CH9" s="153">
        <f t="shared" si="1"/>
        <v>46721</v>
      </c>
      <c r="CI9" s="153">
        <f t="shared" si="1"/>
        <v>46752</v>
      </c>
      <c r="CJ9" s="153">
        <f t="shared" si="1"/>
        <v>46783</v>
      </c>
      <c r="CK9" s="153">
        <f t="shared" si="1"/>
        <v>46812</v>
      </c>
      <c r="CL9" s="153">
        <f t="shared" si="1"/>
        <v>46843</v>
      </c>
      <c r="CM9" s="153">
        <f t="shared" si="1"/>
        <v>46873</v>
      </c>
      <c r="CN9" s="153">
        <f t="shared" si="1"/>
        <v>46904</v>
      </c>
      <c r="CO9" s="153">
        <f t="shared" si="1"/>
        <v>46934</v>
      </c>
      <c r="CP9" s="153">
        <f t="shared" si="1"/>
        <v>46965</v>
      </c>
      <c r="CQ9" s="153">
        <f t="shared" si="1"/>
        <v>46996</v>
      </c>
      <c r="CR9" s="153">
        <f t="shared" si="1"/>
        <v>47026</v>
      </c>
      <c r="CS9" s="153">
        <f t="shared" si="1"/>
        <v>47057</v>
      </c>
      <c r="CT9" s="153">
        <f t="shared" si="1"/>
        <v>47087</v>
      </c>
      <c r="CU9" s="153">
        <f t="shared" si="1"/>
        <v>47118</v>
      </c>
      <c r="CV9" s="153">
        <f t="shared" si="1"/>
        <v>47149</v>
      </c>
      <c r="CW9" s="153">
        <f t="shared" si="1"/>
        <v>47177</v>
      </c>
      <c r="CX9" s="153">
        <f t="shared" si="1"/>
        <v>47208</v>
      </c>
      <c r="CY9" s="153">
        <f t="shared" si="1"/>
        <v>47238</v>
      </c>
      <c r="CZ9" s="153">
        <f t="shared" si="1"/>
        <v>47269</v>
      </c>
      <c r="DA9" s="153">
        <f t="shared" si="1"/>
        <v>47299</v>
      </c>
      <c r="DB9" s="153">
        <f t="shared" si="1"/>
        <v>47330</v>
      </c>
      <c r="DC9" s="153">
        <f t="shared" si="1"/>
        <v>47361</v>
      </c>
      <c r="DD9" s="153">
        <f t="shared" si="1"/>
        <v>47391</v>
      </c>
      <c r="DE9" s="153">
        <f t="shared" si="1"/>
        <v>47422</v>
      </c>
      <c r="DF9" s="153">
        <f t="shared" si="1"/>
        <v>47452</v>
      </c>
      <c r="DG9" s="153">
        <f t="shared" si="1"/>
        <v>47483</v>
      </c>
      <c r="DH9" s="153">
        <f t="shared" si="1"/>
        <v>47514</v>
      </c>
      <c r="DI9" s="153">
        <f t="shared" si="1"/>
        <v>47542</v>
      </c>
      <c r="DJ9" s="153">
        <f t="shared" si="1"/>
        <v>47573</v>
      </c>
      <c r="DK9" s="153">
        <f t="shared" si="1"/>
        <v>47603</v>
      </c>
      <c r="DL9" s="153">
        <f t="shared" si="1"/>
        <v>47634</v>
      </c>
      <c r="DM9" s="153">
        <f t="shared" si="1"/>
        <v>47664</v>
      </c>
      <c r="DN9" s="153">
        <f t="shared" si="1"/>
        <v>47695</v>
      </c>
      <c r="DO9" s="153">
        <f t="shared" si="1"/>
        <v>47726</v>
      </c>
      <c r="DP9" s="153">
        <f t="shared" si="1"/>
        <v>47756</v>
      </c>
      <c r="DQ9" s="153">
        <f t="shared" si="1"/>
        <v>47787</v>
      </c>
      <c r="DR9" s="153">
        <f t="shared" si="1"/>
        <v>47817</v>
      </c>
      <c r="DS9" s="153">
        <f t="shared" si="1"/>
        <v>47848</v>
      </c>
    </row>
    <row r="10" spans="1:123" s="131" customFormat="1" ht="6" customHeight="1" x14ac:dyDescent="0.25">
      <c r="C10" s="154"/>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c r="AY10" s="154"/>
      <c r="AZ10" s="154"/>
      <c r="BA10" s="154"/>
      <c r="BB10" s="154"/>
      <c r="BC10" s="154"/>
      <c r="BD10" s="154"/>
      <c r="BE10" s="154"/>
      <c r="BF10" s="154"/>
      <c r="BG10" s="154"/>
      <c r="BH10" s="154"/>
      <c r="BI10" s="154"/>
      <c r="BJ10" s="154"/>
      <c r="BK10" s="154"/>
      <c r="BL10" s="154"/>
      <c r="BM10" s="154"/>
      <c r="BN10" s="154"/>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row>
    <row r="11" spans="1:123" s="131" customFormat="1" x14ac:dyDescent="0.2">
      <c r="B11" s="131" t="s">
        <v>146</v>
      </c>
      <c r="C11" s="155">
        <v>1.4924999999999999E-3</v>
      </c>
      <c r="D11" s="155">
        <v>1.5746E-3</v>
      </c>
      <c r="E11" s="155">
        <v>1.6548000000000001E-3</v>
      </c>
      <c r="F11" s="155">
        <v>1.7305000000000001E-3</v>
      </c>
      <c r="G11" s="155">
        <v>1.7340000000000001E-3</v>
      </c>
      <c r="H11" s="155">
        <v>1.6393E-3</v>
      </c>
      <c r="I11" s="155">
        <v>1.4936000000000001E-3</v>
      </c>
      <c r="J11" s="155">
        <v>1.3757999999999999E-3</v>
      </c>
      <c r="K11" s="155">
        <v>1.3131E-3</v>
      </c>
      <c r="L11" s="155">
        <v>1.3266E-3</v>
      </c>
      <c r="M11" s="155">
        <v>1.3895999999999999E-3</v>
      </c>
      <c r="N11" s="155">
        <v>1.4629000000000001E-3</v>
      </c>
      <c r="O11" s="155">
        <v>1.5439E-3</v>
      </c>
      <c r="P11" s="155">
        <v>1.6184999999999999E-3</v>
      </c>
      <c r="Q11" s="155">
        <v>1.6576E-3</v>
      </c>
      <c r="R11" s="155">
        <v>1.6731000000000001E-3</v>
      </c>
      <c r="S11" s="155">
        <v>1.6505000000000001E-3</v>
      </c>
      <c r="T11" s="155">
        <v>1.572E-3</v>
      </c>
      <c r="U11" s="155">
        <v>1.4832000000000001E-3</v>
      </c>
      <c r="V11" s="155">
        <v>1.4182999999999999E-3</v>
      </c>
      <c r="W11" s="155">
        <v>1.3636E-3</v>
      </c>
      <c r="X11" s="155">
        <v>1.3674E-3</v>
      </c>
      <c r="Y11" s="155">
        <v>1.4319999999999999E-3</v>
      </c>
      <c r="Z11" s="155">
        <v>1.5107E-3</v>
      </c>
      <c r="AA11" s="155">
        <v>1.6359E-3</v>
      </c>
      <c r="AB11" s="155">
        <v>1.7925E-3</v>
      </c>
      <c r="AC11" s="155">
        <v>1.9195E-3</v>
      </c>
      <c r="AD11" s="155">
        <v>2.075E-3</v>
      </c>
      <c r="AE11" s="155">
        <v>2.2303000000000002E-3</v>
      </c>
      <c r="AF11" s="155">
        <v>2.3571E-3</v>
      </c>
      <c r="AG11" s="155">
        <v>2.4913000000000001E-3</v>
      </c>
      <c r="AH11" s="155">
        <v>2.6353000000000001E-3</v>
      </c>
      <c r="AI11" s="155">
        <v>2.7579000000000002E-3</v>
      </c>
      <c r="AJ11" s="155">
        <v>2.8946000000000002E-3</v>
      </c>
      <c r="AK11" s="155">
        <v>3.0430000000000001E-3</v>
      </c>
      <c r="AL11" s="155">
        <v>3.1805000000000002E-3</v>
      </c>
      <c r="AM11" s="155">
        <v>3.3303E-3</v>
      </c>
      <c r="AN11" s="155">
        <v>3.4998E-3</v>
      </c>
      <c r="AO11" s="155">
        <v>3.6478000000000001E-3</v>
      </c>
      <c r="AP11" s="155">
        <v>3.8257999999999999E-3</v>
      </c>
      <c r="AQ11" s="155">
        <v>4.0179999999999999E-3</v>
      </c>
      <c r="AR11" s="155">
        <v>4.1910999999999997E-3</v>
      </c>
      <c r="AS11" s="155">
        <v>4.3829000000000003E-3</v>
      </c>
      <c r="AT11" s="155">
        <v>4.5864E-3</v>
      </c>
      <c r="AU11" s="155">
        <v>4.7821000000000001E-3</v>
      </c>
      <c r="AV11" s="155">
        <v>4.9874999999999997E-3</v>
      </c>
      <c r="AW11" s="155">
        <v>5.2025999999999999E-3</v>
      </c>
      <c r="AX11" s="155">
        <v>5.4098999999999996E-3</v>
      </c>
      <c r="AY11" s="155">
        <v>5.6248000000000001E-3</v>
      </c>
      <c r="AZ11" s="155">
        <v>5.8517999999999999E-3</v>
      </c>
      <c r="BA11" s="155">
        <v>6.0464999999999998E-3</v>
      </c>
      <c r="BB11" s="155">
        <v>6.2646000000000004E-3</v>
      </c>
      <c r="BC11" s="155">
        <v>6.4850000000000003E-3</v>
      </c>
      <c r="BD11" s="155">
        <v>6.6765000000000001E-3</v>
      </c>
      <c r="BE11" s="155">
        <v>6.8779000000000002E-3</v>
      </c>
      <c r="BF11" s="155">
        <v>7.0809999999999996E-3</v>
      </c>
      <c r="BG11" s="155">
        <v>7.2712000000000002E-3</v>
      </c>
      <c r="BH11" s="155">
        <v>7.4647000000000003E-3</v>
      </c>
      <c r="BI11" s="155">
        <v>7.6677999999999998E-3</v>
      </c>
      <c r="BJ11" s="155">
        <v>7.8446000000000002E-3</v>
      </c>
      <c r="BK11" s="155">
        <v>8.0316999999999993E-3</v>
      </c>
      <c r="BL11" s="155">
        <v>8.2282999999999992E-3</v>
      </c>
      <c r="BM11" s="155">
        <v>8.3823999999999999E-3</v>
      </c>
      <c r="BN11" s="155">
        <v>8.5734000000000001E-3</v>
      </c>
      <c r="BO11" s="155">
        <v>8.7551E-3</v>
      </c>
      <c r="BP11" s="155">
        <v>8.9055999999999996E-3</v>
      </c>
      <c r="BQ11" s="155">
        <v>9.0629999999999999E-3</v>
      </c>
      <c r="BR11" s="155">
        <v>9.2271999999999996E-3</v>
      </c>
      <c r="BS11" s="155">
        <v>9.3633999999999992E-3</v>
      </c>
      <c r="BT11" s="155">
        <v>9.5090000000000001E-3</v>
      </c>
      <c r="BU11" s="155">
        <v>9.6644999999999995E-3</v>
      </c>
      <c r="BV11" s="155">
        <v>9.7949000000000005E-3</v>
      </c>
      <c r="BW11" s="155">
        <v>9.9351000000000005E-3</v>
      </c>
      <c r="BX11" s="155">
        <v>1.0087E-2</v>
      </c>
      <c r="BY11" s="155">
        <v>1.0211700000000001E-2</v>
      </c>
      <c r="BZ11" s="155">
        <v>1.0354800000000001E-2</v>
      </c>
      <c r="CA11" s="155">
        <v>1.0505199999999999E-2</v>
      </c>
      <c r="CB11" s="155">
        <v>1.06149E-2</v>
      </c>
      <c r="CC11" s="155">
        <v>1.07642E-2</v>
      </c>
      <c r="CD11" s="155">
        <v>1.0906900000000001E-2</v>
      </c>
      <c r="CE11" s="155">
        <v>1.10244E-2</v>
      </c>
      <c r="CF11" s="155">
        <v>1.1150500000000001E-2</v>
      </c>
      <c r="CG11" s="155">
        <v>1.12862E-2</v>
      </c>
      <c r="CH11" s="155">
        <v>1.1395799999999999E-2</v>
      </c>
      <c r="CI11" s="155">
        <v>1.15155E-2</v>
      </c>
      <c r="CJ11" s="155">
        <v>1.16474E-2</v>
      </c>
      <c r="CK11" s="155">
        <v>1.17483E-2</v>
      </c>
      <c r="CL11" s="155">
        <v>1.1872799999999999E-2</v>
      </c>
      <c r="CM11" s="155">
        <v>1.2001400000000001E-2</v>
      </c>
      <c r="CN11" s="155">
        <v>1.20994E-2</v>
      </c>
      <c r="CO11" s="155">
        <v>1.22048E-2</v>
      </c>
      <c r="CP11" s="155">
        <v>1.23179E-2</v>
      </c>
      <c r="CQ11" s="155">
        <v>1.24019E-2</v>
      </c>
      <c r="CR11" s="155">
        <v>1.2495900000000001E-2</v>
      </c>
      <c r="CS11" s="155">
        <v>1.25986E-2</v>
      </c>
      <c r="CT11" s="155">
        <v>1.26789E-2</v>
      </c>
      <c r="CU11" s="155">
        <v>1.27668E-2</v>
      </c>
      <c r="CV11" s="155">
        <v>1.2867399999999999E-2</v>
      </c>
      <c r="CW11" s="155">
        <v>1.29406E-2</v>
      </c>
      <c r="CX11" s="155">
        <v>1.3031600000000001E-2</v>
      </c>
      <c r="CY11" s="155">
        <v>1.31334E-2</v>
      </c>
      <c r="CZ11" s="155">
        <v>1.3210599999999999E-2</v>
      </c>
      <c r="DA11" s="155">
        <v>1.33028E-2</v>
      </c>
      <c r="DB11" s="155">
        <v>1.34077E-2</v>
      </c>
      <c r="DC11" s="155">
        <v>1.3495500000000001E-2</v>
      </c>
      <c r="DD11" s="155">
        <v>1.3594200000000001E-2</v>
      </c>
      <c r="DE11" s="155">
        <v>1.37042E-2</v>
      </c>
      <c r="DF11" s="155">
        <v>1.37959E-2</v>
      </c>
      <c r="DG11" s="155">
        <v>1.3895100000000001E-2</v>
      </c>
      <c r="DH11" s="155">
        <v>1.40044E-2</v>
      </c>
      <c r="DI11" s="155">
        <v>1.40822E-2</v>
      </c>
      <c r="DJ11" s="155">
        <v>1.4172300000000001E-2</v>
      </c>
      <c r="DK11" s="155">
        <v>1.42638E-2</v>
      </c>
      <c r="DL11" s="155">
        <v>1.43205E-2</v>
      </c>
      <c r="DM11" s="155">
        <v>1.43813E-2</v>
      </c>
      <c r="DN11" s="155">
        <v>1.4445E-2</v>
      </c>
      <c r="DO11" s="155">
        <v>1.44799E-2</v>
      </c>
      <c r="DP11" s="155">
        <v>1.4518100000000001E-2</v>
      </c>
      <c r="DQ11" s="155">
        <v>1.45623E-2</v>
      </c>
      <c r="DR11" s="155">
        <v>1.45799E-2</v>
      </c>
      <c r="DS11" s="155">
        <v>1.46052E-2</v>
      </c>
    </row>
    <row r="12" spans="1:123" s="131" customFormat="1" x14ac:dyDescent="0.2">
      <c r="B12" s="131" t="s">
        <v>147</v>
      </c>
      <c r="C12" s="155">
        <v>2.1475000000000001E-3</v>
      </c>
      <c r="D12" s="155">
        <v>2.1992000000000001E-3</v>
      </c>
      <c r="E12" s="155">
        <v>2.2525000000000002E-3</v>
      </c>
      <c r="F12" s="155">
        <v>2.3008999999999998E-3</v>
      </c>
      <c r="G12" s="155">
        <v>2.1919999999999999E-3</v>
      </c>
      <c r="H12" s="155">
        <v>2.0936000000000001E-3</v>
      </c>
      <c r="I12" s="155">
        <v>1.9846999999999998E-3</v>
      </c>
      <c r="J12" s="155">
        <v>1.9824E-3</v>
      </c>
      <c r="K12" s="155">
        <v>1.9799000000000001E-3</v>
      </c>
      <c r="L12" s="155">
        <v>1.9778E-3</v>
      </c>
      <c r="M12" s="155">
        <v>2.0344999999999999E-3</v>
      </c>
      <c r="N12" s="155">
        <v>2.0929E-3</v>
      </c>
      <c r="O12" s="155">
        <v>2.1459000000000001E-3</v>
      </c>
      <c r="P12" s="155">
        <v>2.2904000000000002E-3</v>
      </c>
      <c r="Q12" s="155">
        <v>2.4348E-3</v>
      </c>
      <c r="R12" s="155">
        <v>2.5745999999999998E-3</v>
      </c>
      <c r="S12" s="155">
        <v>2.6435999999999999E-3</v>
      </c>
      <c r="T12" s="155">
        <v>2.7020999999999998E-3</v>
      </c>
      <c r="U12" s="155">
        <v>2.7626999999999999E-3</v>
      </c>
      <c r="V12" s="155">
        <v>2.8300999999999999E-3</v>
      </c>
      <c r="W12" s="155">
        <v>2.9020000000000001E-3</v>
      </c>
      <c r="X12" s="155">
        <v>2.9670999999999999E-3</v>
      </c>
      <c r="Y12" s="155">
        <v>3.0416000000000002E-3</v>
      </c>
      <c r="Z12" s="155">
        <v>3.1159999999999998E-3</v>
      </c>
      <c r="AA12" s="155">
        <v>3.1881000000000001E-3</v>
      </c>
      <c r="AB12" s="155">
        <v>3.2940000000000001E-3</v>
      </c>
      <c r="AC12" s="155">
        <v>3.3838000000000002E-3</v>
      </c>
      <c r="AD12" s="155">
        <v>3.4832000000000001E-3</v>
      </c>
      <c r="AE12" s="155">
        <v>3.6139000000000002E-3</v>
      </c>
      <c r="AF12" s="155">
        <v>3.7282999999999999E-3</v>
      </c>
      <c r="AG12" s="155">
        <v>3.8508000000000001E-3</v>
      </c>
      <c r="AH12" s="155">
        <v>3.9962000000000001E-3</v>
      </c>
      <c r="AI12" s="155">
        <v>4.1463999999999997E-3</v>
      </c>
      <c r="AJ12" s="155">
        <v>4.2916999999999999E-3</v>
      </c>
      <c r="AK12" s="155">
        <v>4.4764000000000002E-3</v>
      </c>
      <c r="AL12" s="155">
        <v>4.6386999999999999E-3</v>
      </c>
      <c r="AM12" s="155">
        <v>4.8066000000000003E-3</v>
      </c>
      <c r="AN12" s="155">
        <v>4.9971E-3</v>
      </c>
      <c r="AO12" s="155">
        <v>5.1697000000000002E-3</v>
      </c>
      <c r="AP12" s="155">
        <v>5.3541999999999999E-3</v>
      </c>
      <c r="AQ12" s="155">
        <v>5.5518E-3</v>
      </c>
      <c r="AR12" s="155">
        <v>5.7365999999999997E-3</v>
      </c>
      <c r="AS12" s="155">
        <v>5.9341999999999997E-3</v>
      </c>
      <c r="AT12" s="155">
        <v>6.1428000000000003E-3</v>
      </c>
      <c r="AU12" s="155">
        <v>6.3447E-3</v>
      </c>
      <c r="AV12" s="155">
        <v>6.5465000000000002E-3</v>
      </c>
      <c r="AW12" s="155">
        <v>6.7594999999999999E-3</v>
      </c>
      <c r="AX12" s="155">
        <v>6.9724000000000001E-3</v>
      </c>
      <c r="AY12" s="155">
        <v>7.1923000000000004E-3</v>
      </c>
      <c r="AZ12" s="155">
        <v>7.3905999999999998E-3</v>
      </c>
      <c r="BA12" s="155">
        <v>7.5957999999999998E-3</v>
      </c>
      <c r="BB12" s="155">
        <v>7.8145999999999997E-3</v>
      </c>
      <c r="BC12" s="155">
        <v>8.0120999999999994E-3</v>
      </c>
      <c r="BD12" s="155">
        <v>8.1965000000000007E-3</v>
      </c>
      <c r="BE12" s="155">
        <v>8.4136999999999997E-3</v>
      </c>
      <c r="BF12" s="155">
        <v>8.5909000000000003E-3</v>
      </c>
      <c r="BG12" s="155">
        <v>8.7871000000000008E-3</v>
      </c>
      <c r="BH12" s="155">
        <v>8.9896000000000004E-3</v>
      </c>
      <c r="BI12" s="155">
        <v>9.1657000000000006E-3</v>
      </c>
      <c r="BJ12" s="155">
        <v>9.3539000000000001E-3</v>
      </c>
      <c r="BK12" s="155">
        <v>9.5422000000000007E-3</v>
      </c>
      <c r="BL12" s="155">
        <v>9.7120999999999996E-3</v>
      </c>
      <c r="BM12" s="155">
        <v>9.8820999999999996E-3</v>
      </c>
      <c r="BN12" s="155">
        <v>1.0057699999999999E-2</v>
      </c>
      <c r="BO12" s="155">
        <v>1.02206E-2</v>
      </c>
      <c r="BP12" s="155">
        <v>1.0367899999999999E-2</v>
      </c>
      <c r="BQ12" s="155">
        <v>1.05361E-2</v>
      </c>
      <c r="BR12" s="155">
        <v>1.06768E-2</v>
      </c>
      <c r="BS12" s="155">
        <v>1.0827099999999999E-2</v>
      </c>
      <c r="BT12" s="155">
        <v>1.0977499999999999E-2</v>
      </c>
      <c r="BU12" s="155">
        <v>1.11109E-2</v>
      </c>
      <c r="BV12" s="155">
        <v>1.12576E-2</v>
      </c>
      <c r="BW12" s="155">
        <v>1.1382099999999999E-2</v>
      </c>
      <c r="BX12" s="155">
        <v>1.15186E-2</v>
      </c>
      <c r="BY12" s="155">
        <v>1.1659600000000001E-2</v>
      </c>
      <c r="BZ12" s="155">
        <v>1.17874E-2</v>
      </c>
      <c r="CA12" s="155">
        <v>1.19273E-2</v>
      </c>
      <c r="CB12" s="155">
        <v>1.2053599999999999E-2</v>
      </c>
      <c r="CC12" s="155">
        <v>1.2193499999999999E-2</v>
      </c>
      <c r="CD12" s="155">
        <v>1.2327599999999999E-2</v>
      </c>
      <c r="CE12" s="155">
        <v>1.2475200000000001E-2</v>
      </c>
      <c r="CF12" s="155">
        <v>1.26003E-2</v>
      </c>
      <c r="CG12" s="155">
        <v>1.2737699999999999E-2</v>
      </c>
      <c r="CH12" s="155">
        <v>1.28795E-2</v>
      </c>
      <c r="CI12" s="155">
        <v>1.3008E-2</v>
      </c>
      <c r="CJ12" s="155">
        <v>1.31311E-2</v>
      </c>
      <c r="CK12" s="155">
        <v>1.3254200000000001E-2</v>
      </c>
      <c r="CL12" s="155">
        <v>1.3373299999999999E-2</v>
      </c>
      <c r="CM12" s="155">
        <v>1.34906E-2</v>
      </c>
      <c r="CN12" s="155">
        <v>1.3590100000000001E-2</v>
      </c>
      <c r="CO12" s="155">
        <v>1.3696699999999999E-2</v>
      </c>
      <c r="CP12" s="155">
        <v>1.3789600000000001E-2</v>
      </c>
      <c r="CQ12" s="155">
        <v>1.38856E-2</v>
      </c>
      <c r="CR12" s="155">
        <v>1.39785E-2</v>
      </c>
      <c r="CS12" s="155">
        <v>1.4064500000000001E-2</v>
      </c>
      <c r="CT12" s="155">
        <v>1.414E-2</v>
      </c>
      <c r="CU12" s="155">
        <v>1.42182E-2</v>
      </c>
      <c r="CV12" s="155">
        <v>1.43079E-2</v>
      </c>
      <c r="CW12" s="155">
        <v>1.43892E-2</v>
      </c>
      <c r="CX12" s="155">
        <v>1.44761E-2</v>
      </c>
      <c r="CY12" s="155">
        <v>1.45711E-2</v>
      </c>
      <c r="CZ12" s="155">
        <v>1.46569E-2</v>
      </c>
      <c r="DA12" s="155">
        <v>1.4751800000000001E-2</v>
      </c>
      <c r="DB12" s="155">
        <v>1.48551E-2</v>
      </c>
      <c r="DC12" s="155">
        <v>1.4948700000000001E-2</v>
      </c>
      <c r="DD12" s="155">
        <v>1.50455E-2</v>
      </c>
      <c r="DE12" s="155">
        <v>1.51539E-2</v>
      </c>
      <c r="DF12" s="155">
        <v>1.52555E-2</v>
      </c>
      <c r="DG12" s="155">
        <v>1.53571E-2</v>
      </c>
      <c r="DH12" s="155">
        <v>1.5438199999999999E-2</v>
      </c>
      <c r="DI12" s="155">
        <v>1.55166E-2</v>
      </c>
      <c r="DJ12" s="155">
        <v>1.56028E-2</v>
      </c>
      <c r="DK12" s="155">
        <v>1.56635E-2</v>
      </c>
      <c r="DL12" s="155">
        <v>1.5722099999999999E-2</v>
      </c>
      <c r="DM12" s="155">
        <v>1.57869E-2</v>
      </c>
      <c r="DN12" s="155">
        <v>1.5827999999999998E-2</v>
      </c>
      <c r="DO12" s="155">
        <v>1.5867800000000001E-2</v>
      </c>
      <c r="DP12" s="155">
        <v>1.5907500000000001E-2</v>
      </c>
      <c r="DQ12" s="155">
        <v>1.59258E-2</v>
      </c>
      <c r="DR12" s="155">
        <v>1.5944E-2</v>
      </c>
      <c r="DS12" s="155">
        <v>1.5962799999999999E-2</v>
      </c>
    </row>
    <row r="13" spans="1:123" s="131" customFormat="1" x14ac:dyDescent="0.2"/>
    <row r="14" spans="1:123" s="131" customFormat="1" x14ac:dyDescent="0.2"/>
    <row r="15" spans="1:123" s="131" customFormat="1" x14ac:dyDescent="0.2"/>
    <row r="16" spans="1:123" s="131" customFormat="1" x14ac:dyDescent="0.2"/>
    <row r="17" s="131" customFormat="1" x14ac:dyDescent="0.2"/>
    <row r="18" s="131" customFormat="1" x14ac:dyDescent="0.2"/>
    <row r="35" spans="3:13" s="11" customFormat="1" ht="18" x14ac:dyDescent="0.25">
      <c r="C35" s="319"/>
      <c r="D35" s="319"/>
      <c r="E35" s="319"/>
      <c r="F35" s="319"/>
      <c r="G35" s="322"/>
      <c r="H35" s="323"/>
      <c r="I35" s="324"/>
      <c r="J35" s="319"/>
    </row>
    <row r="36" spans="3:13" s="11" customFormat="1" ht="10.15" customHeight="1" x14ac:dyDescent="0.25">
      <c r="C36" s="319"/>
      <c r="D36" s="319"/>
      <c r="E36" s="319"/>
      <c r="F36" s="319"/>
      <c r="G36" s="323"/>
      <c r="H36" s="323"/>
      <c r="I36" s="320"/>
      <c r="J36" s="319"/>
    </row>
    <row r="37" spans="3:13" s="11" customFormat="1" ht="15" customHeight="1" x14ac:dyDescent="0.25">
      <c r="C37" s="321"/>
      <c r="I37" s="419"/>
      <c r="J37" s="419"/>
      <c r="K37" s="419"/>
      <c r="L37" s="419"/>
      <c r="M37" s="419"/>
    </row>
    <row r="38" spans="3:13" s="11" customFormat="1" ht="15" customHeight="1" x14ac:dyDescent="0.25">
      <c r="C38" s="321"/>
      <c r="D38" s="325"/>
      <c r="I38" s="419"/>
      <c r="J38" s="419"/>
      <c r="K38" s="419"/>
      <c r="L38" s="419"/>
      <c r="M38" s="419"/>
    </row>
    <row r="39" spans="3:13" s="11" customFormat="1" ht="15" customHeight="1" x14ac:dyDescent="0.25">
      <c r="C39" s="321"/>
      <c r="F39" s="319"/>
      <c r="G39" s="323"/>
      <c r="H39" s="326"/>
      <c r="I39" s="320"/>
      <c r="J39" s="319"/>
    </row>
    <row r="40" spans="3:13" s="11" customFormat="1" ht="18" x14ac:dyDescent="0.25">
      <c r="C40" s="319"/>
      <c r="F40" s="319"/>
      <c r="G40" s="319"/>
      <c r="H40" s="319"/>
      <c r="I40" s="319"/>
      <c r="J40" s="319"/>
    </row>
    <row r="41" spans="3:13" s="330" customFormat="1" x14ac:dyDescent="0.2"/>
  </sheetData>
  <mergeCells count="2">
    <mergeCell ref="I37:M37"/>
    <mergeCell ref="I38:M38"/>
  </mergeCells>
  <dataValidations count="1">
    <dataValidation allowBlank="1" showInputMessage="1" showErrorMessage="1" sqref="C4:D4" xr:uid="{8AF37F43-A5C9-481D-99EC-945F4AB35723}"/>
  </dataValidations>
  <pageMargins left="0.7" right="0.7" top="0.75" bottom="0.75" header="0.3" footer="0.3"/>
  <pageSetup scale="63"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31264-9E62-4659-A6BF-34F28B21AD2C}">
  <sheetPr codeName="Sheet5">
    <tabColor rgb="FF393F47"/>
    <pageSetUpPr fitToPage="1"/>
  </sheetPr>
  <dimension ref="A1:N86"/>
  <sheetViews>
    <sheetView tabSelected="1" zoomScaleNormal="100" workbookViewId="0">
      <selection activeCell="G28" sqref="G28"/>
    </sheetView>
  </sheetViews>
  <sheetFormatPr defaultColWidth="9.140625" defaultRowHeight="18" x14ac:dyDescent="0.2"/>
  <cols>
    <col min="1" max="1" width="4.28515625" style="11" customWidth="1"/>
    <col min="2" max="2" width="31.85546875" style="327" customWidth="1"/>
    <col min="3" max="3" width="40.7109375" style="327" customWidth="1"/>
    <col min="4" max="4" width="23.42578125" style="327" customWidth="1"/>
    <col min="5" max="5" width="4.5703125" style="327" customWidth="1"/>
    <col min="6" max="6" width="30.7109375" style="327" customWidth="1"/>
    <col min="7" max="7" width="40.7109375" style="327" customWidth="1"/>
    <col min="8" max="8" width="14.42578125" style="327" bestFit="1" customWidth="1"/>
    <col min="9" max="9" width="9.28515625" style="327" customWidth="1"/>
    <col min="10" max="10" width="14.85546875" style="327" customWidth="1"/>
    <col min="11" max="11" width="16.5703125" style="327" bestFit="1" customWidth="1"/>
    <col min="12" max="12" width="12.5703125" style="327" customWidth="1"/>
    <col min="13" max="13" width="11.140625" style="327" customWidth="1"/>
    <col min="14" max="14" width="14.140625" style="327" customWidth="1"/>
    <col min="15" max="16384" width="9.140625" style="327"/>
  </cols>
  <sheetData>
    <row r="1" spans="1:11" ht="14.25" x14ac:dyDescent="0.2">
      <c r="A1" s="327"/>
    </row>
    <row r="2" spans="1:11" ht="20.25" x14ac:dyDescent="0.3">
      <c r="A2" s="355"/>
      <c r="B2" s="356" t="str">
        <f>Instructions!B3</f>
        <v>Comparing Complex Deal Structures</v>
      </c>
      <c r="C2" s="356"/>
      <c r="D2" s="356"/>
      <c r="E2" s="356"/>
      <c r="F2" s="356"/>
      <c r="G2" s="356"/>
      <c r="H2" s="356"/>
      <c r="I2" s="356"/>
      <c r="J2" s="356"/>
    </row>
    <row r="3" spans="1:11" ht="20.25" x14ac:dyDescent="0.3">
      <c r="B3" s="357"/>
      <c r="C3" s="357"/>
      <c r="D3" s="357"/>
      <c r="E3" s="357"/>
      <c r="F3" s="357"/>
      <c r="G3" s="357"/>
      <c r="H3" s="357"/>
      <c r="I3" s="357"/>
      <c r="J3" s="357"/>
    </row>
    <row r="4" spans="1:11" ht="20.45" customHeight="1" x14ac:dyDescent="0.3">
      <c r="A4" s="358"/>
      <c r="B4" s="448" t="s">
        <v>359</v>
      </c>
      <c r="C4" s="448"/>
      <c r="D4" s="357"/>
      <c r="E4" s="357"/>
      <c r="F4" s="357"/>
      <c r="G4" s="357"/>
      <c r="H4" s="357"/>
      <c r="I4" s="357"/>
      <c r="J4" s="357"/>
    </row>
    <row r="5" spans="1:11" ht="15" x14ac:dyDescent="0.2">
      <c r="A5" s="359"/>
      <c r="G5" s="353"/>
      <c r="K5" s="352"/>
    </row>
    <row r="6" spans="1:11" ht="15.75" x14ac:dyDescent="0.2">
      <c r="A6" s="335"/>
      <c r="B6" s="350"/>
      <c r="C6" s="350"/>
      <c r="F6" s="351"/>
      <c r="K6" s="352"/>
    </row>
    <row r="7" spans="1:11" ht="14.25" x14ac:dyDescent="0.2">
      <c r="A7" s="335"/>
      <c r="K7" s="352"/>
    </row>
    <row r="8" spans="1:11" x14ac:dyDescent="0.2">
      <c r="K8" s="352"/>
    </row>
    <row r="9" spans="1:11" x14ac:dyDescent="0.2">
      <c r="G9" s="350"/>
      <c r="K9" s="352"/>
    </row>
    <row r="10" spans="1:11" x14ac:dyDescent="0.2">
      <c r="G10" s="353"/>
      <c r="K10" s="352"/>
    </row>
    <row r="11" spans="1:11" ht="15.75" x14ac:dyDescent="0.2">
      <c r="A11" s="335"/>
      <c r="B11" s="449"/>
      <c r="C11" s="449"/>
      <c r="G11" s="354"/>
      <c r="K11" s="352"/>
    </row>
    <row r="12" spans="1:11" ht="14.25" x14ac:dyDescent="0.2">
      <c r="A12" s="335"/>
      <c r="G12" s="353"/>
      <c r="K12" s="352"/>
    </row>
    <row r="13" spans="1:11" ht="14.25" x14ac:dyDescent="0.2">
      <c r="A13" s="335"/>
      <c r="K13" s="352"/>
    </row>
    <row r="14" spans="1:11" ht="14.25" x14ac:dyDescent="0.2">
      <c r="A14" s="335"/>
      <c r="K14" s="352"/>
    </row>
    <row r="15" spans="1:11" ht="14.25" x14ac:dyDescent="0.2">
      <c r="A15" s="335"/>
      <c r="K15" s="352"/>
    </row>
    <row r="16" spans="1:11" ht="14.25" x14ac:dyDescent="0.2">
      <c r="A16" s="335"/>
      <c r="K16" s="352"/>
    </row>
    <row r="17" spans="1:11" ht="14.25" x14ac:dyDescent="0.2">
      <c r="A17" s="335"/>
      <c r="K17" s="352"/>
    </row>
    <row r="18" spans="1:11" ht="14.25" x14ac:dyDescent="0.2">
      <c r="A18" s="335"/>
      <c r="K18" s="352"/>
    </row>
    <row r="19" spans="1:11" ht="14.25" x14ac:dyDescent="0.2">
      <c r="A19" s="335"/>
      <c r="K19" s="352"/>
    </row>
    <row r="20" spans="1:11" ht="14.25" x14ac:dyDescent="0.2">
      <c r="A20" s="335"/>
      <c r="K20" s="352"/>
    </row>
    <row r="21" spans="1:11" ht="14.25" x14ac:dyDescent="0.2">
      <c r="A21" s="335"/>
      <c r="K21" s="352"/>
    </row>
    <row r="22" spans="1:11" ht="14.25" x14ac:dyDescent="0.2">
      <c r="A22" s="335"/>
      <c r="K22" s="352"/>
    </row>
    <row r="23" spans="1:11" ht="14.25" x14ac:dyDescent="0.2">
      <c r="A23" s="335"/>
      <c r="K23" s="352"/>
    </row>
    <row r="24" spans="1:11" ht="14.25" x14ac:dyDescent="0.2">
      <c r="A24" s="335"/>
      <c r="K24" s="352"/>
    </row>
    <row r="25" spans="1:11" ht="14.25" x14ac:dyDescent="0.2">
      <c r="A25" s="335"/>
      <c r="K25" s="352"/>
    </row>
    <row r="26" spans="1:11" ht="14.25" x14ac:dyDescent="0.2">
      <c r="A26" s="335"/>
      <c r="K26" s="352"/>
    </row>
    <row r="27" spans="1:11" ht="14.25" x14ac:dyDescent="0.2">
      <c r="A27" s="335"/>
      <c r="K27" s="352"/>
    </row>
    <row r="28" spans="1:11" ht="14.25" x14ac:dyDescent="0.2">
      <c r="A28" s="335"/>
      <c r="K28" s="352"/>
    </row>
    <row r="29" spans="1:11" ht="14.25" x14ac:dyDescent="0.2">
      <c r="A29" s="335"/>
      <c r="K29" s="352"/>
    </row>
    <row r="30" spans="1:11" x14ac:dyDescent="0.2">
      <c r="K30" s="352"/>
    </row>
    <row r="31" spans="1:11" x14ac:dyDescent="0.2">
      <c r="K31" s="352"/>
    </row>
    <row r="32" spans="1:11" x14ac:dyDescent="0.2">
      <c r="K32" s="352"/>
    </row>
    <row r="33" spans="3:14" x14ac:dyDescent="0.2">
      <c r="K33" s="352"/>
    </row>
    <row r="34" spans="3:14" x14ac:dyDescent="0.2">
      <c r="K34" s="352"/>
    </row>
    <row r="35" spans="3:14" x14ac:dyDescent="0.2">
      <c r="K35" s="352"/>
    </row>
    <row r="36" spans="3:14" x14ac:dyDescent="0.2">
      <c r="K36" s="352"/>
    </row>
    <row r="37" spans="3:14" x14ac:dyDescent="0.2">
      <c r="K37" s="352"/>
    </row>
    <row r="38" spans="3:14" s="11" customFormat="1" x14ac:dyDescent="0.25">
      <c r="C38" s="319"/>
      <c r="D38" s="319"/>
      <c r="E38" s="319"/>
      <c r="F38" s="319"/>
      <c r="G38" s="319"/>
      <c r="H38" s="322"/>
      <c r="I38" s="323"/>
      <c r="J38" s="324"/>
      <c r="K38" s="319"/>
    </row>
    <row r="39" spans="3:14" s="11" customFormat="1" ht="10.15" customHeight="1" x14ac:dyDescent="0.25">
      <c r="C39" s="319"/>
      <c r="D39" s="319"/>
      <c r="E39" s="319"/>
      <c r="F39" s="319"/>
      <c r="G39" s="319"/>
      <c r="H39" s="323"/>
      <c r="I39" s="323"/>
      <c r="J39" s="320"/>
      <c r="K39" s="319"/>
    </row>
    <row r="40" spans="3:14" s="11" customFormat="1" ht="15" customHeight="1" x14ac:dyDescent="0.25">
      <c r="C40" s="331"/>
      <c r="J40" s="319"/>
      <c r="K40" s="419"/>
      <c r="L40" s="419"/>
      <c r="M40" s="419"/>
    </row>
    <row r="41" spans="3:14" s="11" customFormat="1" ht="15" customHeight="1" x14ac:dyDescent="0.25">
      <c r="C41" s="331"/>
      <c r="J41" s="319"/>
      <c r="K41" s="419"/>
      <c r="L41" s="419"/>
      <c r="M41" s="419"/>
    </row>
    <row r="42" spans="3:14" s="11" customFormat="1" ht="15" customHeight="1" x14ac:dyDescent="0.25">
      <c r="C42" s="331"/>
      <c r="G42" s="319"/>
      <c r="H42" s="323"/>
      <c r="I42" s="326"/>
      <c r="J42" s="320"/>
      <c r="K42" s="319"/>
    </row>
    <row r="43" spans="3:14" s="11" customFormat="1" x14ac:dyDescent="0.25">
      <c r="C43" s="319"/>
      <c r="G43" s="319"/>
      <c r="H43" s="319"/>
      <c r="I43" s="319"/>
      <c r="J43" s="319"/>
      <c r="K43" s="319"/>
    </row>
    <row r="44" spans="3:14" x14ac:dyDescent="0.2">
      <c r="H44" s="328"/>
      <c r="I44" s="328"/>
      <c r="L44" s="328"/>
      <c r="M44" s="328"/>
      <c r="N44" s="328"/>
    </row>
    <row r="45" spans="3:14" x14ac:dyDescent="0.2">
      <c r="H45" s="336"/>
      <c r="I45" s="336"/>
      <c r="L45" s="360"/>
      <c r="M45" s="360"/>
      <c r="N45" s="360"/>
    </row>
    <row r="46" spans="3:14" x14ac:dyDescent="0.2">
      <c r="C46" s="328"/>
      <c r="D46" s="328"/>
      <c r="E46" s="328"/>
      <c r="F46" s="328"/>
      <c r="G46" s="328"/>
      <c r="H46" s="328"/>
      <c r="I46" s="328"/>
      <c r="L46" s="360"/>
      <c r="M46" s="360"/>
      <c r="N46" s="360"/>
    </row>
    <row r="47" spans="3:14" x14ac:dyDescent="0.2">
      <c r="C47" s="328"/>
      <c r="D47" s="328"/>
      <c r="E47" s="328"/>
      <c r="F47" s="328"/>
      <c r="G47" s="328"/>
      <c r="H47" s="328"/>
      <c r="I47" s="328"/>
      <c r="L47" s="360"/>
      <c r="M47" s="360"/>
      <c r="N47" s="360"/>
    </row>
    <row r="48" spans="3:14" x14ac:dyDescent="0.2">
      <c r="C48" s="328"/>
      <c r="D48" s="328"/>
      <c r="E48" s="328"/>
      <c r="F48" s="328"/>
      <c r="G48" s="328"/>
      <c r="H48" s="328"/>
      <c r="I48" s="328"/>
      <c r="L48" s="360"/>
      <c r="M48" s="360"/>
      <c r="N48" s="360"/>
    </row>
    <row r="49" spans="2:14" x14ac:dyDescent="0.25">
      <c r="B49" s="361"/>
      <c r="L49" s="360"/>
      <c r="M49" s="360"/>
      <c r="N49" s="360"/>
    </row>
    <row r="50" spans="2:14" x14ac:dyDescent="0.25">
      <c r="B50" s="362"/>
      <c r="C50" s="363"/>
      <c r="D50" s="363"/>
      <c r="E50" s="363"/>
      <c r="F50" s="363"/>
      <c r="G50" s="363"/>
      <c r="H50" s="363"/>
      <c r="I50" s="363"/>
      <c r="L50" s="360"/>
      <c r="M50" s="360"/>
      <c r="N50" s="360"/>
    </row>
    <row r="51" spans="2:14" x14ac:dyDescent="0.25">
      <c r="B51" s="361"/>
      <c r="L51" s="360"/>
      <c r="M51" s="360"/>
      <c r="N51" s="360"/>
    </row>
    <row r="52" spans="2:14" x14ac:dyDescent="0.2">
      <c r="C52" s="364"/>
      <c r="D52" s="364"/>
      <c r="E52" s="364"/>
      <c r="F52" s="364"/>
      <c r="G52" s="364"/>
      <c r="H52" s="364"/>
      <c r="I52" s="364"/>
      <c r="L52" s="360"/>
      <c r="M52" s="360"/>
      <c r="N52" s="360"/>
    </row>
    <row r="53" spans="2:14" x14ac:dyDescent="0.2">
      <c r="C53" s="365"/>
      <c r="D53" s="365"/>
      <c r="E53" s="365"/>
      <c r="F53" s="365"/>
      <c r="G53" s="365"/>
      <c r="H53" s="365"/>
      <c r="I53" s="365"/>
      <c r="L53" s="360"/>
      <c r="M53" s="360"/>
      <c r="N53" s="360"/>
    </row>
    <row r="54" spans="2:14" x14ac:dyDescent="0.25">
      <c r="C54" s="364"/>
      <c r="D54" s="364"/>
      <c r="E54" s="364"/>
      <c r="F54" s="364"/>
      <c r="G54" s="364"/>
      <c r="H54" s="364"/>
      <c r="I54" s="364"/>
      <c r="L54" s="366"/>
      <c r="M54" s="366"/>
      <c r="N54" s="366"/>
    </row>
    <row r="55" spans="2:14" x14ac:dyDescent="0.2">
      <c r="C55" s="365"/>
      <c r="D55" s="365"/>
      <c r="E55" s="365"/>
      <c r="F55" s="365"/>
      <c r="G55" s="365"/>
      <c r="H55" s="365"/>
      <c r="I55" s="365"/>
    </row>
    <row r="56" spans="2:14" x14ac:dyDescent="0.2">
      <c r="C56" s="364"/>
      <c r="D56" s="364"/>
      <c r="E56" s="364"/>
      <c r="F56" s="364"/>
      <c r="G56" s="364"/>
      <c r="H56" s="364"/>
      <c r="I56" s="364"/>
      <c r="L56" s="367"/>
      <c r="M56" s="367"/>
      <c r="N56" s="367"/>
    </row>
    <row r="57" spans="2:14" x14ac:dyDescent="0.25">
      <c r="C57" s="365"/>
      <c r="D57" s="365"/>
      <c r="E57" s="365"/>
      <c r="F57" s="365"/>
      <c r="G57" s="365"/>
      <c r="H57" s="365"/>
      <c r="I57" s="365"/>
      <c r="L57" s="366"/>
      <c r="M57" s="366"/>
      <c r="N57" s="364"/>
    </row>
    <row r="58" spans="2:14" x14ac:dyDescent="0.2">
      <c r="C58" s="328"/>
      <c r="D58" s="328"/>
      <c r="E58" s="328"/>
      <c r="F58" s="328"/>
      <c r="G58" s="328"/>
      <c r="H58" s="328"/>
      <c r="I58" s="328"/>
    </row>
    <row r="59" spans="2:14" x14ac:dyDescent="0.2">
      <c r="C59" s="336"/>
      <c r="D59" s="336"/>
      <c r="E59" s="336"/>
      <c r="F59" s="336"/>
      <c r="G59" s="336"/>
      <c r="H59" s="336"/>
      <c r="I59" s="336"/>
    </row>
    <row r="60" spans="2:14" x14ac:dyDescent="0.2">
      <c r="C60" s="364"/>
      <c r="D60" s="364"/>
      <c r="E60" s="364"/>
      <c r="F60" s="364"/>
      <c r="G60" s="364"/>
      <c r="H60" s="364"/>
      <c r="I60" s="364"/>
    </row>
    <row r="61" spans="2:14" x14ac:dyDescent="0.2">
      <c r="C61" s="364"/>
      <c r="D61" s="364"/>
      <c r="E61" s="364"/>
      <c r="F61" s="364"/>
      <c r="G61" s="364"/>
      <c r="H61" s="364"/>
      <c r="I61" s="364"/>
    </row>
    <row r="62" spans="2:14" x14ac:dyDescent="0.25">
      <c r="B62" s="446"/>
      <c r="C62" s="447"/>
      <c r="D62" s="447"/>
      <c r="E62" s="447"/>
      <c r="F62" s="447"/>
      <c r="G62" s="447"/>
      <c r="H62" s="447"/>
      <c r="I62" s="447"/>
    </row>
    <row r="63" spans="2:14" x14ac:dyDescent="0.2">
      <c r="C63" s="364"/>
      <c r="D63" s="364"/>
      <c r="E63" s="364"/>
      <c r="F63" s="364"/>
      <c r="G63" s="364"/>
      <c r="H63" s="364"/>
      <c r="I63" s="364"/>
    </row>
    <row r="64" spans="2:14" x14ac:dyDescent="0.2">
      <c r="C64" s="364"/>
      <c r="D64" s="364"/>
      <c r="E64" s="364"/>
      <c r="F64" s="364"/>
      <c r="G64" s="364"/>
      <c r="H64" s="364"/>
      <c r="I64" s="364"/>
    </row>
    <row r="65" spans="2:9" x14ac:dyDescent="0.2">
      <c r="C65" s="364"/>
      <c r="D65" s="364"/>
      <c r="E65" s="364"/>
      <c r="F65" s="364"/>
      <c r="G65" s="364"/>
      <c r="H65" s="364"/>
      <c r="I65" s="364"/>
    </row>
    <row r="66" spans="2:9" x14ac:dyDescent="0.2">
      <c r="C66" s="364"/>
      <c r="D66" s="364"/>
      <c r="E66" s="364"/>
      <c r="F66" s="364"/>
      <c r="G66" s="364"/>
      <c r="H66" s="364"/>
      <c r="I66" s="364"/>
    </row>
    <row r="67" spans="2:9" x14ac:dyDescent="0.2">
      <c r="C67" s="368"/>
      <c r="D67" s="368"/>
      <c r="E67" s="368"/>
      <c r="F67" s="368"/>
      <c r="G67" s="368"/>
      <c r="H67" s="368"/>
      <c r="I67" s="368"/>
    </row>
    <row r="68" spans="2:9" x14ac:dyDescent="0.2">
      <c r="C68" s="368"/>
      <c r="D68" s="368"/>
      <c r="E68" s="368"/>
      <c r="F68" s="368"/>
      <c r="G68" s="368"/>
      <c r="H68" s="368"/>
      <c r="I68" s="368"/>
    </row>
    <row r="69" spans="2:9" x14ac:dyDescent="0.25">
      <c r="B69" s="446"/>
      <c r="C69" s="447"/>
      <c r="D69" s="447"/>
      <c r="E69" s="447"/>
      <c r="F69" s="447"/>
      <c r="G69" s="447"/>
      <c r="H69" s="447"/>
      <c r="I69" s="447"/>
    </row>
    <row r="70" spans="2:9" x14ac:dyDescent="0.2">
      <c r="C70" s="328"/>
      <c r="D70" s="328"/>
      <c r="E70" s="328"/>
      <c r="F70" s="328"/>
      <c r="G70" s="328"/>
      <c r="H70" s="328"/>
      <c r="I70" s="328"/>
    </row>
    <row r="71" spans="2:9" x14ac:dyDescent="0.2">
      <c r="C71" s="336"/>
      <c r="D71" s="336"/>
      <c r="E71" s="336"/>
      <c r="F71" s="336"/>
      <c r="G71" s="336"/>
      <c r="H71" s="336"/>
      <c r="I71" s="365"/>
    </row>
    <row r="72" spans="2:9" x14ac:dyDescent="0.2">
      <c r="C72" s="336"/>
      <c r="D72" s="336"/>
      <c r="E72" s="336"/>
      <c r="F72" s="336"/>
      <c r="G72" s="336"/>
      <c r="H72" s="336"/>
      <c r="I72" s="367"/>
    </row>
    <row r="73" spans="2:9" x14ac:dyDescent="0.25">
      <c r="C73" s="336"/>
      <c r="D73" s="336"/>
      <c r="E73" s="336"/>
      <c r="F73" s="336"/>
      <c r="G73" s="336"/>
      <c r="H73" s="336"/>
      <c r="I73" s="366"/>
    </row>
    <row r="74" spans="2:9" x14ac:dyDescent="0.2">
      <c r="C74" s="336"/>
      <c r="I74" s="365"/>
    </row>
    <row r="75" spans="2:9" x14ac:dyDescent="0.25">
      <c r="B75" s="361"/>
      <c r="C75" s="328"/>
      <c r="D75" s="328"/>
      <c r="E75" s="328"/>
      <c r="F75" s="328"/>
      <c r="G75" s="328"/>
      <c r="H75" s="328"/>
      <c r="I75" s="369"/>
    </row>
    <row r="76" spans="2:9" x14ac:dyDescent="0.25">
      <c r="B76" s="361"/>
      <c r="C76" s="328"/>
      <c r="D76" s="328"/>
      <c r="E76" s="328"/>
      <c r="F76" s="328"/>
      <c r="G76" s="328"/>
      <c r="H76" s="328"/>
      <c r="I76" s="369"/>
    </row>
    <row r="77" spans="2:9" x14ac:dyDescent="0.2">
      <c r="C77" s="367"/>
      <c r="D77" s="367"/>
      <c r="E77" s="367"/>
      <c r="F77" s="367"/>
      <c r="G77" s="367"/>
      <c r="H77" s="367"/>
      <c r="I77" s="369"/>
    </row>
    <row r="78" spans="2:9" x14ac:dyDescent="0.25">
      <c r="C78" s="366"/>
      <c r="D78" s="366"/>
      <c r="E78" s="366"/>
      <c r="F78" s="366"/>
      <c r="G78" s="366"/>
      <c r="H78" s="366"/>
      <c r="I78" s="369"/>
    </row>
    <row r="79" spans="2:9" x14ac:dyDescent="0.2">
      <c r="I79" s="369"/>
    </row>
    <row r="80" spans="2:9" x14ac:dyDescent="0.25">
      <c r="B80" s="446"/>
      <c r="C80" s="447"/>
      <c r="F80" s="446"/>
      <c r="G80" s="447"/>
      <c r="I80" s="369"/>
    </row>
    <row r="81" spans="3:9" x14ac:dyDescent="0.25">
      <c r="C81" s="370"/>
      <c r="D81" s="369"/>
      <c r="E81" s="369"/>
      <c r="F81" s="371"/>
      <c r="G81" s="370"/>
      <c r="I81" s="369"/>
    </row>
    <row r="82" spans="3:9" x14ac:dyDescent="0.25">
      <c r="C82" s="372"/>
      <c r="D82" s="369"/>
      <c r="E82" s="369"/>
      <c r="F82" s="371"/>
      <c r="G82" s="370"/>
      <c r="I82" s="369"/>
    </row>
    <row r="83" spans="3:9" x14ac:dyDescent="0.25">
      <c r="C83" s="370"/>
      <c r="D83" s="369"/>
      <c r="E83" s="369"/>
      <c r="F83" s="371"/>
      <c r="G83" s="372"/>
    </row>
    <row r="84" spans="3:9" x14ac:dyDescent="0.25">
      <c r="C84" s="373"/>
      <c r="D84" s="369"/>
      <c r="E84" s="369"/>
      <c r="F84" s="374"/>
      <c r="G84" s="375"/>
      <c r="H84" s="376"/>
    </row>
    <row r="85" spans="3:9" x14ac:dyDescent="0.25">
      <c r="C85" s="366"/>
      <c r="D85" s="369"/>
      <c r="E85" s="369"/>
    </row>
    <row r="86" spans="3:9" x14ac:dyDescent="0.2">
      <c r="C86" s="369"/>
    </row>
  </sheetData>
  <mergeCells count="8">
    <mergeCell ref="K40:M40"/>
    <mergeCell ref="K41:M41"/>
    <mergeCell ref="B80:C80"/>
    <mergeCell ref="F80:G80"/>
    <mergeCell ref="B4:C4"/>
    <mergeCell ref="B11:C11"/>
    <mergeCell ref="B62:I62"/>
    <mergeCell ref="B69:I69"/>
  </mergeCells>
  <pageMargins left="0.7" right="0.7" top="0.75" bottom="0.75" header="0.3" footer="0.3"/>
  <pageSetup scale="47"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CD1B-12F3-4480-9DFB-24B5D218826B}">
  <sheetPr codeName="Sheet6">
    <tabColor rgb="FF393F47"/>
    <pageSetUpPr fitToPage="1"/>
  </sheetPr>
  <dimension ref="A1:N86"/>
  <sheetViews>
    <sheetView tabSelected="1" zoomScaleNormal="100" workbookViewId="0">
      <selection activeCell="G28" sqref="G28"/>
    </sheetView>
  </sheetViews>
  <sheetFormatPr defaultColWidth="9.140625" defaultRowHeight="18" x14ac:dyDescent="0.2"/>
  <cols>
    <col min="1" max="1" width="4.28515625" style="11" customWidth="1"/>
    <col min="2" max="2" width="31.85546875" style="327" customWidth="1"/>
    <col min="3" max="3" width="40.7109375" style="327" customWidth="1"/>
    <col min="4" max="4" width="23.42578125" style="327" customWidth="1"/>
    <col min="5" max="5" width="4.5703125" style="327" customWidth="1"/>
    <col min="6" max="6" width="30.7109375" style="327" customWidth="1"/>
    <col min="7" max="7" width="40.7109375" style="327" customWidth="1"/>
    <col min="8" max="8" width="14.42578125" style="327" bestFit="1" customWidth="1"/>
    <col min="9" max="9" width="9.28515625" style="327" customWidth="1"/>
    <col min="10" max="10" width="14.85546875" style="327" customWidth="1"/>
    <col min="11" max="11" width="16.5703125" style="327" bestFit="1" customWidth="1"/>
    <col min="12" max="12" width="12.5703125" style="327" customWidth="1"/>
    <col min="13" max="13" width="11.140625" style="327" customWidth="1"/>
    <col min="14" max="14" width="14.140625" style="327" customWidth="1"/>
    <col min="15" max="16384" width="9.140625" style="327"/>
  </cols>
  <sheetData>
    <row r="1" spans="1:11" ht="14.25" x14ac:dyDescent="0.2">
      <c r="A1" s="327"/>
    </row>
    <row r="2" spans="1:11" ht="20.25" x14ac:dyDescent="0.3">
      <c r="A2" s="355"/>
      <c r="B2" s="356" t="str">
        <f>Instructions!B3</f>
        <v>Comparing Complex Deal Structures</v>
      </c>
      <c r="C2" s="356"/>
      <c r="D2" s="356"/>
      <c r="E2" s="356"/>
      <c r="F2" s="356"/>
      <c r="G2" s="356"/>
      <c r="H2" s="356"/>
      <c r="I2" s="356"/>
      <c r="J2" s="356"/>
    </row>
    <row r="3" spans="1:11" ht="20.25" x14ac:dyDescent="0.3">
      <c r="B3" s="357"/>
      <c r="C3" s="357"/>
      <c r="D3" s="357"/>
      <c r="E3" s="357"/>
      <c r="F3" s="357"/>
      <c r="G3" s="357"/>
      <c r="H3" s="357"/>
      <c r="I3" s="357"/>
      <c r="J3" s="357"/>
    </row>
    <row r="4" spans="1:11" ht="20.45" customHeight="1" x14ac:dyDescent="0.3">
      <c r="A4" s="358"/>
      <c r="B4" s="448" t="s">
        <v>360</v>
      </c>
      <c r="C4" s="448"/>
      <c r="D4" s="357"/>
      <c r="E4" s="357"/>
      <c r="F4" s="357"/>
      <c r="G4" s="357"/>
      <c r="H4" s="357"/>
      <c r="I4" s="357"/>
      <c r="J4" s="357"/>
    </row>
    <row r="5" spans="1:11" ht="15" x14ac:dyDescent="0.2">
      <c r="A5" s="359"/>
      <c r="G5" s="353"/>
      <c r="K5" s="352"/>
    </row>
    <row r="6" spans="1:11" ht="15.75" x14ac:dyDescent="0.2">
      <c r="A6" s="335"/>
      <c r="B6" s="350"/>
      <c r="C6" s="350"/>
      <c r="F6" s="351"/>
      <c r="K6" s="352"/>
    </row>
    <row r="7" spans="1:11" ht="14.25" x14ac:dyDescent="0.2">
      <c r="A7" s="335"/>
      <c r="K7" s="352"/>
    </row>
    <row r="8" spans="1:11" x14ac:dyDescent="0.2">
      <c r="K8" s="352"/>
    </row>
    <row r="9" spans="1:11" x14ac:dyDescent="0.2">
      <c r="G9" s="350"/>
      <c r="K9" s="352"/>
    </row>
    <row r="10" spans="1:11" x14ac:dyDescent="0.2">
      <c r="G10" s="353"/>
      <c r="K10" s="352"/>
    </row>
    <row r="11" spans="1:11" ht="15.75" x14ac:dyDescent="0.2">
      <c r="A11" s="335"/>
      <c r="B11" s="449"/>
      <c r="C11" s="449"/>
      <c r="G11" s="354"/>
      <c r="K11" s="352"/>
    </row>
    <row r="12" spans="1:11" ht="14.25" x14ac:dyDescent="0.2">
      <c r="A12" s="335"/>
      <c r="G12" s="353"/>
      <c r="K12" s="352"/>
    </row>
    <row r="13" spans="1:11" ht="14.25" x14ac:dyDescent="0.2">
      <c r="A13" s="335"/>
      <c r="K13" s="352"/>
    </row>
    <row r="14" spans="1:11" ht="14.25" x14ac:dyDescent="0.2">
      <c r="A14" s="335"/>
      <c r="K14" s="352"/>
    </row>
    <row r="15" spans="1:11" ht="14.25" x14ac:dyDescent="0.2">
      <c r="A15" s="335"/>
      <c r="K15" s="352"/>
    </row>
    <row r="16" spans="1:11" ht="14.25" x14ac:dyDescent="0.2">
      <c r="A16" s="335"/>
      <c r="K16" s="352"/>
    </row>
    <row r="17" spans="1:11" ht="14.25" x14ac:dyDescent="0.2">
      <c r="A17" s="335"/>
      <c r="K17" s="352"/>
    </row>
    <row r="18" spans="1:11" ht="14.25" x14ac:dyDescent="0.2">
      <c r="A18" s="335"/>
      <c r="K18" s="352"/>
    </row>
    <row r="19" spans="1:11" ht="14.25" x14ac:dyDescent="0.2">
      <c r="A19" s="335"/>
      <c r="K19" s="352"/>
    </row>
    <row r="20" spans="1:11" ht="14.25" x14ac:dyDescent="0.2">
      <c r="A20" s="335"/>
      <c r="K20" s="352"/>
    </row>
    <row r="21" spans="1:11" ht="14.25" x14ac:dyDescent="0.2">
      <c r="A21" s="335"/>
      <c r="K21" s="352"/>
    </row>
    <row r="22" spans="1:11" ht="14.25" x14ac:dyDescent="0.2">
      <c r="A22" s="335"/>
      <c r="K22" s="352"/>
    </row>
    <row r="23" spans="1:11" ht="14.25" x14ac:dyDescent="0.2">
      <c r="A23" s="335"/>
      <c r="K23" s="352"/>
    </row>
    <row r="24" spans="1:11" ht="14.25" x14ac:dyDescent="0.2">
      <c r="A24" s="335"/>
      <c r="K24" s="352"/>
    </row>
    <row r="25" spans="1:11" ht="14.25" x14ac:dyDescent="0.2">
      <c r="A25" s="335"/>
      <c r="K25" s="352"/>
    </row>
    <row r="26" spans="1:11" ht="14.25" x14ac:dyDescent="0.2">
      <c r="A26" s="335"/>
      <c r="K26" s="352"/>
    </row>
    <row r="27" spans="1:11" ht="14.25" x14ac:dyDescent="0.2">
      <c r="A27" s="335"/>
      <c r="K27" s="352"/>
    </row>
    <row r="28" spans="1:11" ht="14.25" x14ac:dyDescent="0.2">
      <c r="A28" s="335"/>
      <c r="K28" s="352"/>
    </row>
    <row r="29" spans="1:11" ht="14.25" x14ac:dyDescent="0.2">
      <c r="A29" s="335"/>
      <c r="K29" s="352"/>
    </row>
    <row r="30" spans="1:11" x14ac:dyDescent="0.2">
      <c r="K30" s="352"/>
    </row>
    <row r="31" spans="1:11" x14ac:dyDescent="0.2">
      <c r="K31" s="352"/>
    </row>
    <row r="32" spans="1:11" x14ac:dyDescent="0.2">
      <c r="K32" s="352"/>
    </row>
    <row r="33" spans="3:14" x14ac:dyDescent="0.2">
      <c r="K33" s="352"/>
    </row>
    <row r="34" spans="3:14" x14ac:dyDescent="0.2">
      <c r="K34" s="352"/>
    </row>
    <row r="35" spans="3:14" x14ac:dyDescent="0.2">
      <c r="K35" s="352"/>
    </row>
    <row r="36" spans="3:14" x14ac:dyDescent="0.2">
      <c r="K36" s="352"/>
    </row>
    <row r="37" spans="3:14" x14ac:dyDescent="0.2">
      <c r="K37" s="352"/>
    </row>
    <row r="38" spans="3:14" s="11" customFormat="1" x14ac:dyDescent="0.25">
      <c r="C38" s="319"/>
      <c r="D38" s="319"/>
      <c r="E38" s="319"/>
      <c r="F38" s="319"/>
      <c r="G38" s="319"/>
      <c r="H38" s="322"/>
      <c r="I38" s="323"/>
      <c r="J38" s="324"/>
      <c r="K38" s="319"/>
    </row>
    <row r="39" spans="3:14" s="11" customFormat="1" ht="10.15" customHeight="1" x14ac:dyDescent="0.25">
      <c r="C39" s="319"/>
      <c r="D39" s="319"/>
      <c r="E39" s="319"/>
      <c r="F39" s="319"/>
      <c r="G39" s="319"/>
      <c r="H39" s="323"/>
      <c r="I39" s="323"/>
      <c r="J39" s="320"/>
      <c r="K39" s="319"/>
    </row>
    <row r="40" spans="3:14" s="11" customFormat="1" ht="15" customHeight="1" x14ac:dyDescent="0.25">
      <c r="C40" s="331"/>
      <c r="J40" s="319"/>
      <c r="K40" s="419"/>
      <c r="L40" s="419"/>
      <c r="M40" s="419"/>
    </row>
    <row r="41" spans="3:14" s="11" customFormat="1" ht="15" customHeight="1" x14ac:dyDescent="0.25">
      <c r="C41" s="331"/>
      <c r="J41" s="319"/>
      <c r="K41" s="419"/>
      <c r="L41" s="419"/>
      <c r="M41" s="419"/>
    </row>
    <row r="42" spans="3:14" s="11" customFormat="1" ht="15" customHeight="1" x14ac:dyDescent="0.25">
      <c r="C42" s="331"/>
      <c r="G42" s="319"/>
      <c r="H42" s="323"/>
      <c r="I42" s="326"/>
      <c r="J42" s="320"/>
      <c r="K42" s="319"/>
    </row>
    <row r="43" spans="3:14" s="11" customFormat="1" x14ac:dyDescent="0.25">
      <c r="C43" s="319"/>
      <c r="G43" s="319"/>
      <c r="H43" s="319"/>
      <c r="I43" s="319"/>
      <c r="J43" s="319"/>
      <c r="K43" s="319"/>
    </row>
    <row r="44" spans="3:14" x14ac:dyDescent="0.2">
      <c r="H44" s="328"/>
      <c r="I44" s="328"/>
      <c r="L44" s="328"/>
      <c r="M44" s="328"/>
      <c r="N44" s="328"/>
    </row>
    <row r="45" spans="3:14" x14ac:dyDescent="0.2">
      <c r="H45" s="336"/>
      <c r="I45" s="336"/>
      <c r="L45" s="360"/>
      <c r="M45" s="360"/>
      <c r="N45" s="360"/>
    </row>
    <row r="46" spans="3:14" x14ac:dyDescent="0.2">
      <c r="C46" s="328"/>
      <c r="D46" s="328"/>
      <c r="E46" s="328"/>
      <c r="F46" s="328"/>
      <c r="G46" s="328"/>
      <c r="H46" s="328"/>
      <c r="I46" s="328"/>
      <c r="L46" s="360"/>
      <c r="M46" s="360"/>
      <c r="N46" s="360"/>
    </row>
    <row r="47" spans="3:14" x14ac:dyDescent="0.2">
      <c r="C47" s="328"/>
      <c r="D47" s="328"/>
      <c r="E47" s="328"/>
      <c r="F47" s="328"/>
      <c r="G47" s="328"/>
      <c r="H47" s="328"/>
      <c r="I47" s="328"/>
      <c r="L47" s="360"/>
      <c r="M47" s="360"/>
      <c r="N47" s="360"/>
    </row>
    <row r="48" spans="3:14" x14ac:dyDescent="0.2">
      <c r="C48" s="328"/>
      <c r="D48" s="328"/>
      <c r="E48" s="328"/>
      <c r="F48" s="328"/>
      <c r="G48" s="328"/>
      <c r="H48" s="328"/>
      <c r="I48" s="328"/>
      <c r="L48" s="360"/>
      <c r="M48" s="360"/>
      <c r="N48" s="360"/>
    </row>
    <row r="49" spans="2:14" x14ac:dyDescent="0.25">
      <c r="B49" s="361"/>
      <c r="L49" s="360"/>
      <c r="M49" s="360"/>
      <c r="N49" s="360"/>
    </row>
    <row r="50" spans="2:14" x14ac:dyDescent="0.25">
      <c r="B50" s="362"/>
      <c r="C50" s="363"/>
      <c r="D50" s="363"/>
      <c r="E50" s="363"/>
      <c r="F50" s="363"/>
      <c r="G50" s="363"/>
      <c r="H50" s="363"/>
      <c r="I50" s="363"/>
      <c r="L50" s="360"/>
      <c r="M50" s="360"/>
      <c r="N50" s="360"/>
    </row>
    <row r="51" spans="2:14" x14ac:dyDescent="0.25">
      <c r="B51" s="361"/>
      <c r="L51" s="360"/>
      <c r="M51" s="360"/>
      <c r="N51" s="360"/>
    </row>
    <row r="52" spans="2:14" x14ac:dyDescent="0.2">
      <c r="C52" s="364"/>
      <c r="D52" s="364"/>
      <c r="E52" s="364"/>
      <c r="F52" s="364"/>
      <c r="G52" s="364"/>
      <c r="H52" s="364"/>
      <c r="I52" s="364"/>
      <c r="L52" s="360"/>
      <c r="M52" s="360"/>
      <c r="N52" s="360"/>
    </row>
    <row r="53" spans="2:14" x14ac:dyDescent="0.2">
      <c r="C53" s="365"/>
      <c r="D53" s="365"/>
      <c r="E53" s="365"/>
      <c r="F53" s="365"/>
      <c r="G53" s="365"/>
      <c r="H53" s="365"/>
      <c r="I53" s="365"/>
      <c r="L53" s="360"/>
      <c r="M53" s="360"/>
      <c r="N53" s="360"/>
    </row>
    <row r="54" spans="2:14" x14ac:dyDescent="0.25">
      <c r="C54" s="364"/>
      <c r="D54" s="364"/>
      <c r="E54" s="364"/>
      <c r="F54" s="364"/>
      <c r="G54" s="364"/>
      <c r="H54" s="364"/>
      <c r="I54" s="364"/>
      <c r="L54" s="366"/>
      <c r="M54" s="366"/>
      <c r="N54" s="366"/>
    </row>
    <row r="55" spans="2:14" x14ac:dyDescent="0.2">
      <c r="C55" s="365"/>
      <c r="D55" s="365"/>
      <c r="E55" s="365"/>
      <c r="F55" s="365"/>
      <c r="G55" s="365"/>
      <c r="H55" s="365"/>
      <c r="I55" s="365"/>
    </row>
    <row r="56" spans="2:14" x14ac:dyDescent="0.2">
      <c r="C56" s="364"/>
      <c r="D56" s="364"/>
      <c r="E56" s="364"/>
      <c r="F56" s="364"/>
      <c r="G56" s="364"/>
      <c r="H56" s="364"/>
      <c r="I56" s="364"/>
      <c r="L56" s="367"/>
      <c r="M56" s="367"/>
      <c r="N56" s="367"/>
    </row>
    <row r="57" spans="2:14" x14ac:dyDescent="0.25">
      <c r="C57" s="365"/>
      <c r="D57" s="365"/>
      <c r="E57" s="365"/>
      <c r="F57" s="365"/>
      <c r="G57" s="365"/>
      <c r="H57" s="365"/>
      <c r="I57" s="365"/>
      <c r="L57" s="366"/>
      <c r="M57" s="366"/>
      <c r="N57" s="364"/>
    </row>
    <row r="58" spans="2:14" x14ac:dyDescent="0.2">
      <c r="C58" s="328"/>
      <c r="D58" s="328"/>
      <c r="E58" s="328"/>
      <c r="F58" s="328"/>
      <c r="G58" s="328"/>
      <c r="H58" s="328"/>
      <c r="I58" s="328"/>
    </row>
    <row r="59" spans="2:14" x14ac:dyDescent="0.2">
      <c r="C59" s="336"/>
      <c r="D59" s="336"/>
      <c r="E59" s="336"/>
      <c r="F59" s="336"/>
      <c r="G59" s="336"/>
      <c r="H59" s="336"/>
      <c r="I59" s="336"/>
    </row>
    <row r="60" spans="2:14" x14ac:dyDescent="0.2">
      <c r="C60" s="364"/>
      <c r="D60" s="364"/>
      <c r="E60" s="364"/>
      <c r="F60" s="364"/>
      <c r="G60" s="364"/>
      <c r="H60" s="364"/>
      <c r="I60" s="364"/>
    </row>
    <row r="61" spans="2:14" x14ac:dyDescent="0.2">
      <c r="C61" s="364"/>
      <c r="D61" s="364"/>
      <c r="E61" s="364"/>
      <c r="F61" s="364"/>
      <c r="G61" s="364"/>
      <c r="H61" s="364"/>
      <c r="I61" s="364"/>
    </row>
    <row r="62" spans="2:14" x14ac:dyDescent="0.25">
      <c r="B62" s="446"/>
      <c r="C62" s="447"/>
      <c r="D62" s="447"/>
      <c r="E62" s="447"/>
      <c r="F62" s="447"/>
      <c r="G62" s="447"/>
      <c r="H62" s="447"/>
      <c r="I62" s="447"/>
    </row>
    <row r="63" spans="2:14" x14ac:dyDescent="0.2">
      <c r="C63" s="364"/>
      <c r="D63" s="364"/>
      <c r="E63" s="364"/>
      <c r="F63" s="364"/>
      <c r="G63" s="364"/>
      <c r="H63" s="364"/>
      <c r="I63" s="364"/>
    </row>
    <row r="64" spans="2:14" x14ac:dyDescent="0.2">
      <c r="C64" s="364"/>
      <c r="D64" s="364"/>
      <c r="E64" s="364"/>
      <c r="F64" s="364"/>
      <c r="G64" s="364"/>
      <c r="H64" s="364"/>
      <c r="I64" s="364"/>
    </row>
    <row r="65" spans="2:9" x14ac:dyDescent="0.2">
      <c r="C65" s="364"/>
      <c r="D65" s="364"/>
      <c r="E65" s="364"/>
      <c r="F65" s="364"/>
      <c r="G65" s="364"/>
      <c r="H65" s="364"/>
      <c r="I65" s="364"/>
    </row>
    <row r="66" spans="2:9" x14ac:dyDescent="0.2">
      <c r="C66" s="364"/>
      <c r="D66" s="364"/>
      <c r="E66" s="364"/>
      <c r="F66" s="364"/>
      <c r="G66" s="364"/>
      <c r="H66" s="364"/>
      <c r="I66" s="364"/>
    </row>
    <row r="67" spans="2:9" x14ac:dyDescent="0.2">
      <c r="C67" s="368"/>
      <c r="D67" s="368"/>
      <c r="E67" s="368"/>
      <c r="F67" s="368"/>
      <c r="G67" s="368"/>
      <c r="H67" s="368"/>
      <c r="I67" s="368"/>
    </row>
    <row r="68" spans="2:9" x14ac:dyDescent="0.2">
      <c r="C68" s="368"/>
      <c r="D68" s="368"/>
      <c r="E68" s="368"/>
      <c r="F68" s="368"/>
      <c r="G68" s="368"/>
      <c r="H68" s="368"/>
      <c r="I68" s="368"/>
    </row>
    <row r="69" spans="2:9" x14ac:dyDescent="0.25">
      <c r="B69" s="446"/>
      <c r="C69" s="447"/>
      <c r="D69" s="447"/>
      <c r="E69" s="447"/>
      <c r="F69" s="447"/>
      <c r="G69" s="447"/>
      <c r="H69" s="447"/>
      <c r="I69" s="447"/>
    </row>
    <row r="70" spans="2:9" x14ac:dyDescent="0.2">
      <c r="C70" s="328"/>
      <c r="D70" s="328"/>
      <c r="E70" s="328"/>
      <c r="F70" s="328"/>
      <c r="G70" s="328"/>
      <c r="H70" s="328"/>
      <c r="I70" s="328"/>
    </row>
    <row r="71" spans="2:9" x14ac:dyDescent="0.2">
      <c r="C71" s="336"/>
      <c r="D71" s="336"/>
      <c r="E71" s="336"/>
      <c r="F71" s="336"/>
      <c r="G71" s="336"/>
      <c r="H71" s="336"/>
      <c r="I71" s="365"/>
    </row>
    <row r="72" spans="2:9" x14ac:dyDescent="0.2">
      <c r="C72" s="336"/>
      <c r="D72" s="336"/>
      <c r="E72" s="336"/>
      <c r="F72" s="336"/>
      <c r="G72" s="336"/>
      <c r="H72" s="336"/>
      <c r="I72" s="367"/>
    </row>
    <row r="73" spans="2:9" x14ac:dyDescent="0.25">
      <c r="C73" s="336"/>
      <c r="D73" s="336"/>
      <c r="E73" s="336"/>
      <c r="F73" s="336"/>
      <c r="G73" s="336"/>
      <c r="H73" s="336"/>
      <c r="I73" s="366"/>
    </row>
    <row r="74" spans="2:9" x14ac:dyDescent="0.2">
      <c r="C74" s="336"/>
      <c r="I74" s="365"/>
    </row>
    <row r="75" spans="2:9" x14ac:dyDescent="0.25">
      <c r="B75" s="361"/>
      <c r="C75" s="328"/>
      <c r="D75" s="328"/>
      <c r="E75" s="328"/>
      <c r="F75" s="328"/>
      <c r="G75" s="328"/>
      <c r="H75" s="328"/>
      <c r="I75" s="369"/>
    </row>
    <row r="76" spans="2:9" x14ac:dyDescent="0.25">
      <c r="B76" s="361"/>
      <c r="C76" s="328"/>
      <c r="D76" s="328"/>
      <c r="E76" s="328"/>
      <c r="F76" s="328"/>
      <c r="G76" s="328"/>
      <c r="H76" s="328"/>
      <c r="I76" s="369"/>
    </row>
    <row r="77" spans="2:9" x14ac:dyDescent="0.2">
      <c r="C77" s="367"/>
      <c r="D77" s="367"/>
      <c r="E77" s="367"/>
      <c r="F77" s="367"/>
      <c r="G77" s="367"/>
      <c r="H77" s="367"/>
      <c r="I77" s="369"/>
    </row>
    <row r="78" spans="2:9" x14ac:dyDescent="0.25">
      <c r="C78" s="366"/>
      <c r="D78" s="366"/>
      <c r="E78" s="366"/>
      <c r="F78" s="366"/>
      <c r="G78" s="366"/>
      <c r="H78" s="366"/>
      <c r="I78" s="369"/>
    </row>
    <row r="79" spans="2:9" x14ac:dyDescent="0.2">
      <c r="I79" s="369"/>
    </row>
    <row r="80" spans="2:9" x14ac:dyDescent="0.25">
      <c r="B80" s="446"/>
      <c r="C80" s="447"/>
      <c r="F80" s="446"/>
      <c r="G80" s="447"/>
      <c r="I80" s="369"/>
    </row>
    <row r="81" spans="3:9" x14ac:dyDescent="0.25">
      <c r="C81" s="370"/>
      <c r="D81" s="369"/>
      <c r="E81" s="369"/>
      <c r="F81" s="371"/>
      <c r="G81" s="370"/>
      <c r="I81" s="369"/>
    </row>
    <row r="82" spans="3:9" x14ac:dyDescent="0.25">
      <c r="C82" s="372"/>
      <c r="D82" s="369"/>
      <c r="E82" s="369"/>
      <c r="F82" s="371"/>
      <c r="G82" s="370"/>
      <c r="I82" s="369"/>
    </row>
    <row r="83" spans="3:9" x14ac:dyDescent="0.25">
      <c r="C83" s="370"/>
      <c r="D83" s="369"/>
      <c r="E83" s="369"/>
      <c r="F83" s="371"/>
      <c r="G83" s="372"/>
    </row>
    <row r="84" spans="3:9" x14ac:dyDescent="0.25">
      <c r="C84" s="373"/>
      <c r="D84" s="369"/>
      <c r="E84" s="369"/>
      <c r="F84" s="374"/>
      <c r="G84" s="375"/>
      <c r="H84" s="376"/>
    </row>
    <row r="85" spans="3:9" x14ac:dyDescent="0.25">
      <c r="C85" s="366"/>
      <c r="D85" s="369"/>
      <c r="E85" s="369"/>
    </row>
    <row r="86" spans="3:9" x14ac:dyDescent="0.2">
      <c r="C86" s="369"/>
    </row>
  </sheetData>
  <mergeCells count="8">
    <mergeCell ref="K40:M40"/>
    <mergeCell ref="K41:M41"/>
    <mergeCell ref="B80:C80"/>
    <mergeCell ref="F80:G80"/>
    <mergeCell ref="B4:C4"/>
    <mergeCell ref="B11:C11"/>
    <mergeCell ref="B62:I62"/>
    <mergeCell ref="B69:I69"/>
  </mergeCells>
  <pageMargins left="0.7" right="0.7" top="0.75" bottom="0.75" header="0.3" footer="0.3"/>
  <pageSetup scale="47"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7C90-8822-4113-B4C1-5E0A88F3731E}">
  <sheetPr codeName="Sheet7">
    <tabColor rgb="FF2F75B5"/>
    <pageSetUpPr fitToPage="1"/>
  </sheetPr>
  <dimension ref="A1:U73"/>
  <sheetViews>
    <sheetView tabSelected="1" workbookViewId="0">
      <selection activeCell="G28" sqref="G28"/>
    </sheetView>
  </sheetViews>
  <sheetFormatPr defaultColWidth="9.140625" defaultRowHeight="18" x14ac:dyDescent="0.2"/>
  <cols>
    <col min="1" max="1" width="4.28515625" style="14" customWidth="1"/>
    <col min="2" max="2" width="34.7109375" style="16" customWidth="1"/>
    <col min="3" max="17" width="16.7109375" style="16" customWidth="1"/>
    <col min="18" max="19" width="9.140625" style="16"/>
    <col min="20" max="20" width="15.5703125" style="16" bestFit="1" customWidth="1"/>
    <col min="21" max="16384" width="9.140625" style="16"/>
  </cols>
  <sheetData>
    <row r="1" spans="1:21" ht="14.25" x14ac:dyDescent="0.2">
      <c r="A1" s="16"/>
    </row>
    <row r="2" spans="1:21" ht="20.25" x14ac:dyDescent="0.3">
      <c r="A2" s="17"/>
      <c r="B2" s="18" t="str">
        <f>Inputs!B2</f>
        <v>Comparing Complex Deal Structures</v>
      </c>
      <c r="C2" s="18"/>
      <c r="D2" s="18"/>
      <c r="E2" s="18"/>
      <c r="F2" s="18"/>
      <c r="G2" s="18"/>
      <c r="H2" s="18"/>
      <c r="I2" s="18"/>
    </row>
    <row r="3" spans="1:21" ht="20.25" x14ac:dyDescent="0.3">
      <c r="B3" s="19"/>
      <c r="C3" s="19"/>
      <c r="D3" s="19"/>
      <c r="E3" s="156" t="str">
        <f ca="1">"Vacancy Rate - "&amp;E4</f>
        <v>Vacancy Rate - Best Case</v>
      </c>
      <c r="F3" s="19"/>
      <c r="G3" s="19"/>
      <c r="H3" s="19"/>
      <c r="I3" s="19"/>
    </row>
    <row r="4" spans="1:21" ht="20.45" customHeight="1" x14ac:dyDescent="0.3">
      <c r="A4" s="20"/>
      <c r="B4" s="128" t="s">
        <v>300</v>
      </c>
      <c r="C4" s="450" t="s">
        <v>301</v>
      </c>
      <c r="D4" s="450"/>
      <c r="E4" s="451" t="str">
        <f ca="1">D9</f>
        <v>Best Case</v>
      </c>
      <c r="F4" s="452"/>
      <c r="G4" s="157"/>
      <c r="H4" s="157"/>
      <c r="I4" s="19"/>
    </row>
    <row r="5" spans="1:21" s="21" customFormat="1" ht="10.15" customHeight="1" x14ac:dyDescent="0.25">
      <c r="B5" s="22"/>
      <c r="C5" s="23"/>
      <c r="D5" s="23"/>
      <c r="E5" s="23"/>
      <c r="F5" s="14"/>
      <c r="G5" s="15"/>
      <c r="H5" s="14"/>
      <c r="I5" s="14"/>
      <c r="J5" s="23"/>
    </row>
    <row r="6" spans="1:21" s="21" customFormat="1" ht="10.15" customHeight="1" x14ac:dyDescent="0.25">
      <c r="B6" s="22"/>
      <c r="C6" s="23"/>
      <c r="D6" s="23"/>
      <c r="E6" s="23"/>
      <c r="F6" s="14"/>
      <c r="G6" s="15"/>
      <c r="H6" s="14"/>
      <c r="I6" s="14"/>
      <c r="J6" s="23"/>
    </row>
    <row r="7" spans="1:21" s="158" customFormat="1" ht="18" customHeight="1" x14ac:dyDescent="0.55000000000000004">
      <c r="B7" s="159"/>
      <c r="C7" s="159"/>
      <c r="D7" s="160"/>
      <c r="E7" s="453" t="s">
        <v>46</v>
      </c>
      <c r="F7" s="453"/>
      <c r="G7" s="453"/>
      <c r="H7" s="453"/>
      <c r="I7" s="453"/>
      <c r="J7" s="453"/>
      <c r="K7" s="454" t="s">
        <v>50</v>
      </c>
      <c r="L7" s="454"/>
      <c r="M7" s="454"/>
      <c r="N7" s="454"/>
      <c r="O7" s="454"/>
      <c r="P7" s="454"/>
      <c r="Q7" s="160"/>
    </row>
    <row r="8" spans="1:21" ht="30" customHeight="1" thickBot="1" x14ac:dyDescent="0.25">
      <c r="A8" s="24"/>
      <c r="B8" s="159" t="s">
        <v>302</v>
      </c>
      <c r="C8" s="159" t="s">
        <v>303</v>
      </c>
      <c r="D8" s="159" t="s">
        <v>304</v>
      </c>
      <c r="E8" s="161">
        <f>C17</f>
        <v>2021</v>
      </c>
      <c r="F8" s="161">
        <f t="shared" ref="F8:I8" si="0">D17</f>
        <v>2022</v>
      </c>
      <c r="G8" s="161">
        <f t="shared" si="0"/>
        <v>2023</v>
      </c>
      <c r="H8" s="161">
        <f t="shared" si="0"/>
        <v>2024</v>
      </c>
      <c r="I8" s="161">
        <f t="shared" si="0"/>
        <v>2025</v>
      </c>
      <c r="J8" s="161">
        <f>H17</f>
        <v>2026</v>
      </c>
      <c r="K8" s="161">
        <f>I17</f>
        <v>2021</v>
      </c>
      <c r="L8" s="161">
        <f t="shared" ref="L8:P8" si="1">J17</f>
        <v>2022</v>
      </c>
      <c r="M8" s="161">
        <f t="shared" si="1"/>
        <v>2023</v>
      </c>
      <c r="N8" s="161">
        <f t="shared" si="1"/>
        <v>2024</v>
      </c>
      <c r="O8" s="161">
        <f t="shared" si="1"/>
        <v>2025</v>
      </c>
      <c r="P8" s="161">
        <f t="shared" si="1"/>
        <v>2026</v>
      </c>
      <c r="Q8" s="161" t="str">
        <f>O17</f>
        <v>Terminal Cap Rate</v>
      </c>
    </row>
    <row r="9" spans="1:21" ht="15" customHeight="1" thickBot="1" x14ac:dyDescent="0.25">
      <c r="A9" s="24"/>
      <c r="B9" s="162" t="s">
        <v>305</v>
      </c>
      <c r="C9" s="163">
        <v>1</v>
      </c>
      <c r="D9" s="164" t="str">
        <f t="shared" ref="D9:Q9" ca="1" si="2">OFFSET(D$10,$C$9,0)</f>
        <v>Best Case</v>
      </c>
      <c r="E9" s="165">
        <f t="shared" ca="1" si="2"/>
        <v>0.7</v>
      </c>
      <c r="F9" s="165">
        <f t="shared" ca="1" si="2"/>
        <v>0.75</v>
      </c>
      <c r="G9" s="165">
        <f t="shared" ca="1" si="2"/>
        <v>0.79</v>
      </c>
      <c r="H9" s="166">
        <f t="shared" ca="1" si="2"/>
        <v>0.81</v>
      </c>
      <c r="I9" s="166">
        <f t="shared" ca="1" si="2"/>
        <v>0.79</v>
      </c>
      <c r="J9" s="166">
        <f t="shared" ca="1" si="2"/>
        <v>0.8</v>
      </c>
      <c r="K9" s="164">
        <f t="shared" ca="1" si="2"/>
        <v>185</v>
      </c>
      <c r="L9" s="164">
        <f t="shared" ca="1" si="2"/>
        <v>190</v>
      </c>
      <c r="M9" s="164">
        <f t="shared" ca="1" si="2"/>
        <v>188</v>
      </c>
      <c r="N9" s="164">
        <f t="shared" ca="1" si="2"/>
        <v>185</v>
      </c>
      <c r="O9" s="164">
        <f t="shared" ca="1" si="2"/>
        <v>191</v>
      </c>
      <c r="P9" s="164">
        <f t="shared" ca="1" si="2"/>
        <v>192</v>
      </c>
      <c r="Q9" s="167">
        <f t="shared" ca="1" si="2"/>
        <v>8.5000000000000006E-2</v>
      </c>
    </row>
    <row r="10" spans="1:21" ht="15" customHeight="1" x14ac:dyDescent="0.2">
      <c r="A10" s="24"/>
      <c r="B10" s="130"/>
      <c r="E10" s="16">
        <v>3</v>
      </c>
      <c r="H10" s="168"/>
      <c r="I10" s="168"/>
      <c r="S10" s="133"/>
      <c r="T10" s="169">
        <f ca="1">NOW()</f>
        <v>46154.602866435183</v>
      </c>
    </row>
    <row r="11" spans="1:21" ht="15" customHeight="1" x14ac:dyDescent="0.2">
      <c r="A11" s="24"/>
      <c r="B11" s="170"/>
      <c r="C11" s="171">
        <v>1</v>
      </c>
      <c r="D11" s="172" t="s">
        <v>306</v>
      </c>
      <c r="E11" s="165">
        <f t="shared" ref="E11:Q13" si="3">VLOOKUP($D11,ScenarioTable,C$18,0)</f>
        <v>0.7</v>
      </c>
      <c r="F11" s="165">
        <f t="shared" si="3"/>
        <v>0.75</v>
      </c>
      <c r="G11" s="165">
        <f t="shared" si="3"/>
        <v>0.79</v>
      </c>
      <c r="H11" s="166">
        <f t="shared" si="3"/>
        <v>0.81</v>
      </c>
      <c r="I11" s="166">
        <f t="shared" si="3"/>
        <v>0.79</v>
      </c>
      <c r="J11" s="166">
        <f t="shared" si="3"/>
        <v>0.8</v>
      </c>
      <c r="K11" s="164">
        <f t="shared" si="3"/>
        <v>185</v>
      </c>
      <c r="L11" s="164">
        <f t="shared" si="3"/>
        <v>190</v>
      </c>
      <c r="M11" s="164">
        <f t="shared" si="3"/>
        <v>188</v>
      </c>
      <c r="N11" s="164">
        <f t="shared" si="3"/>
        <v>185</v>
      </c>
      <c r="O11" s="164">
        <f t="shared" si="3"/>
        <v>191</v>
      </c>
      <c r="P11" s="164">
        <f t="shared" si="3"/>
        <v>192</v>
      </c>
      <c r="Q11" s="167">
        <f t="shared" si="3"/>
        <v>8.5000000000000006E-2</v>
      </c>
      <c r="S11" s="133">
        <f>C11</f>
        <v>1</v>
      </c>
      <c r="T11" s="173">
        <f t="dataTable" ref="T11:T14" dt2D="0" dtr="0" r1="C9" ca="1"/>
        <v>46154.60286608796</v>
      </c>
    </row>
    <row r="12" spans="1:21" ht="15" customHeight="1" x14ac:dyDescent="0.2">
      <c r="A12" s="158"/>
      <c r="B12" s="170"/>
      <c r="C12" s="174">
        <v>2</v>
      </c>
      <c r="D12" s="175" t="s">
        <v>307</v>
      </c>
      <c r="E12" s="165">
        <f t="shared" si="3"/>
        <v>0.69</v>
      </c>
      <c r="F12" s="165">
        <f t="shared" si="3"/>
        <v>0.65</v>
      </c>
      <c r="G12" s="165">
        <f t="shared" si="3"/>
        <v>0.6</v>
      </c>
      <c r="H12" s="166">
        <f t="shared" si="3"/>
        <v>0.68</v>
      </c>
      <c r="I12" s="166">
        <f t="shared" si="3"/>
        <v>0.71</v>
      </c>
      <c r="J12" s="166">
        <f t="shared" si="3"/>
        <v>0.68</v>
      </c>
      <c r="K12" s="164">
        <f t="shared" si="3"/>
        <v>180</v>
      </c>
      <c r="L12" s="164">
        <f t="shared" si="3"/>
        <v>183</v>
      </c>
      <c r="M12" s="164">
        <f t="shared" si="3"/>
        <v>188</v>
      </c>
      <c r="N12" s="164">
        <f t="shared" si="3"/>
        <v>185</v>
      </c>
      <c r="O12" s="164">
        <f t="shared" si="3"/>
        <v>190</v>
      </c>
      <c r="P12" s="164">
        <f t="shared" si="3"/>
        <v>195</v>
      </c>
      <c r="Q12" s="167">
        <f t="shared" si="3"/>
        <v>8.5000000000000006E-2</v>
      </c>
      <c r="S12" s="133">
        <f t="shared" ref="S12:S13" si="4">C12</f>
        <v>2</v>
      </c>
      <c r="T12" s="176">
        <v>46154.602866203706</v>
      </c>
    </row>
    <row r="13" spans="1:21" s="158" customFormat="1" ht="15" customHeight="1" x14ac:dyDescent="0.2">
      <c r="B13" s="170"/>
      <c r="C13" s="174">
        <v>3</v>
      </c>
      <c r="D13" s="175" t="s">
        <v>308</v>
      </c>
      <c r="E13" s="165">
        <f t="shared" si="3"/>
        <v>0.68</v>
      </c>
      <c r="F13" s="165">
        <f t="shared" si="3"/>
        <v>0.64</v>
      </c>
      <c r="G13" s="165">
        <f t="shared" si="3"/>
        <v>0.59</v>
      </c>
      <c r="H13" s="166">
        <f t="shared" si="3"/>
        <v>0.6</v>
      </c>
      <c r="I13" s="166">
        <f t="shared" si="3"/>
        <v>0.62</v>
      </c>
      <c r="J13" s="166">
        <f t="shared" si="3"/>
        <v>0.63</v>
      </c>
      <c r="K13" s="164">
        <f t="shared" si="3"/>
        <v>175</v>
      </c>
      <c r="L13" s="164">
        <f t="shared" si="3"/>
        <v>170</v>
      </c>
      <c r="M13" s="164">
        <f t="shared" si="3"/>
        <v>165</v>
      </c>
      <c r="N13" s="164">
        <f t="shared" si="3"/>
        <v>165</v>
      </c>
      <c r="O13" s="164">
        <f t="shared" si="3"/>
        <v>168</v>
      </c>
      <c r="P13" s="164">
        <f t="shared" si="3"/>
        <v>170</v>
      </c>
      <c r="Q13" s="167">
        <f t="shared" si="3"/>
        <v>0.09</v>
      </c>
      <c r="S13" s="133">
        <f t="shared" si="4"/>
        <v>3</v>
      </c>
      <c r="T13" s="176">
        <v>46154.602866319445</v>
      </c>
    </row>
    <row r="14" spans="1:21" s="158" customFormat="1" ht="15" customHeight="1" x14ac:dyDescent="0.2">
      <c r="B14" s="170"/>
      <c r="C14" s="171"/>
      <c r="D14" s="177"/>
      <c r="E14" s="165"/>
      <c r="F14" s="165"/>
      <c r="G14" s="165"/>
      <c r="H14" s="166"/>
      <c r="I14" s="166"/>
      <c r="J14" s="166"/>
      <c r="K14" s="164"/>
      <c r="L14" s="164"/>
      <c r="M14" s="164"/>
      <c r="N14" s="164"/>
      <c r="O14" s="164"/>
      <c r="P14" s="164"/>
      <c r="Q14" s="167"/>
      <c r="S14" s="133"/>
      <c r="T14" s="176">
        <v>46154.602866435183</v>
      </c>
    </row>
    <row r="15" spans="1:21" s="158" customFormat="1" ht="15" customHeight="1" x14ac:dyDescent="0.2">
      <c r="B15" s="178"/>
      <c r="C15" s="178"/>
      <c r="D15" s="178"/>
      <c r="E15" s="178"/>
      <c r="F15" s="178"/>
      <c r="G15" s="178"/>
      <c r="H15" s="178"/>
      <c r="I15" s="178"/>
      <c r="J15" s="178"/>
      <c r="K15" s="178"/>
      <c r="L15" s="178"/>
      <c r="M15" s="178"/>
      <c r="N15" s="178"/>
      <c r="O15" s="178"/>
      <c r="P15" s="178"/>
      <c r="Q15" s="178"/>
      <c r="R15" s="178"/>
      <c r="S15" s="178"/>
      <c r="T15" s="178"/>
      <c r="U15" s="178"/>
    </row>
    <row r="16" spans="1:21" s="158" customFormat="1" ht="18" customHeight="1" x14ac:dyDescent="0.55000000000000004">
      <c r="B16" s="178"/>
      <c r="C16" s="453" t="s">
        <v>46</v>
      </c>
      <c r="D16" s="453"/>
      <c r="E16" s="453"/>
      <c r="F16" s="453"/>
      <c r="G16" s="453"/>
      <c r="H16" s="453"/>
      <c r="I16" s="454" t="s">
        <v>50</v>
      </c>
      <c r="J16" s="454"/>
      <c r="K16" s="454"/>
      <c r="L16" s="454"/>
      <c r="M16" s="454"/>
      <c r="N16" s="454"/>
      <c r="O16" s="178"/>
      <c r="P16" s="178"/>
      <c r="Q16" s="178"/>
      <c r="R16" s="178"/>
      <c r="S16" s="178"/>
      <c r="T16" s="178"/>
      <c r="U16" s="178"/>
    </row>
    <row r="17" spans="1:21" s="158" customFormat="1" ht="30" customHeight="1" x14ac:dyDescent="0.2">
      <c r="B17" s="179" t="s">
        <v>319</v>
      </c>
      <c r="C17" s="30">
        <f>Inputs!C22</f>
        <v>2021</v>
      </c>
      <c r="D17" s="30">
        <f>Inputs!D22</f>
        <v>2022</v>
      </c>
      <c r="E17" s="30">
        <f>Inputs!E22</f>
        <v>2023</v>
      </c>
      <c r="F17" s="30">
        <f>Inputs!F22</f>
        <v>2024</v>
      </c>
      <c r="G17" s="30">
        <f>Inputs!G22</f>
        <v>2025</v>
      </c>
      <c r="H17" s="30">
        <f>Inputs!H22</f>
        <v>2026</v>
      </c>
      <c r="I17" s="30">
        <f>C17</f>
        <v>2021</v>
      </c>
      <c r="J17" s="30">
        <f t="shared" ref="J17:N17" si="5">D17</f>
        <v>2022</v>
      </c>
      <c r="K17" s="30">
        <f t="shared" si="5"/>
        <v>2023</v>
      </c>
      <c r="L17" s="30">
        <f t="shared" si="5"/>
        <v>2024</v>
      </c>
      <c r="M17" s="30">
        <f t="shared" si="5"/>
        <v>2025</v>
      </c>
      <c r="N17" s="30">
        <f t="shared" si="5"/>
        <v>2026</v>
      </c>
      <c r="O17" s="161" t="s">
        <v>309</v>
      </c>
      <c r="P17" s="161" t="s">
        <v>310</v>
      </c>
      <c r="Q17" s="178"/>
      <c r="R17" s="178"/>
      <c r="S17" s="178"/>
      <c r="T17" s="178"/>
      <c r="U17" s="178"/>
    </row>
    <row r="18" spans="1:21" s="158" customFormat="1" ht="7.15" customHeight="1" x14ac:dyDescent="0.2">
      <c r="B18" s="180">
        <v>1</v>
      </c>
      <c r="C18" s="180">
        <f>B18+1</f>
        <v>2</v>
      </c>
      <c r="D18" s="180">
        <f t="shared" ref="D18:N18" si="6">C18+1</f>
        <v>3</v>
      </c>
      <c r="E18" s="180">
        <f t="shared" si="6"/>
        <v>4</v>
      </c>
      <c r="F18" s="180">
        <f t="shared" si="6"/>
        <v>5</v>
      </c>
      <c r="G18" s="180">
        <f t="shared" si="6"/>
        <v>6</v>
      </c>
      <c r="H18" s="180">
        <f t="shared" si="6"/>
        <v>7</v>
      </c>
      <c r="I18" s="180">
        <f t="shared" si="6"/>
        <v>8</v>
      </c>
      <c r="J18" s="180">
        <f t="shared" si="6"/>
        <v>9</v>
      </c>
      <c r="K18" s="180">
        <f t="shared" si="6"/>
        <v>10</v>
      </c>
      <c r="L18" s="180">
        <f t="shared" si="6"/>
        <v>11</v>
      </c>
      <c r="M18" s="180">
        <f t="shared" si="6"/>
        <v>12</v>
      </c>
      <c r="N18" s="180">
        <f t="shared" si="6"/>
        <v>13</v>
      </c>
      <c r="O18" s="180">
        <v>14</v>
      </c>
      <c r="P18" s="180" t="s">
        <v>315</v>
      </c>
      <c r="Q18" s="178"/>
      <c r="R18" s="178"/>
      <c r="S18" s="178"/>
      <c r="T18" s="178"/>
      <c r="U18" s="178"/>
    </row>
    <row r="19" spans="1:21" s="158" customFormat="1" ht="15" customHeight="1" x14ac:dyDescent="0.2">
      <c r="B19" s="181" t="s">
        <v>306</v>
      </c>
      <c r="C19" s="182">
        <v>0.7</v>
      </c>
      <c r="D19" s="182">
        <v>0.75</v>
      </c>
      <c r="E19" s="182">
        <v>0.79</v>
      </c>
      <c r="F19" s="182">
        <v>0.81</v>
      </c>
      <c r="G19" s="182">
        <v>0.79</v>
      </c>
      <c r="H19" s="182">
        <v>0.8</v>
      </c>
      <c r="I19" s="172">
        <v>185</v>
      </c>
      <c r="J19" s="172">
        <v>190</v>
      </c>
      <c r="K19" s="172">
        <v>188</v>
      </c>
      <c r="L19" s="172">
        <v>185</v>
      </c>
      <c r="M19" s="172">
        <v>191</v>
      </c>
      <c r="N19" s="172">
        <v>192</v>
      </c>
      <c r="O19" s="183">
        <v>8.5000000000000006E-2</v>
      </c>
      <c r="P19" s="184">
        <v>0.35</v>
      </c>
      <c r="Q19" s="178"/>
      <c r="R19" s="178"/>
      <c r="S19" s="178"/>
      <c r="T19" s="178"/>
      <c r="U19" s="178"/>
    </row>
    <row r="20" spans="1:21" s="158" customFormat="1" ht="15" customHeight="1" x14ac:dyDescent="0.2">
      <c r="B20" s="181" t="s">
        <v>307</v>
      </c>
      <c r="C20" s="182">
        <v>0.69</v>
      </c>
      <c r="D20" s="182">
        <v>0.65</v>
      </c>
      <c r="E20" s="182">
        <v>0.6</v>
      </c>
      <c r="F20" s="182">
        <v>0.68</v>
      </c>
      <c r="G20" s="182">
        <v>0.71</v>
      </c>
      <c r="H20" s="182">
        <v>0.68</v>
      </c>
      <c r="I20" s="172">
        <v>180</v>
      </c>
      <c r="J20" s="172">
        <v>183</v>
      </c>
      <c r="K20" s="172">
        <v>188</v>
      </c>
      <c r="L20" s="172">
        <v>185</v>
      </c>
      <c r="M20" s="172">
        <v>190</v>
      </c>
      <c r="N20" s="172">
        <v>195</v>
      </c>
      <c r="O20" s="183">
        <v>8.5000000000000006E-2</v>
      </c>
      <c r="P20" s="184">
        <v>0.5</v>
      </c>
      <c r="Q20" s="178"/>
      <c r="R20" s="178"/>
      <c r="S20" s="178"/>
      <c r="T20" s="178"/>
      <c r="U20" s="178"/>
    </row>
    <row r="21" spans="1:21" s="158" customFormat="1" ht="15" customHeight="1" x14ac:dyDescent="0.2">
      <c r="B21" s="181" t="s">
        <v>308</v>
      </c>
      <c r="C21" s="182">
        <v>0.68</v>
      </c>
      <c r="D21" s="182">
        <v>0.64</v>
      </c>
      <c r="E21" s="182">
        <v>0.59</v>
      </c>
      <c r="F21" s="182">
        <v>0.6</v>
      </c>
      <c r="G21" s="182">
        <v>0.62</v>
      </c>
      <c r="H21" s="182">
        <v>0.63</v>
      </c>
      <c r="I21" s="172">
        <v>175</v>
      </c>
      <c r="J21" s="172">
        <v>170</v>
      </c>
      <c r="K21" s="172">
        <v>165</v>
      </c>
      <c r="L21" s="172">
        <v>165</v>
      </c>
      <c r="M21" s="172">
        <v>168</v>
      </c>
      <c r="N21" s="172">
        <v>170</v>
      </c>
      <c r="O21" s="183">
        <v>0.09</v>
      </c>
      <c r="P21" s="184">
        <v>0.15</v>
      </c>
      <c r="Q21" s="178"/>
      <c r="R21" s="178"/>
      <c r="S21" s="178"/>
      <c r="T21" s="178"/>
      <c r="U21" s="178"/>
    </row>
    <row r="22" spans="1:21" s="158" customFormat="1" ht="15" customHeight="1" x14ac:dyDescent="0.2">
      <c r="B22" s="181"/>
      <c r="C22" s="185"/>
      <c r="D22" s="185"/>
      <c r="E22" s="185"/>
      <c r="F22" s="185"/>
      <c r="G22" s="185"/>
      <c r="H22" s="185"/>
      <c r="I22" s="177"/>
      <c r="J22" s="186"/>
      <c r="K22" s="186"/>
      <c r="L22" s="186"/>
      <c r="M22" s="187"/>
      <c r="N22" s="188"/>
      <c r="O22" s="188"/>
      <c r="P22" s="187"/>
      <c r="Q22" s="178"/>
      <c r="R22" s="178"/>
      <c r="S22" s="178"/>
      <c r="T22" s="178"/>
      <c r="U22" s="178"/>
    </row>
    <row r="23" spans="1:21" s="158" customFormat="1" ht="15" customHeight="1" x14ac:dyDescent="0.2">
      <c r="B23" s="181"/>
      <c r="C23" s="185"/>
      <c r="D23" s="185"/>
      <c r="E23" s="185"/>
      <c r="F23" s="185"/>
      <c r="G23" s="185"/>
      <c r="H23" s="185"/>
      <c r="I23" s="177"/>
      <c r="J23" s="186"/>
      <c r="K23" s="186"/>
      <c r="L23" s="186"/>
      <c r="M23" s="187"/>
      <c r="N23" s="188"/>
      <c r="O23" s="188"/>
      <c r="P23" s="187"/>
      <c r="Q23" s="178"/>
      <c r="R23" s="178"/>
      <c r="S23" s="178"/>
      <c r="T23" s="178"/>
      <c r="U23" s="178"/>
    </row>
    <row r="24" spans="1:21" s="11" customFormat="1" ht="15" customHeight="1" x14ac:dyDescent="0.2">
      <c r="B24" s="332"/>
      <c r="C24" s="332"/>
      <c r="D24" s="332"/>
      <c r="E24" s="332"/>
      <c r="F24" s="332"/>
      <c r="G24" s="332"/>
      <c r="H24" s="332"/>
      <c r="I24" s="332"/>
      <c r="J24" s="332"/>
      <c r="K24" s="332"/>
      <c r="L24" s="332"/>
      <c r="M24" s="332"/>
      <c r="N24" s="332"/>
      <c r="O24" s="332"/>
      <c r="P24" s="332"/>
      <c r="Q24" s="332"/>
      <c r="R24" s="332"/>
      <c r="S24" s="332"/>
      <c r="T24" s="332"/>
      <c r="U24" s="332"/>
    </row>
    <row r="25" spans="1:21" s="11" customFormat="1" ht="10.15" customHeight="1" x14ac:dyDescent="0.25">
      <c r="B25" s="333"/>
      <c r="C25" s="334"/>
      <c r="D25" s="334"/>
      <c r="E25" s="334"/>
      <c r="G25" s="319"/>
      <c r="J25" s="319"/>
    </row>
    <row r="26" spans="1:21" s="11" customFormat="1" ht="15" customHeight="1" x14ac:dyDescent="0.25">
      <c r="C26" s="321"/>
      <c r="G26" s="319"/>
      <c r="O26" s="419"/>
      <c r="P26" s="419"/>
      <c r="Q26" s="419"/>
    </row>
    <row r="27" spans="1:21" s="11" customFormat="1" ht="15" customHeight="1" x14ac:dyDescent="0.25">
      <c r="C27" s="321"/>
      <c r="D27" s="325"/>
      <c r="G27" s="319"/>
      <c r="O27" s="419"/>
      <c r="P27" s="419"/>
      <c r="Q27" s="419"/>
    </row>
    <row r="28" spans="1:21" s="11" customFormat="1" ht="15" customHeight="1" x14ac:dyDescent="0.25">
      <c r="C28" s="321"/>
      <c r="F28" s="319"/>
      <c r="G28" s="323"/>
      <c r="H28" s="326"/>
      <c r="I28" s="320"/>
      <c r="J28" s="319"/>
    </row>
    <row r="29" spans="1:21" s="11" customFormat="1" x14ac:dyDescent="0.25">
      <c r="C29" s="319"/>
      <c r="F29" s="319"/>
      <c r="G29" s="319"/>
      <c r="H29" s="319"/>
      <c r="I29" s="319"/>
      <c r="J29" s="319"/>
    </row>
    <row r="30" spans="1:21" s="327" customFormat="1" ht="14.25" x14ac:dyDescent="0.2">
      <c r="A30" s="335"/>
      <c r="G30" s="336"/>
      <c r="H30" s="336"/>
      <c r="K30" s="336"/>
      <c r="L30" s="336"/>
      <c r="M30" s="336"/>
    </row>
    <row r="31" spans="1:21" ht="14.25" x14ac:dyDescent="0.2">
      <c r="A31" s="24"/>
      <c r="G31" s="110"/>
      <c r="H31" s="110"/>
      <c r="K31" s="110"/>
      <c r="L31" s="110"/>
      <c r="M31" s="110"/>
    </row>
    <row r="32" spans="1:21" ht="14.25" x14ac:dyDescent="0.2">
      <c r="A32" s="24"/>
      <c r="G32" s="111"/>
      <c r="H32" s="111"/>
      <c r="K32" s="112"/>
      <c r="L32" s="112"/>
      <c r="M32" s="112"/>
    </row>
    <row r="33" spans="1:13" ht="14.25" x14ac:dyDescent="0.2">
      <c r="A33" s="24"/>
      <c r="C33" s="110"/>
      <c r="D33" s="110"/>
      <c r="E33" s="110"/>
      <c r="F33" s="110"/>
      <c r="G33" s="110"/>
      <c r="H33" s="110"/>
      <c r="K33" s="112"/>
      <c r="L33" s="112"/>
      <c r="M33" s="112"/>
    </row>
    <row r="34" spans="1:13" ht="14.25" x14ac:dyDescent="0.2">
      <c r="A34" s="24"/>
      <c r="C34" s="110"/>
      <c r="D34" s="110"/>
      <c r="E34" s="110"/>
      <c r="F34" s="110"/>
      <c r="G34" s="110"/>
      <c r="H34" s="110"/>
      <c r="K34" s="112"/>
      <c r="L34" s="112"/>
      <c r="M34" s="112"/>
    </row>
    <row r="35" spans="1:13" ht="14.25" x14ac:dyDescent="0.2">
      <c r="A35" s="24"/>
      <c r="C35" s="110"/>
      <c r="D35" s="110"/>
      <c r="E35" s="110"/>
      <c r="F35" s="110"/>
      <c r="G35" s="110"/>
      <c r="H35" s="110"/>
      <c r="K35" s="112"/>
      <c r="L35" s="112"/>
      <c r="M35" s="112"/>
    </row>
    <row r="36" spans="1:13" ht="15" x14ac:dyDescent="0.25">
      <c r="A36" s="24"/>
      <c r="B36" s="31"/>
      <c r="K36" s="112"/>
      <c r="L36" s="112"/>
      <c r="M36" s="112"/>
    </row>
    <row r="37" spans="1:13" ht="15" x14ac:dyDescent="0.25">
      <c r="A37" s="24"/>
      <c r="B37" s="113"/>
      <c r="C37" s="114"/>
      <c r="D37" s="114"/>
      <c r="E37" s="114"/>
      <c r="F37" s="114"/>
      <c r="G37" s="114"/>
      <c r="H37" s="114"/>
      <c r="K37" s="112"/>
      <c r="L37" s="112"/>
      <c r="M37" s="112"/>
    </row>
    <row r="38" spans="1:13" ht="15" x14ac:dyDescent="0.25">
      <c r="A38" s="24"/>
      <c r="B38" s="31"/>
      <c r="K38" s="112"/>
      <c r="L38" s="112"/>
      <c r="M38" s="112"/>
    </row>
    <row r="39" spans="1:13" x14ac:dyDescent="0.2">
      <c r="C39" s="115"/>
      <c r="D39" s="115"/>
      <c r="E39" s="115"/>
      <c r="F39" s="115"/>
      <c r="G39" s="115"/>
      <c r="H39" s="115"/>
      <c r="K39" s="112"/>
      <c r="L39" s="112"/>
      <c r="M39" s="112"/>
    </row>
    <row r="40" spans="1:13" x14ac:dyDescent="0.2">
      <c r="C40" s="116"/>
      <c r="D40" s="116"/>
      <c r="E40" s="116"/>
      <c r="F40" s="116"/>
      <c r="G40" s="116"/>
      <c r="H40" s="116"/>
      <c r="K40" s="112"/>
      <c r="L40" s="112"/>
      <c r="M40" s="112"/>
    </row>
    <row r="41" spans="1:13" x14ac:dyDescent="0.25">
      <c r="C41" s="115"/>
      <c r="D41" s="115"/>
      <c r="E41" s="115"/>
      <c r="F41" s="115"/>
      <c r="G41" s="115"/>
      <c r="H41" s="115"/>
      <c r="K41" s="117"/>
      <c r="L41" s="117"/>
      <c r="M41" s="117"/>
    </row>
    <row r="42" spans="1:13" x14ac:dyDescent="0.2">
      <c r="C42" s="116"/>
      <c r="D42" s="116"/>
      <c r="E42" s="116"/>
      <c r="F42" s="116"/>
      <c r="G42" s="116"/>
      <c r="H42" s="116"/>
    </row>
    <row r="43" spans="1:13" x14ac:dyDescent="0.2">
      <c r="C43" s="115"/>
      <c r="D43" s="115"/>
      <c r="E43" s="115"/>
      <c r="F43" s="115"/>
      <c r="G43" s="115"/>
      <c r="H43" s="115"/>
      <c r="K43" s="118"/>
      <c r="L43" s="118"/>
      <c r="M43" s="118"/>
    </row>
    <row r="44" spans="1:13" x14ac:dyDescent="0.25">
      <c r="C44" s="116"/>
      <c r="D44" s="116"/>
      <c r="E44" s="116"/>
      <c r="F44" s="116"/>
      <c r="G44" s="116"/>
      <c r="H44" s="116"/>
      <c r="K44" s="117"/>
      <c r="L44" s="117"/>
      <c r="M44" s="115"/>
    </row>
    <row r="45" spans="1:13" x14ac:dyDescent="0.2">
      <c r="C45" s="110"/>
      <c r="D45" s="110"/>
      <c r="E45" s="110"/>
      <c r="F45" s="110"/>
      <c r="G45" s="110"/>
      <c r="H45" s="110"/>
    </row>
    <row r="46" spans="1:13" x14ac:dyDescent="0.2">
      <c r="C46" s="111"/>
      <c r="D46" s="111"/>
      <c r="E46" s="111"/>
      <c r="F46" s="111"/>
      <c r="G46" s="111"/>
      <c r="H46" s="111"/>
    </row>
    <row r="47" spans="1:13" x14ac:dyDescent="0.2">
      <c r="C47" s="115"/>
      <c r="D47" s="115"/>
      <c r="E47" s="115"/>
      <c r="F47" s="115"/>
      <c r="G47" s="115"/>
      <c r="H47" s="115"/>
    </row>
    <row r="48" spans="1:13" x14ac:dyDescent="0.2">
      <c r="C48" s="115"/>
      <c r="D48" s="115"/>
      <c r="E48" s="115"/>
      <c r="F48" s="115"/>
      <c r="G48" s="115"/>
      <c r="H48" s="115"/>
    </row>
    <row r="49" spans="2:8" x14ac:dyDescent="0.25">
      <c r="B49" s="436"/>
      <c r="C49" s="437"/>
      <c r="D49" s="437"/>
      <c r="E49" s="437"/>
      <c r="F49" s="437"/>
      <c r="G49" s="437"/>
      <c r="H49" s="437"/>
    </row>
    <row r="50" spans="2:8" x14ac:dyDescent="0.2">
      <c r="C50" s="115"/>
      <c r="D50" s="115"/>
      <c r="E50" s="115"/>
      <c r="F50" s="115"/>
      <c r="G50" s="115"/>
      <c r="H50" s="115"/>
    </row>
    <row r="51" spans="2:8" x14ac:dyDescent="0.2">
      <c r="C51" s="115"/>
      <c r="D51" s="115"/>
      <c r="E51" s="115"/>
      <c r="F51" s="115"/>
      <c r="G51" s="115"/>
      <c r="H51" s="115"/>
    </row>
    <row r="52" spans="2:8" x14ac:dyDescent="0.2">
      <c r="C52" s="115"/>
      <c r="D52" s="115"/>
      <c r="E52" s="115"/>
      <c r="F52" s="115"/>
      <c r="G52" s="115"/>
      <c r="H52" s="115"/>
    </row>
    <row r="53" spans="2:8" x14ac:dyDescent="0.2">
      <c r="C53" s="115"/>
      <c r="D53" s="115"/>
      <c r="E53" s="115"/>
      <c r="F53" s="115"/>
      <c r="G53" s="115"/>
      <c r="H53" s="115"/>
    </row>
    <row r="54" spans="2:8" x14ac:dyDescent="0.2">
      <c r="C54" s="119"/>
      <c r="D54" s="119"/>
      <c r="E54" s="119"/>
      <c r="F54" s="119"/>
      <c r="G54" s="119"/>
      <c r="H54" s="119"/>
    </row>
    <row r="55" spans="2:8" x14ac:dyDescent="0.2">
      <c r="C55" s="119"/>
      <c r="D55" s="119"/>
      <c r="E55" s="119"/>
      <c r="F55" s="119"/>
      <c r="G55" s="119"/>
      <c r="H55" s="119"/>
    </row>
    <row r="56" spans="2:8" x14ac:dyDescent="0.25">
      <c r="B56" s="436"/>
      <c r="C56" s="437"/>
      <c r="D56" s="437"/>
      <c r="E56" s="437"/>
      <c r="F56" s="437"/>
      <c r="G56" s="437"/>
      <c r="H56" s="437"/>
    </row>
    <row r="57" spans="2:8" x14ac:dyDescent="0.2">
      <c r="C57" s="110"/>
      <c r="D57" s="110"/>
      <c r="E57" s="110"/>
      <c r="F57" s="110"/>
      <c r="G57" s="110"/>
      <c r="H57" s="110"/>
    </row>
    <row r="58" spans="2:8" x14ac:dyDescent="0.2">
      <c r="C58" s="111"/>
      <c r="D58" s="111"/>
      <c r="E58" s="111"/>
      <c r="F58" s="111"/>
      <c r="G58" s="111"/>
      <c r="H58" s="116"/>
    </row>
    <row r="59" spans="2:8" x14ac:dyDescent="0.2">
      <c r="C59" s="111"/>
      <c r="D59" s="111"/>
      <c r="E59" s="111"/>
      <c r="F59" s="111"/>
      <c r="G59" s="111"/>
      <c r="H59" s="118"/>
    </row>
    <row r="60" spans="2:8" x14ac:dyDescent="0.25">
      <c r="C60" s="111"/>
      <c r="D60" s="111"/>
      <c r="E60" s="111"/>
      <c r="F60" s="111"/>
      <c r="G60" s="111"/>
      <c r="H60" s="117"/>
    </row>
    <row r="61" spans="2:8" x14ac:dyDescent="0.2">
      <c r="C61" s="111"/>
      <c r="H61" s="116"/>
    </row>
    <row r="62" spans="2:8" x14ac:dyDescent="0.25">
      <c r="B62" s="31"/>
      <c r="C62" s="110"/>
      <c r="D62" s="110"/>
      <c r="E62" s="110"/>
      <c r="F62" s="110"/>
      <c r="G62" s="110"/>
      <c r="H62" s="120"/>
    </row>
    <row r="63" spans="2:8" x14ac:dyDescent="0.25">
      <c r="B63" s="31"/>
      <c r="C63" s="110"/>
      <c r="D63" s="110"/>
      <c r="E63" s="110"/>
      <c r="F63" s="110"/>
      <c r="G63" s="110"/>
      <c r="H63" s="120"/>
    </row>
    <row r="64" spans="2:8" x14ac:dyDescent="0.2">
      <c r="C64" s="118"/>
      <c r="D64" s="118"/>
      <c r="E64" s="118"/>
      <c r="F64" s="118"/>
      <c r="G64" s="118"/>
      <c r="H64" s="120"/>
    </row>
    <row r="65" spans="2:8" x14ac:dyDescent="0.25">
      <c r="C65" s="117"/>
      <c r="D65" s="117"/>
      <c r="E65" s="117"/>
      <c r="F65" s="117"/>
      <c r="G65" s="117"/>
      <c r="H65" s="120"/>
    </row>
    <row r="66" spans="2:8" x14ac:dyDescent="0.2">
      <c r="H66" s="120"/>
    </row>
    <row r="67" spans="2:8" x14ac:dyDescent="0.25">
      <c r="B67" s="436"/>
      <c r="C67" s="437"/>
      <c r="E67" s="436"/>
      <c r="F67" s="437"/>
      <c r="H67" s="120"/>
    </row>
    <row r="68" spans="2:8" x14ac:dyDescent="0.25">
      <c r="C68" s="121"/>
      <c r="D68" s="120"/>
      <c r="E68" s="122"/>
      <c r="F68" s="121"/>
      <c r="H68" s="120"/>
    </row>
    <row r="69" spans="2:8" x14ac:dyDescent="0.25">
      <c r="C69" s="123"/>
      <c r="D69" s="120"/>
      <c r="E69" s="122"/>
      <c r="F69" s="121"/>
      <c r="H69" s="120"/>
    </row>
    <row r="70" spans="2:8" x14ac:dyDescent="0.25">
      <c r="C70" s="121"/>
      <c r="D70" s="120"/>
      <c r="E70" s="122"/>
      <c r="F70" s="123"/>
    </row>
    <row r="71" spans="2:8" x14ac:dyDescent="0.25">
      <c r="C71" s="124"/>
      <c r="D71" s="120"/>
      <c r="E71" s="125"/>
      <c r="F71" s="126"/>
      <c r="G71" s="127"/>
    </row>
    <row r="72" spans="2:8" x14ac:dyDescent="0.25">
      <c r="C72" s="117"/>
      <c r="D72" s="120"/>
    </row>
    <row r="73" spans="2:8" x14ac:dyDescent="0.2">
      <c r="C73" s="120"/>
    </row>
  </sheetData>
  <mergeCells count="12">
    <mergeCell ref="B49:H49"/>
    <mergeCell ref="B56:H56"/>
    <mergeCell ref="B67:C67"/>
    <mergeCell ref="E67:F67"/>
    <mergeCell ref="C16:H16"/>
    <mergeCell ref="O26:Q26"/>
    <mergeCell ref="O27:Q27"/>
    <mergeCell ref="C4:D4"/>
    <mergeCell ref="E4:F4"/>
    <mergeCell ref="E7:J7"/>
    <mergeCell ref="K7:P7"/>
    <mergeCell ref="I16:N16"/>
  </mergeCells>
  <pageMargins left="0.7" right="0.7" top="0.75" bottom="0.75" header="0.3" footer="0.3"/>
  <pageSetup scale="4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A500-9E94-4927-8346-ECEFA91EDC83}">
  <sheetPr codeName="Sheet8">
    <tabColor rgb="FF2F75B5"/>
    <pageSetUpPr fitToPage="1"/>
  </sheetPr>
  <dimension ref="A1:R171"/>
  <sheetViews>
    <sheetView tabSelected="1" topLeftCell="A48" zoomScale="102" zoomScaleNormal="102" workbookViewId="0">
      <selection activeCell="G28" sqref="G28"/>
    </sheetView>
  </sheetViews>
  <sheetFormatPr defaultColWidth="9.140625" defaultRowHeight="18" outlineLevelRow="1" x14ac:dyDescent="0.2"/>
  <cols>
    <col min="1" max="1" width="4.28515625" style="14" customWidth="1"/>
    <col min="2" max="2" width="34.7109375" style="16" customWidth="1"/>
    <col min="3" max="11" width="15.7109375" style="16" customWidth="1"/>
    <col min="12" max="15" width="14.7109375" style="16" customWidth="1"/>
    <col min="16" max="16" width="12.5703125" style="16" customWidth="1"/>
    <col min="17" max="17" width="11.140625" style="16" customWidth="1"/>
    <col min="18" max="18" width="14.140625" style="16" customWidth="1"/>
    <col min="19" max="16384" width="9.140625" style="16"/>
  </cols>
  <sheetData>
    <row r="1" spans="1:16" ht="14.25" x14ac:dyDescent="0.2">
      <c r="A1" s="16"/>
    </row>
    <row r="2" spans="1:16" ht="20.25" x14ac:dyDescent="0.3">
      <c r="A2" s="17"/>
      <c r="B2" s="18" t="str">
        <f>Scenario!B2</f>
        <v>Comparing Complex Deal Structures</v>
      </c>
      <c r="C2" s="18"/>
      <c r="D2" s="18"/>
      <c r="E2" s="18"/>
      <c r="F2" s="18"/>
      <c r="G2" s="18"/>
      <c r="H2" s="16" t="s">
        <v>311</v>
      </c>
      <c r="J2" s="189"/>
      <c r="K2" s="189"/>
      <c r="L2" s="189"/>
    </row>
    <row r="3" spans="1:16" ht="21" thickBot="1" x14ac:dyDescent="0.35">
      <c r="B3" s="19"/>
      <c r="C3" s="19"/>
      <c r="D3" s="19"/>
      <c r="E3" s="19"/>
      <c r="F3" s="19"/>
      <c r="G3" s="156"/>
      <c r="H3" s="19"/>
      <c r="I3" s="19"/>
      <c r="J3" s="19"/>
      <c r="K3" s="19"/>
      <c r="L3" s="19"/>
      <c r="M3" s="19"/>
    </row>
    <row r="4" spans="1:16" ht="20.65" customHeight="1" thickBot="1" x14ac:dyDescent="0.25">
      <c r="A4" s="24"/>
      <c r="B4" s="128" t="s">
        <v>312</v>
      </c>
      <c r="C4" s="450" t="s">
        <v>313</v>
      </c>
      <c r="D4" s="450"/>
      <c r="E4" s="408">
        <f>Scenario!C9</f>
        <v>1</v>
      </c>
      <c r="F4" s="409">
        <v>1</v>
      </c>
      <c r="J4" s="157"/>
      <c r="K4" s="157"/>
      <c r="L4" s="157"/>
      <c r="M4" s="157"/>
      <c r="N4" s="157"/>
      <c r="O4" s="157"/>
      <c r="P4" s="157"/>
    </row>
    <row r="5" spans="1:16" s="21" customFormat="1" x14ac:dyDescent="0.25">
      <c r="B5" s="22"/>
      <c r="C5" s="22"/>
      <c r="D5" s="22"/>
      <c r="E5" s="22"/>
      <c r="F5" s="410">
        <v>2</v>
      </c>
      <c r="G5" s="23"/>
      <c r="H5" s="23"/>
      <c r="I5" s="14"/>
      <c r="J5" s="15"/>
      <c r="K5" s="14"/>
      <c r="L5" s="14"/>
      <c r="M5" s="14"/>
      <c r="N5" s="14"/>
      <c r="O5" s="23"/>
    </row>
    <row r="6" spans="1:16" s="21" customFormat="1" x14ac:dyDescent="0.25">
      <c r="B6" s="22"/>
      <c r="C6" s="22"/>
      <c r="D6" s="22"/>
      <c r="E6" s="22"/>
      <c r="F6" s="410">
        <v>3</v>
      </c>
      <c r="G6" s="23"/>
      <c r="H6" s="23"/>
      <c r="I6" s="14"/>
      <c r="J6" s="15"/>
      <c r="K6" s="14"/>
      <c r="L6" s="14"/>
      <c r="M6" s="14"/>
      <c r="N6" s="14"/>
      <c r="O6" s="23"/>
    </row>
    <row r="7" spans="1:16" s="21" customFormat="1" ht="16.899999999999999" customHeight="1" x14ac:dyDescent="0.25">
      <c r="B7" s="132" t="s">
        <v>352</v>
      </c>
      <c r="C7" s="22"/>
      <c r="D7" s="22"/>
      <c r="E7" s="22"/>
      <c r="F7" s="23"/>
      <c r="G7" s="23"/>
      <c r="H7" s="23"/>
      <c r="I7" s="14"/>
      <c r="J7" s="15"/>
      <c r="K7" s="14"/>
      <c r="L7" s="14"/>
      <c r="M7" s="14"/>
      <c r="N7" s="14"/>
      <c r="O7" s="23"/>
    </row>
    <row r="8" spans="1:16" ht="10.15" customHeight="1" x14ac:dyDescent="0.2">
      <c r="A8" s="21"/>
      <c r="C8" s="190"/>
      <c r="D8" s="190"/>
      <c r="E8" s="190"/>
      <c r="F8" s="190"/>
      <c r="G8" s="190"/>
      <c r="H8" s="455"/>
      <c r="I8" s="455"/>
      <c r="J8" s="455"/>
      <c r="N8" s="455"/>
      <c r="O8" s="455"/>
    </row>
    <row r="9" spans="1:16" ht="15" hidden="1" customHeight="1" outlineLevel="1" x14ac:dyDescent="0.2">
      <c r="A9" s="21"/>
      <c r="B9" s="191"/>
      <c r="C9" s="192">
        <v>1</v>
      </c>
      <c r="D9" s="191"/>
      <c r="E9" s="191"/>
      <c r="G9" s="190"/>
      <c r="H9" s="191"/>
      <c r="I9" s="191"/>
      <c r="J9" s="191"/>
      <c r="K9" s="191"/>
      <c r="L9" s="191"/>
      <c r="M9" s="191"/>
      <c r="N9" s="191"/>
      <c r="O9" s="191"/>
    </row>
    <row r="10" spans="1:16" ht="15" hidden="1" customHeight="1" outlineLevel="1" x14ac:dyDescent="0.2">
      <c r="A10" s="21"/>
      <c r="B10" s="191"/>
      <c r="C10" s="193">
        <v>2</v>
      </c>
      <c r="D10" s="191"/>
      <c r="E10" s="191"/>
      <c r="G10" s="190"/>
      <c r="H10" s="191"/>
      <c r="I10" s="191"/>
      <c r="J10" s="191"/>
      <c r="K10" s="191"/>
      <c r="L10" s="191"/>
      <c r="M10" s="191"/>
      <c r="N10" s="191"/>
      <c r="O10" s="191"/>
    </row>
    <row r="11" spans="1:16" ht="15" hidden="1" customHeight="1" outlineLevel="1" x14ac:dyDescent="0.2">
      <c r="A11" s="21"/>
      <c r="B11" s="191"/>
      <c r="C11" s="194">
        <v>3</v>
      </c>
      <c r="D11" s="191"/>
      <c r="E11" s="191"/>
      <c r="G11" s="190"/>
      <c r="H11" s="191"/>
      <c r="I11" s="191"/>
      <c r="J11" s="191"/>
      <c r="K11" s="191"/>
      <c r="L11" s="191"/>
      <c r="M11" s="191"/>
      <c r="N11" s="191"/>
      <c r="O11" s="191"/>
    </row>
    <row r="12" spans="1:16" ht="15" customHeight="1" collapsed="1" x14ac:dyDescent="0.2">
      <c r="A12" s="21"/>
      <c r="B12" s="457" t="s">
        <v>338</v>
      </c>
      <c r="C12" s="457"/>
      <c r="D12" s="457"/>
      <c r="E12" s="457"/>
      <c r="F12" s="457"/>
      <c r="G12" s="457"/>
      <c r="H12" s="457"/>
      <c r="I12" s="191"/>
      <c r="J12" s="191"/>
      <c r="K12" s="191"/>
      <c r="L12" s="191"/>
      <c r="M12" s="191"/>
      <c r="N12" s="191"/>
      <c r="O12" s="191"/>
    </row>
    <row r="13" spans="1:16" ht="10.15" customHeight="1" x14ac:dyDescent="0.2">
      <c r="A13" s="21"/>
      <c r="B13" s="195"/>
      <c r="C13" s="195"/>
      <c r="D13" s="195"/>
      <c r="E13" s="195"/>
      <c r="F13" s="195"/>
      <c r="G13" s="195"/>
      <c r="H13" s="195"/>
      <c r="I13" s="191"/>
      <c r="J13" s="191"/>
      <c r="K13" s="191"/>
      <c r="L13" s="191"/>
      <c r="M13" s="191"/>
      <c r="N13" s="191"/>
      <c r="O13" s="191"/>
    </row>
    <row r="14" spans="1:16" ht="16.899999999999999" customHeight="1" x14ac:dyDescent="0.2">
      <c r="A14" s="21"/>
      <c r="B14" s="191"/>
      <c r="C14" s="456" t="s">
        <v>318</v>
      </c>
      <c r="D14" s="456"/>
      <c r="E14" s="456"/>
      <c r="F14" s="456" t="s">
        <v>164</v>
      </c>
      <c r="G14" s="456"/>
      <c r="H14" s="456"/>
      <c r="I14" s="456" t="s">
        <v>316</v>
      </c>
      <c r="J14" s="456"/>
      <c r="K14" s="456"/>
    </row>
    <row r="15" spans="1:16" s="197" customFormat="1" ht="15" customHeight="1" x14ac:dyDescent="0.2">
      <c r="A15" s="196"/>
      <c r="C15" s="198" t="s">
        <v>217</v>
      </c>
      <c r="D15" s="197" t="s">
        <v>218</v>
      </c>
      <c r="E15" s="137" t="s">
        <v>317</v>
      </c>
      <c r="F15" s="198" t="s">
        <v>217</v>
      </c>
      <c r="G15" s="197" t="s">
        <v>218</v>
      </c>
      <c r="H15" s="137" t="s">
        <v>317</v>
      </c>
      <c r="I15" s="198" t="s">
        <v>217</v>
      </c>
      <c r="J15" s="197" t="s">
        <v>218</v>
      </c>
      <c r="K15" s="137" t="s">
        <v>317</v>
      </c>
      <c r="O15" s="16"/>
    </row>
    <row r="16" spans="1:16" ht="15" customHeight="1" x14ac:dyDescent="0.25">
      <c r="A16" s="21"/>
      <c r="B16" s="199" t="s">
        <v>181</v>
      </c>
      <c r="C16" s="383">
        <f ca="1">'Provided - CAP Acct. 1'!I121</f>
        <v>0.33352790474891658</v>
      </c>
      <c r="D16" s="384">
        <f ca="1">'Provided - CAP Acct. 1'!I122</f>
        <v>2.942846528845271</v>
      </c>
      <c r="E16" s="385">
        <f ca="1">'Provided - CAP Acct. 1'!I123</f>
        <v>24229917.447060935</v>
      </c>
      <c r="F16" s="383">
        <f ca="1">'Q2 - Equity Waterfall 1'!E116</f>
        <v>0.22900502085685734</v>
      </c>
      <c r="G16" s="384">
        <f ca="1">'Q2 - Equity Waterfall 1'!E117</f>
        <v>2.0323762350423351</v>
      </c>
      <c r="H16" s="385">
        <f ca="1">'Q2 - Equity Waterfall 1'!E118</f>
        <v>11587612.052829351</v>
      </c>
      <c r="I16" s="383">
        <f ca="1">'Q2 - Equity Waterfall 1'!E126</f>
        <v>0.8679852366447447</v>
      </c>
      <c r="J16" s="384">
        <f ca="1">'Q2 - Equity Waterfall 1'!E127</f>
        <v>12.7351172184083</v>
      </c>
      <c r="K16" s="385">
        <f ca="1">'Q2 - Equity Waterfall 1'!E128</f>
        <v>13030710.923365615</v>
      </c>
    </row>
    <row r="17" spans="1:15" ht="15" customHeight="1" x14ac:dyDescent="0.2">
      <c r="A17" s="21"/>
      <c r="B17" s="178" t="str">
        <f>Scenario!B19</f>
        <v>Best Case</v>
      </c>
      <c r="C17" s="386">
        <f ca="1">IF($E$4=$F4,$C$16,C17)</f>
        <v>0.33352790474891658</v>
      </c>
      <c r="D17" s="387">
        <f ca="1">IF($E$4=$F4,$D$16,D17)</f>
        <v>2.942846528845271</v>
      </c>
      <c r="E17" s="388">
        <f ca="1">IF($E$4=$F4,$E$16,E17)</f>
        <v>24229917.447060935</v>
      </c>
      <c r="F17" s="386">
        <f ca="1">IF($E$4=$F4,$F$16,F17)</f>
        <v>0.22900502085685734</v>
      </c>
      <c r="G17" s="387">
        <f ca="1">IF($E$4=$F4,$G$16,G17)</f>
        <v>2.0323762350423351</v>
      </c>
      <c r="H17" s="388">
        <f ca="1">IF($E$4=$F4,$H$16,H17)</f>
        <v>11587612.052829351</v>
      </c>
      <c r="I17" s="386">
        <f ca="1">IF($E$4=$F4,$I$16,I17)</f>
        <v>0.8679852366447447</v>
      </c>
      <c r="J17" s="387">
        <f ca="1">IF($E$4=$F4,$J$16,J17)</f>
        <v>12.7351172184083</v>
      </c>
      <c r="K17" s="388">
        <f ca="1">IF($E$4=$F4,$K$16,K17)</f>
        <v>13030710.923365615</v>
      </c>
    </row>
    <row r="18" spans="1:15" ht="15" customHeight="1" x14ac:dyDescent="0.2">
      <c r="A18" s="21"/>
      <c r="B18" s="178" t="str">
        <f>Scenario!B20</f>
        <v>Most Likely Case</v>
      </c>
      <c r="C18" s="386">
        <f ca="1">IF($E$4=$F5,$C$16,C18)</f>
        <v>0.13242427706718443</v>
      </c>
      <c r="D18" s="387">
        <f t="shared" ref="D18:D19" ca="1" si="0">IF($E$4=$F5,$D$16,D18)</f>
        <v>1.8988420321508452</v>
      </c>
      <c r="E18" s="388">
        <f t="shared" ref="E18" ca="1" si="1">IF($E$4=$F5,$E$16,E18)</f>
        <v>11209772.832601294</v>
      </c>
      <c r="F18" s="386">
        <f t="shared" ref="F18:F19" ca="1" si="2">IF($E$4=$F5,$F$16,F18)</f>
        <v>9.4952723383903481E-2</v>
      </c>
      <c r="G18" s="387">
        <f t="shared" ref="G18:G19" ca="1" si="3">IF($E$4=$F5,$G$16,G18)</f>
        <v>1.5683742365114832</v>
      </c>
      <c r="H18" s="388">
        <f t="shared" ref="H18:H19" ca="1" si="4">IF($E$4=$F5,$H$16,H18)</f>
        <v>6379554.2070454983</v>
      </c>
      <c r="I18" s="386">
        <f t="shared" ref="I18:I19" ca="1" si="5">IF($E$4=$F5,$I$16,I18)</f>
        <v>0.37545518279075618</v>
      </c>
      <c r="J18" s="387">
        <f t="shared" ref="J18:J19" ca="1" si="6">IF($E$4=$F5,$J$16,J18)</f>
        <v>5.8779075887730041</v>
      </c>
      <c r="K18" s="388">
        <f t="shared" ref="K18:K19" ca="1" si="7">IF($E$4=$F5,$K$16,K18)</f>
        <v>5416443.8681945931</v>
      </c>
    </row>
    <row r="19" spans="1:15" ht="15" customHeight="1" x14ac:dyDescent="0.2">
      <c r="A19" s="21"/>
      <c r="B19" s="178" t="str">
        <f>Scenario!B21</f>
        <v>Worst Case</v>
      </c>
      <c r="C19" s="386">
        <f ca="1">IF($E$4=$F6,$C$16,C19)</f>
        <v>-0.102445157058537</v>
      </c>
      <c r="D19" s="387">
        <f t="shared" ca="1" si="0"/>
        <v>0.54091780393665145</v>
      </c>
      <c r="E19" s="388">
        <f ca="1">IF($E$4=$F6,$E$16,E19)</f>
        <v>-5859189.3295931304</v>
      </c>
      <c r="F19" s="386">
        <f t="shared" ca="1" si="2"/>
        <v>-8.5564021766185772E-2</v>
      </c>
      <c r="G19" s="387">
        <f t="shared" ca="1" si="3"/>
        <v>0.60101978215183127</v>
      </c>
      <c r="H19" s="388">
        <f t="shared" ca="1" si="4"/>
        <v>-4582906.0452846503</v>
      </c>
      <c r="I19" s="386">
        <f t="shared" ca="1" si="5"/>
        <v>-0.1987298909574747</v>
      </c>
      <c r="J19" s="387">
        <f t="shared" ca="1" si="6"/>
        <v>0.44082445159655254</v>
      </c>
      <c r="K19" s="388">
        <f t="shared" ca="1" si="7"/>
        <v>-620910.2807451993</v>
      </c>
    </row>
    <row r="20" spans="1:15" s="21" customFormat="1" ht="10.15" customHeight="1" x14ac:dyDescent="0.2">
      <c r="B20" s="22"/>
      <c r="C20" s="108"/>
      <c r="D20" s="108"/>
      <c r="E20" s="200"/>
      <c r="F20" s="108"/>
      <c r="G20" s="200"/>
      <c r="H20" s="200"/>
      <c r="I20" s="108"/>
      <c r="J20" s="200"/>
      <c r="K20" s="108"/>
      <c r="O20" s="16"/>
    </row>
    <row r="21" spans="1:15" ht="30" customHeight="1" x14ac:dyDescent="0.2">
      <c r="A21" s="21"/>
      <c r="B21" s="411" t="s">
        <v>314</v>
      </c>
      <c r="C21" s="386">
        <f t="shared" ref="C21:K21" ca="1" si="8">SUMPRODUCT(C17:C19,Probabilities)</f>
        <v>0.16758013163693244</v>
      </c>
      <c r="D21" s="413">
        <f t="shared" ca="1" si="8"/>
        <v>2.0605549717617651</v>
      </c>
      <c r="E21" s="412">
        <f t="shared" ca="1" si="8"/>
        <v>13206479.123333003</v>
      </c>
      <c r="F21" s="386">
        <f t="shared" ca="1" si="8"/>
        <v>0.11479351572692394</v>
      </c>
      <c r="G21" s="413">
        <f t="shared" ca="1" si="8"/>
        <v>1.5856717678433336</v>
      </c>
      <c r="H21" s="412">
        <f t="shared" ca="1" si="8"/>
        <v>6558005.4152203249</v>
      </c>
      <c r="I21" s="386">
        <f t="shared" ca="1" si="8"/>
        <v>0.46171294057741752</v>
      </c>
      <c r="J21" s="413">
        <f t="shared" ca="1" si="8"/>
        <v>7.462368488568889</v>
      </c>
      <c r="K21" s="412">
        <f t="shared" ca="1" si="8"/>
        <v>7175834.2151634824</v>
      </c>
    </row>
    <row r="22" spans="1:15" s="21" customFormat="1" ht="15" customHeight="1" x14ac:dyDescent="0.2">
      <c r="B22" s="22"/>
      <c r="C22" s="14"/>
      <c r="D22" s="14"/>
      <c r="E22" s="14"/>
      <c r="F22" s="23"/>
      <c r="G22" s="23"/>
      <c r="H22" s="23"/>
      <c r="I22" s="14"/>
      <c r="J22" s="15"/>
      <c r="K22" s="14"/>
      <c r="O22" s="16"/>
    </row>
    <row r="23" spans="1:15" ht="15" customHeight="1" x14ac:dyDescent="0.2">
      <c r="A23" s="21"/>
      <c r="B23" s="457" t="s">
        <v>337</v>
      </c>
      <c r="C23" s="457"/>
      <c r="D23" s="457"/>
      <c r="E23" s="457"/>
      <c r="F23" s="457"/>
      <c r="G23" s="457"/>
      <c r="H23" s="457"/>
      <c r="I23" s="191"/>
      <c r="J23" s="191"/>
      <c r="K23" s="191"/>
    </row>
    <row r="24" spans="1:15" ht="10.15" customHeight="1" x14ac:dyDescent="0.2">
      <c r="A24" s="21"/>
      <c r="B24" s="201"/>
      <c r="C24" s="201"/>
      <c r="D24" s="201"/>
      <c r="E24" s="201"/>
      <c r="F24" s="201"/>
      <c r="G24" s="201"/>
      <c r="H24" s="201"/>
      <c r="I24" s="191"/>
      <c r="J24" s="191"/>
      <c r="K24" s="191"/>
    </row>
    <row r="25" spans="1:15" ht="16.899999999999999" customHeight="1" x14ac:dyDescent="0.2">
      <c r="A25" s="21"/>
      <c r="B25" s="191"/>
      <c r="C25" s="456" t="s">
        <v>318</v>
      </c>
      <c r="D25" s="456"/>
      <c r="E25" s="456"/>
      <c r="F25" s="456" t="s">
        <v>336</v>
      </c>
      <c r="G25" s="456"/>
      <c r="H25" s="456"/>
      <c r="I25" s="456" t="s">
        <v>316</v>
      </c>
      <c r="J25" s="456"/>
      <c r="K25" s="456"/>
    </row>
    <row r="26" spans="1:15" s="197" customFormat="1" ht="15" customHeight="1" x14ac:dyDescent="0.2">
      <c r="A26" s="196"/>
      <c r="C26" s="198" t="s">
        <v>217</v>
      </c>
      <c r="D26" s="197" t="s">
        <v>218</v>
      </c>
      <c r="E26" s="137" t="s">
        <v>317</v>
      </c>
      <c r="F26" s="198" t="s">
        <v>217</v>
      </c>
      <c r="G26" s="197" t="s">
        <v>218</v>
      </c>
      <c r="H26" s="137" t="s">
        <v>317</v>
      </c>
      <c r="I26" s="198" t="s">
        <v>217</v>
      </c>
      <c r="J26" s="197" t="s">
        <v>218</v>
      </c>
      <c r="K26" s="137" t="s">
        <v>317</v>
      </c>
      <c r="O26" s="16"/>
    </row>
    <row r="27" spans="1:15" ht="15" customHeight="1" x14ac:dyDescent="0.25">
      <c r="A27" s="21"/>
      <c r="B27" s="199" t="s">
        <v>181</v>
      </c>
      <c r="C27" s="383">
        <f ca="1">'Q1 - CAP Acct. 2'!I122</f>
        <v>0.36700208783149713</v>
      </c>
      <c r="D27" s="384">
        <f ca="1">'Q1 - CAP Acct. 2'!I123</f>
        <v>2.8681056034367032</v>
      </c>
      <c r="E27" s="385">
        <f ca="1">'Q1 - CAP Acct. 2'!I124</f>
        <v>23221116.913153533</v>
      </c>
      <c r="F27" s="383">
        <f ca="1">'Q3 - Equity Waterfall 2'!E145</f>
        <v>0.21543372273445133</v>
      </c>
      <c r="G27" s="384">
        <f ca="1">'Q3 - Equity Waterfall 2'!E146</f>
        <v>1.8081023631728665</v>
      </c>
      <c r="H27" s="385">
        <f ca="1">'Q3 - Equity Waterfall 2'!E147</f>
        <v>13016196.754562486</v>
      </c>
      <c r="I27" s="383">
        <f ca="1">'Q3 - Equity Waterfall 2'!E135</f>
        <v>0.9464397549629211</v>
      </c>
      <c r="J27" s="384">
        <f ca="1">'Q3 - Equity Waterfall 2'!E136</f>
        <v>12.227224108283721</v>
      </c>
      <c r="K27" s="385">
        <f ca="1">'Q3 - Equity Waterfall 2'!E137</f>
        <v>12390622.644857112</v>
      </c>
    </row>
    <row r="28" spans="1:15" ht="15" customHeight="1" x14ac:dyDescent="0.2">
      <c r="A28" s="21"/>
      <c r="B28" s="178" t="str">
        <f>B17</f>
        <v>Best Case</v>
      </c>
      <c r="C28" s="386">
        <f ca="1">IF($E$4=$F4,$C$27,C28)</f>
        <v>0.36700208783149713</v>
      </c>
      <c r="D28" s="387">
        <f ca="1">IF($E$4=$F4,$D$27,D28)</f>
        <v>2.8681056034367032</v>
      </c>
      <c r="E28" s="388">
        <f ca="1">IF($E$4=$F4,$E$27,E28)</f>
        <v>23221116.913153533</v>
      </c>
      <c r="F28" s="386">
        <f ca="1">IF($E$4=$F4,$F$27,F28)</f>
        <v>0.21543372273445133</v>
      </c>
      <c r="G28" s="387">
        <f ca="1">IF($E$4=$F4,$G$27,G28)</f>
        <v>1.8081023631728665</v>
      </c>
      <c r="H28" s="388">
        <f ca="1">IF($E$4=$F4,$H$27,H28)</f>
        <v>13016196.754562486</v>
      </c>
      <c r="I28" s="386">
        <f ca="1">IF($E$4=$F4,$I$27,I28)</f>
        <v>0.9464397549629211</v>
      </c>
      <c r="J28" s="387">
        <f ca="1">IF($E$4=$F4,$J$27,J28)</f>
        <v>12.227224108283721</v>
      </c>
      <c r="K28" s="388">
        <f ca="1">IF($E$4=$F4,$K$27,K28)</f>
        <v>12390622.644857112</v>
      </c>
    </row>
    <row r="29" spans="1:15" ht="15" customHeight="1" x14ac:dyDescent="0.2">
      <c r="A29" s="21"/>
      <c r="B29" s="178" t="str">
        <f>B18</f>
        <v>Most Likely Case</v>
      </c>
      <c r="C29" s="386">
        <f t="shared" ref="C29:C30" ca="1" si="9">IF($E$4=$F5,$C$27,C29)</f>
        <v>0.13001292347908022</v>
      </c>
      <c r="D29" s="387">
        <f t="shared" ref="D29:D30" ca="1" si="10">IF($E$4=$F5,$D$27,D29)</f>
        <v>1.8167194819894723</v>
      </c>
      <c r="E29" s="388">
        <f t="shared" ref="E29:E30" ca="1" si="11">IF($E$4=$F5,$E$27,E29)</f>
        <v>10152069.851746097</v>
      </c>
      <c r="F29" s="386">
        <f t="shared" ref="F29:F30" ca="1" si="12">IF($E$4=$F5,$F$27,F29)</f>
        <v>0.10351492762565612</v>
      </c>
      <c r="G29" s="387">
        <f t="shared" ref="G29:G30" ca="1" si="13">IF($E$4=$F5,$G$27,G29)</f>
        <v>1.5110476670087079</v>
      </c>
      <c r="H29" s="388">
        <f t="shared" ref="H29:H30" ca="1" si="14">IF($E$4=$F5,$H$27,H29)</f>
        <v>8231502.948002778</v>
      </c>
      <c r="I29" s="386">
        <f t="shared" ref="I29:I30" ca="1" si="15">IF($E$4=$F5,$I$27,I29)</f>
        <v>0.36594852805137634</v>
      </c>
      <c r="J29" s="387">
        <f t="shared" ref="J29:J30" ca="1" si="16">IF($E$4=$F5,$J$27,J29)</f>
        <v>5.0084828364507521</v>
      </c>
      <c r="K29" s="388">
        <f t="shared" ref="K29:K30" ca="1" si="17">IF($E$4=$F5,$K$27,K29)</f>
        <v>4423853.8151386678</v>
      </c>
    </row>
    <row r="30" spans="1:15" ht="15" customHeight="1" x14ac:dyDescent="0.2">
      <c r="A30" s="21"/>
      <c r="B30" s="178" t="str">
        <f>B19</f>
        <v>Worst Case</v>
      </c>
      <c r="C30" s="386">
        <f t="shared" ca="1" si="9"/>
        <v>-0.1541231071576476</v>
      </c>
      <c r="D30" s="387">
        <f t="shared" ca="1" si="10"/>
        <v>0.41458988857792006</v>
      </c>
      <c r="E30" s="388">
        <f t="shared" ca="1" si="11"/>
        <v>-7447461.9973603748</v>
      </c>
      <c r="F30" s="386">
        <f t="shared" ca="1" si="12"/>
        <v>-5.121300667524338E-2</v>
      </c>
      <c r="G30" s="387">
        <f t="shared" ca="1" si="13"/>
        <v>0.78986161911368991</v>
      </c>
      <c r="H30" s="388">
        <f t="shared" ca="1" si="14"/>
        <v>-3384722.8221955914</v>
      </c>
      <c r="I30" s="386">
        <f t="shared" ca="1" si="15"/>
        <v>-0.2286660525947809</v>
      </c>
      <c r="J30" s="387">
        <f t="shared" ca="1" si="16"/>
        <v>0.4048989507071728</v>
      </c>
      <c r="K30" s="388">
        <f t="shared" ca="1" si="17"/>
        <v>-656767.19964157662</v>
      </c>
    </row>
    <row r="31" spans="1:15" s="21" customFormat="1" ht="10.15" customHeight="1" x14ac:dyDescent="0.2">
      <c r="B31" s="22"/>
      <c r="C31" s="202"/>
      <c r="D31" s="202"/>
      <c r="E31" s="203"/>
      <c r="F31" s="202"/>
      <c r="G31" s="203"/>
      <c r="H31" s="203"/>
      <c r="I31" s="202"/>
      <c r="J31" s="203"/>
      <c r="K31" s="202"/>
      <c r="O31" s="16"/>
    </row>
    <row r="32" spans="1:15" ht="30" customHeight="1" x14ac:dyDescent="0.2">
      <c r="A32" s="21"/>
      <c r="B32" s="411" t="s">
        <v>314</v>
      </c>
      <c r="C32" s="386">
        <f t="shared" ref="C32:K32" ca="1" si="18">SUMPRODUCT(C28:C30,Probabilities)</f>
        <v>0.17033872640691694</v>
      </c>
      <c r="D32" s="413">
        <f t="shared" ca="1" si="18"/>
        <v>1.9743851854842702</v>
      </c>
      <c r="E32" s="412">
        <f t="shared" ca="1" si="18"/>
        <v>12086306.545872727</v>
      </c>
      <c r="F32" s="386">
        <f t="shared" ca="1" si="18"/>
        <v>0.11947731576859953</v>
      </c>
      <c r="G32" s="413">
        <f t="shared" ca="1" si="18"/>
        <v>1.5068389034819107</v>
      </c>
      <c r="H32" s="412">
        <f t="shared" ca="1" si="18"/>
        <v>8163711.9147689193</v>
      </c>
      <c r="I32" s="386">
        <f t="shared" ca="1" si="18"/>
        <v>0.47992827037349339</v>
      </c>
      <c r="J32" s="413">
        <f t="shared" ca="1" si="18"/>
        <v>6.8445046987307538</v>
      </c>
      <c r="K32" s="412">
        <f t="shared" ca="1" si="18"/>
        <v>6450129.7533230865</v>
      </c>
    </row>
    <row r="33" spans="2:15" s="21" customFormat="1" ht="15" customHeight="1" x14ac:dyDescent="0.25">
      <c r="B33" s="178"/>
      <c r="C33" s="178"/>
      <c r="D33" s="178"/>
      <c r="E33" s="178"/>
      <c r="F33" s="178"/>
      <c r="G33" s="178"/>
      <c r="H33" s="204"/>
      <c r="I33" s="204"/>
      <c r="J33" s="204"/>
      <c r="K33" s="204"/>
      <c r="L33" s="204"/>
      <c r="M33" s="14"/>
      <c r="N33" s="14"/>
      <c r="O33" s="16"/>
    </row>
    <row r="34" spans="2:15" s="21" customFormat="1" ht="16.899999999999999" customHeight="1" x14ac:dyDescent="0.25">
      <c r="B34" s="132" t="s">
        <v>353</v>
      </c>
      <c r="C34" s="178"/>
      <c r="D34" s="178"/>
      <c r="E34" s="178"/>
      <c r="F34" s="178"/>
      <c r="G34" s="178"/>
      <c r="H34" s="204"/>
      <c r="I34" s="204"/>
      <c r="J34" s="204"/>
      <c r="K34" s="204"/>
      <c r="L34" s="204"/>
      <c r="M34" s="14"/>
      <c r="N34" s="14"/>
      <c r="O34" s="16"/>
    </row>
    <row r="35" spans="2:15" s="21" customFormat="1" ht="10.15" customHeight="1" x14ac:dyDescent="0.25">
      <c r="B35" s="132"/>
      <c r="C35" s="178"/>
      <c r="D35" s="178"/>
      <c r="E35" s="178"/>
      <c r="F35" s="178"/>
      <c r="G35" s="178"/>
      <c r="H35" s="204"/>
      <c r="I35" s="204"/>
      <c r="J35" s="204"/>
      <c r="K35" s="204"/>
      <c r="L35" s="204"/>
      <c r="M35" s="14"/>
      <c r="N35" s="14"/>
      <c r="O35" s="16"/>
    </row>
    <row r="36" spans="2:15" s="21" customFormat="1" ht="15" customHeight="1" x14ac:dyDescent="0.25">
      <c r="B36" s="205" t="s">
        <v>339</v>
      </c>
      <c r="C36" s="178"/>
      <c r="D36" s="178"/>
      <c r="E36" s="178"/>
      <c r="F36" s="178"/>
      <c r="G36" s="178"/>
      <c r="H36" s="377"/>
      <c r="I36" s="377"/>
      <c r="J36" s="377"/>
      <c r="K36" s="377"/>
      <c r="L36" s="377"/>
      <c r="M36" s="14"/>
      <c r="N36" s="14"/>
      <c r="O36" s="16"/>
    </row>
    <row r="37" spans="2:15" s="21" customFormat="1" ht="10.15" customHeight="1" x14ac:dyDescent="0.25">
      <c r="B37" s="178"/>
      <c r="C37" s="178"/>
      <c r="D37" s="178"/>
      <c r="E37" s="178"/>
      <c r="F37" s="178"/>
      <c r="G37" s="178"/>
      <c r="H37" s="377"/>
      <c r="I37" s="377"/>
      <c r="J37" s="377"/>
      <c r="K37" s="377"/>
      <c r="L37" s="377"/>
      <c r="M37" s="14"/>
      <c r="N37" s="14"/>
      <c r="O37" s="16"/>
    </row>
    <row r="38" spans="2:15" s="21" customFormat="1" ht="15" customHeight="1" x14ac:dyDescent="0.25">
      <c r="B38" s="206" t="str">
        <f>B12</f>
        <v>Deal Structure 1 - Fulcrum Capital takes a preferred equity stake and Eagle Investments takes the LP Position.</v>
      </c>
      <c r="C38" s="178"/>
      <c r="D38" s="178"/>
      <c r="E38" s="178"/>
      <c r="F38" s="178"/>
      <c r="G38" s="178"/>
      <c r="H38" s="377"/>
      <c r="I38" s="377"/>
      <c r="J38" s="377"/>
      <c r="K38" s="377"/>
      <c r="L38" s="377"/>
      <c r="M38" s="14"/>
      <c r="N38" s="14"/>
      <c r="O38" s="16"/>
    </row>
    <row r="39" spans="2:15" s="21" customFormat="1" ht="10.15" customHeight="1" x14ac:dyDescent="0.25">
      <c r="B39" s="178"/>
      <c r="C39" s="178"/>
      <c r="D39" s="178"/>
      <c r="E39" s="178"/>
      <c r="F39" s="178"/>
      <c r="G39" s="178"/>
      <c r="H39" s="377"/>
      <c r="I39" s="377"/>
      <c r="J39" s="377"/>
      <c r="K39" s="377"/>
      <c r="L39" s="377"/>
      <c r="M39" s="14"/>
      <c r="N39" s="14"/>
      <c r="O39" s="16"/>
    </row>
    <row r="40" spans="2:15" s="21" customFormat="1" ht="15" customHeight="1" x14ac:dyDescent="0.25">
      <c r="B40" s="204" t="s">
        <v>181</v>
      </c>
      <c r="C40" s="207" t="s">
        <v>340</v>
      </c>
      <c r="D40" s="207" t="s">
        <v>341</v>
      </c>
      <c r="E40" s="207" t="s">
        <v>342</v>
      </c>
      <c r="F40" s="207" t="s">
        <v>343</v>
      </c>
      <c r="G40" s="207" t="s">
        <v>344</v>
      </c>
      <c r="H40" s="377"/>
      <c r="I40" s="377"/>
      <c r="J40" s="377"/>
      <c r="K40" s="377"/>
      <c r="L40" s="377"/>
      <c r="M40" s="14"/>
      <c r="N40" s="14"/>
      <c r="O40" s="16"/>
    </row>
    <row r="41" spans="2:15" s="21" customFormat="1" ht="15" customHeight="1" x14ac:dyDescent="0.25">
      <c r="B41" s="178" t="str">
        <f>B17</f>
        <v>Best Case</v>
      </c>
      <c r="C41" s="386">
        <f ca="1">C17</f>
        <v>0.33352790474891658</v>
      </c>
      <c r="D41" s="386">
        <f>Scenario!P19</f>
        <v>0.35</v>
      </c>
      <c r="E41" s="386">
        <f ca="1">C41-$C$44</f>
        <v>0.16594777311198414</v>
      </c>
      <c r="F41" s="386">
        <f ca="1">E41^2</f>
        <v>2.7538663400826564E-2</v>
      </c>
      <c r="G41" s="386">
        <f ca="1">D41*F41</f>
        <v>9.6385321902892965E-3</v>
      </c>
      <c r="H41" s="377"/>
      <c r="I41" s="377"/>
      <c r="J41" s="377"/>
      <c r="K41" s="377"/>
      <c r="L41" s="377"/>
      <c r="M41" s="14"/>
      <c r="N41" s="14"/>
      <c r="O41" s="16"/>
    </row>
    <row r="42" spans="2:15" s="21" customFormat="1" ht="15" customHeight="1" x14ac:dyDescent="0.25">
      <c r="B42" s="178" t="str">
        <f t="shared" ref="B42:C43" si="19">B18</f>
        <v>Most Likely Case</v>
      </c>
      <c r="C42" s="386">
        <f t="shared" ca="1" si="19"/>
        <v>0.13242427706718443</v>
      </c>
      <c r="D42" s="386">
        <f>Scenario!P20</f>
        <v>0.5</v>
      </c>
      <c r="E42" s="386">
        <f t="shared" ref="E42:E43" ca="1" si="20">C42-$C$44</f>
        <v>-3.5155854569748013E-2</v>
      </c>
      <c r="F42" s="386">
        <f t="shared" ref="F42:F43" ca="1" si="21">E42^2</f>
        <v>1.2359341105292723E-3</v>
      </c>
      <c r="G42" s="386">
        <f t="shared" ref="G42:G43" ca="1" si="22">D42*F42</f>
        <v>6.1796705526463616E-4</v>
      </c>
      <c r="H42" s="377"/>
      <c r="I42" s="377"/>
      <c r="J42" s="377"/>
      <c r="K42" s="377"/>
      <c r="L42" s="377"/>
      <c r="M42" s="14"/>
      <c r="N42" s="14"/>
      <c r="O42" s="16"/>
    </row>
    <row r="43" spans="2:15" s="21" customFormat="1" ht="15" customHeight="1" thickBot="1" x14ac:dyDescent="0.3">
      <c r="B43" s="178" t="str">
        <f t="shared" si="19"/>
        <v>Worst Case</v>
      </c>
      <c r="C43" s="386">
        <f t="shared" ca="1" si="19"/>
        <v>-0.102445157058537</v>
      </c>
      <c r="D43" s="386">
        <f>Scenario!P21</f>
        <v>0.15</v>
      </c>
      <c r="E43" s="386">
        <f t="shared" ca="1" si="20"/>
        <v>-0.27002528869546943</v>
      </c>
      <c r="F43" s="386">
        <f t="shared" ca="1" si="21"/>
        <v>7.2913656535071619E-2</v>
      </c>
      <c r="G43" s="386">
        <f t="shared" ca="1" si="22"/>
        <v>1.0937048480260742E-2</v>
      </c>
      <c r="H43" s="377"/>
      <c r="I43" s="377"/>
      <c r="J43" s="377"/>
      <c r="K43" s="377"/>
      <c r="L43" s="377"/>
      <c r="M43" s="14"/>
      <c r="N43" s="14"/>
      <c r="O43" s="16"/>
    </row>
    <row r="44" spans="2:15" s="21" customFormat="1" ht="15" customHeight="1" x14ac:dyDescent="0.25">
      <c r="B44" s="204" t="s">
        <v>347</v>
      </c>
      <c r="C44" s="389">
        <f ca="1">SUMPRODUCT(C41:C43,D41:D43)</f>
        <v>0.16758013163693244</v>
      </c>
      <c r="D44" s="208"/>
      <c r="E44" s="208"/>
      <c r="F44" s="208"/>
      <c r="G44" s="208"/>
      <c r="H44" s="377"/>
      <c r="I44" s="377"/>
      <c r="J44" s="377"/>
      <c r="K44" s="377"/>
      <c r="L44" s="377"/>
      <c r="M44" s="14"/>
      <c r="N44" s="14"/>
      <c r="O44" s="16"/>
    </row>
    <row r="45" spans="2:15" s="21" customFormat="1" ht="15" customHeight="1" x14ac:dyDescent="0.25">
      <c r="B45" s="204" t="s">
        <v>345</v>
      </c>
      <c r="C45" s="390">
        <f ca="1">SQRT(SUM(G41:G43))</f>
        <v>0.1455800388989324</v>
      </c>
      <c r="D45" s="208"/>
      <c r="E45" s="208"/>
      <c r="F45" s="208"/>
      <c r="G45" s="208"/>
      <c r="H45" s="377"/>
      <c r="I45" s="377"/>
      <c r="J45" s="377"/>
      <c r="K45" s="377"/>
      <c r="L45" s="377"/>
      <c r="M45" s="14"/>
      <c r="N45" s="14"/>
      <c r="O45" s="16"/>
    </row>
    <row r="46" spans="2:15" s="21" customFormat="1" ht="15" customHeight="1" thickBot="1" x14ac:dyDescent="0.3">
      <c r="B46" s="204" t="s">
        <v>346</v>
      </c>
      <c r="C46" s="391">
        <f ca="1">C44/C45</f>
        <v>1.1511202559388889</v>
      </c>
      <c r="D46" s="208"/>
      <c r="E46" s="208"/>
      <c r="F46" s="208"/>
      <c r="G46" s="208"/>
      <c r="H46" s="377"/>
      <c r="I46" s="377"/>
      <c r="J46" s="377"/>
      <c r="K46" s="377"/>
      <c r="L46" s="377"/>
      <c r="M46" s="14"/>
      <c r="N46" s="14"/>
      <c r="O46" s="16"/>
    </row>
    <row r="47" spans="2:15" s="21" customFormat="1" ht="10.15" customHeight="1" x14ac:dyDescent="0.25">
      <c r="B47" s="178"/>
      <c r="C47" s="178"/>
      <c r="D47" s="178"/>
      <c r="E47" s="178"/>
      <c r="F47" s="178"/>
      <c r="G47" s="178"/>
      <c r="H47" s="377"/>
      <c r="I47" s="377"/>
      <c r="J47" s="377"/>
      <c r="K47" s="377"/>
      <c r="L47" s="377"/>
      <c r="M47" s="14"/>
      <c r="N47" s="14"/>
      <c r="O47" s="16"/>
    </row>
    <row r="48" spans="2:15" s="21" customFormat="1" ht="15" customHeight="1" x14ac:dyDescent="0.25">
      <c r="B48" s="206" t="str">
        <f>B23</f>
        <v>Deal Structure 2 - SCP takes both a preferred equity AND Limited Partner (Co-Investor) stake.</v>
      </c>
      <c r="C48" s="178"/>
      <c r="D48" s="178"/>
      <c r="E48" s="178"/>
      <c r="F48" s="178"/>
      <c r="G48" s="178"/>
      <c r="H48" s="377"/>
      <c r="I48" s="377"/>
      <c r="J48" s="377"/>
      <c r="K48" s="377"/>
      <c r="L48" s="377"/>
      <c r="M48" s="14"/>
      <c r="N48" s="14"/>
      <c r="O48" s="16"/>
    </row>
    <row r="49" spans="2:15" s="21" customFormat="1" ht="10.15" customHeight="1" x14ac:dyDescent="0.25">
      <c r="B49" s="178"/>
      <c r="C49" s="178"/>
      <c r="D49" s="178"/>
      <c r="E49" s="178"/>
      <c r="F49" s="178"/>
      <c r="G49" s="178"/>
      <c r="H49" s="377"/>
      <c r="I49" s="377"/>
      <c r="J49" s="377"/>
      <c r="K49" s="377"/>
      <c r="L49" s="377"/>
      <c r="M49" s="14"/>
      <c r="N49" s="14"/>
      <c r="O49" s="16"/>
    </row>
    <row r="50" spans="2:15" s="21" customFormat="1" ht="15" customHeight="1" x14ac:dyDescent="0.25">
      <c r="B50" s="204" t="s">
        <v>181</v>
      </c>
      <c r="C50" s="207" t="s">
        <v>340</v>
      </c>
      <c r="D50" s="207" t="s">
        <v>341</v>
      </c>
      <c r="E50" s="207" t="s">
        <v>342</v>
      </c>
      <c r="F50" s="207" t="s">
        <v>343</v>
      </c>
      <c r="G50" s="207" t="s">
        <v>344</v>
      </c>
      <c r="H50" s="377"/>
      <c r="I50" s="377"/>
      <c r="J50" s="377"/>
      <c r="K50" s="377"/>
      <c r="L50" s="377"/>
      <c r="M50" s="14"/>
      <c r="N50" s="14"/>
      <c r="O50" s="16"/>
    </row>
    <row r="51" spans="2:15" s="21" customFormat="1" ht="15" customHeight="1" x14ac:dyDescent="0.25">
      <c r="B51" s="178" t="str">
        <f>B41</f>
        <v>Best Case</v>
      </c>
      <c r="C51" s="386">
        <f ca="1">C28</f>
        <v>0.36700208783149713</v>
      </c>
      <c r="D51" s="386">
        <f>Scenario!P19</f>
        <v>0.35</v>
      </c>
      <c r="E51" s="386">
        <f ca="1">C51-$C$54</f>
        <v>0.19666336142458019</v>
      </c>
      <c r="F51" s="386">
        <f ca="1">E51^2</f>
        <v>3.8676477726815053E-2</v>
      </c>
      <c r="G51" s="386">
        <f ca="1">D51*F51</f>
        <v>1.3536767204385267E-2</v>
      </c>
      <c r="H51" s="377"/>
      <c r="I51" s="377"/>
      <c r="J51" s="377"/>
      <c r="K51" s="377"/>
      <c r="L51" s="377"/>
      <c r="M51" s="14"/>
      <c r="N51" s="14"/>
      <c r="O51" s="16"/>
    </row>
    <row r="52" spans="2:15" s="21" customFormat="1" ht="15" customHeight="1" x14ac:dyDescent="0.25">
      <c r="B52" s="178" t="str">
        <f t="shared" ref="B52:B53" si="23">B42</f>
        <v>Most Likely Case</v>
      </c>
      <c r="C52" s="386">
        <f t="shared" ref="C52:C53" ca="1" si="24">C29</f>
        <v>0.13001292347908022</v>
      </c>
      <c r="D52" s="386">
        <f>Scenario!P20</f>
        <v>0.5</v>
      </c>
      <c r="E52" s="386">
        <f t="shared" ref="E52:E53" ca="1" si="25">C52-$C$54</f>
        <v>-4.0325802927836718E-2</v>
      </c>
      <c r="F52" s="386">
        <f t="shared" ref="F52:F53" ca="1" si="26">E52^2</f>
        <v>1.6261703817747244E-3</v>
      </c>
      <c r="G52" s="386">
        <f t="shared" ref="G52:G53" ca="1" si="27">D52*F52</f>
        <v>8.1308519088736219E-4</v>
      </c>
      <c r="H52" s="377"/>
      <c r="I52" s="377"/>
      <c r="J52" s="377"/>
      <c r="K52" s="377"/>
      <c r="L52" s="377"/>
      <c r="M52" s="14"/>
      <c r="N52" s="14"/>
      <c r="O52" s="16"/>
    </row>
    <row r="53" spans="2:15" s="21" customFormat="1" ht="15" customHeight="1" thickBot="1" x14ac:dyDescent="0.3">
      <c r="B53" s="178" t="str">
        <f t="shared" si="23"/>
        <v>Worst Case</v>
      </c>
      <c r="C53" s="386">
        <f t="shared" ca="1" si="24"/>
        <v>-0.1541231071576476</v>
      </c>
      <c r="D53" s="386">
        <f>Scenario!P21</f>
        <v>0.15</v>
      </c>
      <c r="E53" s="386">
        <f t="shared" ca="1" si="25"/>
        <v>-0.32446183356456454</v>
      </c>
      <c r="F53" s="386">
        <f t="shared" ca="1" si="26"/>
        <v>0.10527548144007919</v>
      </c>
      <c r="G53" s="386">
        <f t="shared" ca="1" si="27"/>
        <v>1.5791322216011879E-2</v>
      </c>
      <c r="H53" s="377"/>
      <c r="I53" s="377"/>
      <c r="J53" s="377"/>
      <c r="K53" s="377"/>
      <c r="L53" s="377"/>
      <c r="M53" s="14"/>
      <c r="N53" s="14"/>
      <c r="O53" s="16"/>
    </row>
    <row r="54" spans="2:15" s="21" customFormat="1" ht="15" customHeight="1" x14ac:dyDescent="0.25">
      <c r="B54" s="204" t="s">
        <v>347</v>
      </c>
      <c r="C54" s="389">
        <f ca="1">SUMPRODUCT(C51:C53,D51:D53)</f>
        <v>0.17033872640691694</v>
      </c>
      <c r="D54" s="208"/>
      <c r="E54" s="208"/>
      <c r="F54" s="208"/>
      <c r="G54" s="208"/>
      <c r="H54" s="377"/>
      <c r="I54" s="377"/>
      <c r="J54" s="377"/>
      <c r="K54" s="377"/>
      <c r="L54" s="377"/>
      <c r="M54" s="14"/>
      <c r="N54" s="14"/>
      <c r="O54" s="16"/>
    </row>
    <row r="55" spans="2:15" s="21" customFormat="1" ht="15" customHeight="1" x14ac:dyDescent="0.25">
      <c r="B55" s="204" t="s">
        <v>345</v>
      </c>
      <c r="C55" s="390">
        <f ca="1">SQRT(SUM(G51:G53))</f>
        <v>0.17361213843301543</v>
      </c>
      <c r="D55" s="208"/>
      <c r="E55" s="208"/>
      <c r="F55" s="208"/>
      <c r="G55" s="208"/>
      <c r="H55" s="377"/>
      <c r="I55" s="377"/>
      <c r="J55" s="377"/>
      <c r="K55" s="377"/>
      <c r="L55" s="377"/>
      <c r="M55" s="14"/>
      <c r="N55" s="14"/>
      <c r="O55" s="16"/>
    </row>
    <row r="56" spans="2:15" s="21" customFormat="1" ht="15" customHeight="1" thickBot="1" x14ac:dyDescent="0.3">
      <c r="B56" s="204" t="s">
        <v>346</v>
      </c>
      <c r="C56" s="391">
        <f ca="1">C54/C55</f>
        <v>0.98114525830023425</v>
      </c>
      <c r="D56" s="208"/>
      <c r="E56" s="208"/>
      <c r="F56" s="208"/>
      <c r="G56" s="208"/>
      <c r="H56" s="377"/>
      <c r="I56" s="377"/>
      <c r="J56" s="377"/>
      <c r="K56" s="377"/>
      <c r="L56" s="377"/>
      <c r="M56" s="14"/>
      <c r="N56" s="14"/>
      <c r="O56" s="23"/>
    </row>
    <row r="57" spans="2:15" s="21" customFormat="1" ht="15" customHeight="1" x14ac:dyDescent="0.25">
      <c r="B57" s="209"/>
      <c r="C57" s="209"/>
      <c r="D57" s="209"/>
      <c r="E57" s="209"/>
      <c r="F57" s="209"/>
      <c r="G57" s="209"/>
      <c r="H57" s="377"/>
      <c r="I57" s="377"/>
      <c r="J57" s="377"/>
      <c r="K57" s="377"/>
      <c r="L57" s="377"/>
      <c r="M57" s="14"/>
      <c r="N57" s="14"/>
      <c r="O57" s="23"/>
    </row>
    <row r="58" spans="2:15" s="21" customFormat="1" ht="15" customHeight="1" x14ac:dyDescent="0.25">
      <c r="B58" s="209"/>
      <c r="C58" s="209"/>
      <c r="D58" s="209"/>
      <c r="E58" s="209"/>
      <c r="F58" s="209"/>
      <c r="G58" s="209"/>
      <c r="H58" s="377"/>
      <c r="I58" s="377"/>
      <c r="J58" s="377"/>
      <c r="K58" s="377"/>
      <c r="L58" s="377"/>
      <c r="M58" s="14"/>
      <c r="N58" s="14"/>
      <c r="O58" s="23"/>
    </row>
    <row r="59" spans="2:15" s="21" customFormat="1" ht="16.899999999999999" customHeight="1" x14ac:dyDescent="0.25">
      <c r="B59" s="132" t="s">
        <v>354</v>
      </c>
      <c r="C59" s="209"/>
      <c r="D59" s="209"/>
      <c r="E59" s="209"/>
      <c r="F59" s="209"/>
      <c r="G59" s="209"/>
      <c r="H59" s="377"/>
      <c r="I59" s="377"/>
      <c r="J59" s="377"/>
      <c r="K59" s="377"/>
      <c r="L59" s="377"/>
      <c r="M59" s="14"/>
      <c r="N59" s="14"/>
      <c r="O59" s="23"/>
    </row>
    <row r="60" spans="2:15" s="21" customFormat="1" ht="10.15" customHeight="1" x14ac:dyDescent="0.25">
      <c r="B60" s="209"/>
      <c r="C60" s="209"/>
      <c r="D60" s="209"/>
      <c r="E60" s="209"/>
      <c r="F60" s="209"/>
      <c r="G60" s="209"/>
      <c r="H60" s="377"/>
      <c r="I60" s="377"/>
      <c r="J60" s="377"/>
      <c r="K60" s="377"/>
      <c r="L60" s="377"/>
      <c r="M60" s="14"/>
      <c r="N60" s="14"/>
      <c r="O60" s="23"/>
    </row>
    <row r="61" spans="2:15" s="21" customFormat="1" ht="15" customHeight="1" x14ac:dyDescent="0.25">
      <c r="B61" s="205" t="s">
        <v>349</v>
      </c>
      <c r="C61" s="209"/>
      <c r="D61" s="209"/>
      <c r="E61" s="209"/>
      <c r="F61" s="209"/>
      <c r="G61" s="209"/>
      <c r="H61" s="377"/>
      <c r="I61" s="377"/>
      <c r="J61" s="377"/>
      <c r="K61" s="377"/>
      <c r="L61" s="377"/>
      <c r="M61" s="14"/>
      <c r="N61" s="14"/>
      <c r="O61" s="23"/>
    </row>
    <row r="62" spans="2:15" s="21" customFormat="1" ht="10.15" customHeight="1" x14ac:dyDescent="0.25">
      <c r="B62" s="205"/>
      <c r="C62" s="209"/>
      <c r="D62" s="209"/>
      <c r="E62" s="209"/>
      <c r="F62" s="209"/>
      <c r="G62" s="209"/>
      <c r="H62" s="377"/>
      <c r="I62" s="377"/>
      <c r="J62" s="377"/>
      <c r="K62" s="377"/>
      <c r="L62" s="377"/>
      <c r="M62" s="14"/>
      <c r="N62" s="14"/>
      <c r="O62" s="23"/>
    </row>
    <row r="63" spans="2:15" s="21" customFormat="1" ht="15" customHeight="1" x14ac:dyDescent="0.25">
      <c r="B63" s="206" t="str">
        <f>B38</f>
        <v>Deal Structure 1 - Fulcrum Capital takes a preferred equity stake and Eagle Investments takes the LP Position.</v>
      </c>
      <c r="C63" s="209"/>
      <c r="D63" s="209"/>
      <c r="E63" s="209"/>
      <c r="F63" s="209"/>
      <c r="G63" s="209"/>
      <c r="H63" s="377"/>
      <c r="I63" s="377"/>
      <c r="J63" s="377"/>
      <c r="K63" s="377"/>
      <c r="L63" s="377"/>
      <c r="M63" s="14"/>
      <c r="N63" s="14"/>
      <c r="O63" s="23"/>
    </row>
    <row r="64" spans="2:15" s="21" customFormat="1" ht="10.15" customHeight="1" x14ac:dyDescent="0.25">
      <c r="B64" s="205"/>
      <c r="C64" s="209"/>
      <c r="D64" s="209"/>
      <c r="E64" s="209"/>
      <c r="F64" s="209"/>
      <c r="G64" s="209"/>
      <c r="H64" s="377"/>
      <c r="I64" s="377"/>
      <c r="J64" s="377"/>
      <c r="K64" s="377"/>
      <c r="L64" s="377"/>
      <c r="M64" s="14"/>
      <c r="N64" s="14"/>
      <c r="O64" s="23"/>
    </row>
    <row r="65" spans="2:15" s="21" customFormat="1" ht="15" customHeight="1" x14ac:dyDescent="0.25">
      <c r="B65" s="204" t="s">
        <v>181</v>
      </c>
      <c r="C65" s="207" t="s">
        <v>340</v>
      </c>
      <c r="D65" s="207" t="s">
        <v>341</v>
      </c>
      <c r="E65" s="207" t="s">
        <v>342</v>
      </c>
      <c r="F65" s="207" t="s">
        <v>343</v>
      </c>
      <c r="G65" s="207" t="s">
        <v>344</v>
      </c>
      <c r="H65" s="377"/>
      <c r="I65" s="377"/>
      <c r="J65" s="377"/>
      <c r="K65" s="377"/>
      <c r="L65" s="377"/>
      <c r="M65" s="14"/>
      <c r="N65" s="14"/>
      <c r="O65" s="23"/>
    </row>
    <row r="66" spans="2:15" s="21" customFormat="1" ht="15" customHeight="1" x14ac:dyDescent="0.25">
      <c r="B66" s="178" t="str">
        <f>B41</f>
        <v>Best Case</v>
      </c>
      <c r="C66" s="386">
        <f ca="1">F17</f>
        <v>0.22900502085685734</v>
      </c>
      <c r="D66" s="386">
        <f>Scenario!P19</f>
        <v>0.35</v>
      </c>
      <c r="E66" s="386">
        <f ca="1">C66-$C$69</f>
        <v>0.1142115051299334</v>
      </c>
      <c r="F66" s="386">
        <f ca="1">E66^2</f>
        <v>1.3044267904044804E-2</v>
      </c>
      <c r="G66" s="386">
        <f ca="1">D66*F66</f>
        <v>4.5654937664156812E-3</v>
      </c>
      <c r="H66" s="377"/>
      <c r="I66" s="377"/>
      <c r="J66" s="377"/>
      <c r="K66" s="377"/>
      <c r="L66" s="377"/>
      <c r="M66" s="14"/>
      <c r="N66" s="14"/>
      <c r="O66" s="23"/>
    </row>
    <row r="67" spans="2:15" s="21" customFormat="1" ht="15" customHeight="1" x14ac:dyDescent="0.25">
      <c r="B67" s="178" t="str">
        <f t="shared" ref="B67:B68" si="28">B42</f>
        <v>Most Likely Case</v>
      </c>
      <c r="C67" s="386">
        <f t="shared" ref="C67:C68" ca="1" si="29">F18</f>
        <v>9.4952723383903481E-2</v>
      </c>
      <c r="D67" s="386">
        <f>Scenario!P20</f>
        <v>0.5</v>
      </c>
      <c r="E67" s="386">
        <f t="shared" ref="E67:E68" ca="1" si="30">C67-$C$69</f>
        <v>-1.9840792343020455E-2</v>
      </c>
      <c r="F67" s="386">
        <f t="shared" ref="F67:F68" ca="1" si="31">E67^2</f>
        <v>3.9365704079885914E-4</v>
      </c>
      <c r="G67" s="386">
        <f t="shared" ref="G67:G68" ca="1" si="32">D67*F67</f>
        <v>1.9682852039942957E-4</v>
      </c>
      <c r="H67" s="377"/>
      <c r="I67" s="377"/>
      <c r="J67" s="377"/>
      <c r="K67" s="377"/>
      <c r="L67" s="377"/>
      <c r="M67" s="14"/>
      <c r="N67" s="14"/>
      <c r="O67" s="23"/>
    </row>
    <row r="68" spans="2:15" s="21" customFormat="1" ht="15" customHeight="1" thickBot="1" x14ac:dyDescent="0.3">
      <c r="B68" s="178" t="str">
        <f t="shared" si="28"/>
        <v>Worst Case</v>
      </c>
      <c r="C68" s="386">
        <f t="shared" ca="1" si="29"/>
        <v>-8.5564021766185772E-2</v>
      </c>
      <c r="D68" s="386">
        <f>Scenario!P21</f>
        <v>0.15</v>
      </c>
      <c r="E68" s="386">
        <f t="shared" ca="1" si="30"/>
        <v>-0.20035753749310969</v>
      </c>
      <c r="F68" s="386">
        <f t="shared" ca="1" si="31"/>
        <v>4.0143142830302854E-2</v>
      </c>
      <c r="G68" s="386">
        <f t="shared" ca="1" si="32"/>
        <v>6.0214714245454279E-3</v>
      </c>
      <c r="H68" s="377"/>
      <c r="I68" s="377"/>
      <c r="J68" s="377"/>
      <c r="K68" s="377"/>
      <c r="L68" s="377"/>
      <c r="M68" s="14"/>
      <c r="N68" s="14"/>
      <c r="O68" s="23"/>
    </row>
    <row r="69" spans="2:15" s="21" customFormat="1" ht="15" customHeight="1" x14ac:dyDescent="0.25">
      <c r="B69" s="204" t="s">
        <v>347</v>
      </c>
      <c r="C69" s="389">
        <f ca="1">SUMPRODUCT(C66:C68,D66:D68)</f>
        <v>0.11479351572692394</v>
      </c>
      <c r="D69" s="208"/>
      <c r="E69" s="208"/>
      <c r="F69" s="208"/>
      <c r="G69" s="208"/>
      <c r="H69" s="377"/>
      <c r="I69" s="377"/>
      <c r="J69" s="377"/>
      <c r="K69" s="377"/>
      <c r="L69" s="377"/>
      <c r="M69" s="14"/>
      <c r="N69" s="14"/>
      <c r="O69" s="23"/>
    </row>
    <row r="70" spans="2:15" s="21" customFormat="1" ht="15" customHeight="1" x14ac:dyDescent="0.25">
      <c r="B70" s="204" t="s">
        <v>345</v>
      </c>
      <c r="C70" s="390">
        <f ca="1">SQRT(SUM(G66:G68))</f>
        <v>0.10384504663853997</v>
      </c>
      <c r="D70" s="208"/>
      <c r="E70" s="208"/>
      <c r="F70" s="208"/>
      <c r="G70" s="208"/>
      <c r="H70" s="377"/>
      <c r="I70" s="377"/>
      <c r="J70" s="377"/>
      <c r="K70" s="377"/>
      <c r="L70" s="377"/>
      <c r="M70" s="14"/>
      <c r="N70" s="14"/>
      <c r="O70" s="23"/>
    </row>
    <row r="71" spans="2:15" s="21" customFormat="1" ht="15" customHeight="1" thickBot="1" x14ac:dyDescent="0.3">
      <c r="B71" s="204" t="s">
        <v>346</v>
      </c>
      <c r="C71" s="391">
        <f ca="1">C69/C70</f>
        <v>1.1054308264359782</v>
      </c>
      <c r="D71" s="208"/>
      <c r="E71" s="208"/>
      <c r="F71" s="208"/>
      <c r="G71" s="208"/>
      <c r="H71" s="377"/>
      <c r="I71" s="377"/>
      <c r="J71" s="377"/>
      <c r="K71" s="377"/>
      <c r="L71" s="377"/>
      <c r="M71" s="14"/>
      <c r="N71" s="14"/>
      <c r="O71" s="23"/>
    </row>
    <row r="72" spans="2:15" s="21" customFormat="1" ht="10.15" customHeight="1" x14ac:dyDescent="0.25">
      <c r="B72" s="178"/>
      <c r="C72" s="178"/>
      <c r="D72" s="178"/>
      <c r="E72" s="178"/>
      <c r="F72" s="178"/>
      <c r="G72" s="178"/>
      <c r="H72" s="377"/>
      <c r="I72" s="377"/>
      <c r="J72" s="377"/>
      <c r="K72" s="377"/>
      <c r="L72" s="377"/>
      <c r="M72" s="14"/>
      <c r="N72" s="14"/>
      <c r="O72" s="23"/>
    </row>
    <row r="73" spans="2:15" s="21" customFormat="1" ht="15" customHeight="1" x14ac:dyDescent="0.25">
      <c r="B73" s="206" t="str">
        <f>B48</f>
        <v>Deal Structure 2 - SCP takes both a preferred equity AND Limited Partner (Co-Investor) stake.</v>
      </c>
      <c r="C73" s="178"/>
      <c r="D73" s="178"/>
      <c r="E73" s="178"/>
      <c r="F73" s="178"/>
      <c r="G73" s="178"/>
      <c r="H73" s="377"/>
      <c r="I73" s="377"/>
      <c r="J73" s="377"/>
      <c r="K73" s="377"/>
      <c r="L73" s="377"/>
      <c r="M73" s="14"/>
      <c r="N73" s="14"/>
      <c r="O73" s="23"/>
    </row>
    <row r="74" spans="2:15" s="21" customFormat="1" ht="10.15" customHeight="1" x14ac:dyDescent="0.25">
      <c r="B74" s="178"/>
      <c r="C74" s="178"/>
      <c r="D74" s="178"/>
      <c r="E74" s="178"/>
      <c r="F74" s="178"/>
      <c r="G74" s="178"/>
      <c r="H74" s="377"/>
      <c r="I74" s="377"/>
      <c r="J74" s="377"/>
      <c r="K74" s="377"/>
      <c r="L74" s="377"/>
      <c r="M74" s="14"/>
      <c r="N74" s="14"/>
      <c r="O74" s="23"/>
    </row>
    <row r="75" spans="2:15" s="21" customFormat="1" ht="15" customHeight="1" x14ac:dyDescent="0.25">
      <c r="B75" s="204" t="s">
        <v>181</v>
      </c>
      <c r="C75" s="207" t="s">
        <v>340</v>
      </c>
      <c r="D75" s="207" t="s">
        <v>341</v>
      </c>
      <c r="E75" s="207" t="s">
        <v>342</v>
      </c>
      <c r="F75" s="207" t="s">
        <v>343</v>
      </c>
      <c r="G75" s="207" t="s">
        <v>344</v>
      </c>
      <c r="H75" s="377"/>
      <c r="I75" s="377"/>
      <c r="J75" s="377"/>
      <c r="K75" s="377"/>
      <c r="L75" s="377"/>
      <c r="M75" s="14"/>
      <c r="N75" s="14"/>
      <c r="O75" s="23"/>
    </row>
    <row r="76" spans="2:15" s="21" customFormat="1" ht="15" customHeight="1" x14ac:dyDescent="0.25">
      <c r="B76" s="178" t="str">
        <f>B66</f>
        <v>Best Case</v>
      </c>
      <c r="C76" s="386">
        <f ca="1">F28</f>
        <v>0.21543372273445133</v>
      </c>
      <c r="D76" s="386">
        <f>Scenario!P19</f>
        <v>0.35</v>
      </c>
      <c r="E76" s="386">
        <f ca="1">C76-$C$79</f>
        <v>9.5956406965851795E-2</v>
      </c>
      <c r="F76" s="386">
        <f ca="1">E76^2</f>
        <v>9.207632037796171E-3</v>
      </c>
      <c r="G76" s="386">
        <f ca="1">D76*F76</f>
        <v>3.2226712132286599E-3</v>
      </c>
      <c r="H76" s="377"/>
      <c r="I76" s="377"/>
      <c r="J76" s="377"/>
      <c r="K76" s="377"/>
      <c r="L76" s="377"/>
      <c r="M76" s="14"/>
      <c r="N76" s="14"/>
      <c r="O76" s="23"/>
    </row>
    <row r="77" spans="2:15" s="21" customFormat="1" ht="15" customHeight="1" x14ac:dyDescent="0.25">
      <c r="B77" s="178" t="str">
        <f t="shared" ref="B77:B78" si="33">B67</f>
        <v>Most Likely Case</v>
      </c>
      <c r="C77" s="386">
        <f ca="1">F29</f>
        <v>0.10351492762565612</v>
      </c>
      <c r="D77" s="386">
        <f>Scenario!P20</f>
        <v>0.5</v>
      </c>
      <c r="E77" s="386">
        <f t="shared" ref="E77:E78" ca="1" si="34">C77-$C$79</f>
        <v>-1.5962388142943415E-2</v>
      </c>
      <c r="F77" s="386">
        <f t="shared" ref="F77:F78" ca="1" si="35">E77^2</f>
        <v>2.5479783522598052E-4</v>
      </c>
      <c r="G77" s="386">
        <f t="shared" ref="G77:G78" ca="1" si="36">D77*F77</f>
        <v>1.2739891761299026E-4</v>
      </c>
      <c r="H77" s="377"/>
      <c r="I77" s="377"/>
      <c r="J77" s="377"/>
      <c r="K77" s="377"/>
      <c r="L77" s="377"/>
      <c r="M77" s="14"/>
      <c r="N77" s="14"/>
      <c r="O77" s="23"/>
    </row>
    <row r="78" spans="2:15" s="21" customFormat="1" ht="15" customHeight="1" thickBot="1" x14ac:dyDescent="0.3">
      <c r="B78" s="178" t="str">
        <f t="shared" si="33"/>
        <v>Worst Case</v>
      </c>
      <c r="C78" s="386">
        <f ca="1">F30</f>
        <v>-5.121300667524338E-2</v>
      </c>
      <c r="D78" s="386">
        <f>Scenario!P21</f>
        <v>0.15</v>
      </c>
      <c r="E78" s="386">
        <f t="shared" ca="1" si="34"/>
        <v>-0.17069032244384291</v>
      </c>
      <c r="F78" s="386">
        <f t="shared" ca="1" si="35"/>
        <v>2.9135186175983062E-2</v>
      </c>
      <c r="G78" s="386">
        <f t="shared" ca="1" si="36"/>
        <v>4.3702779263974593E-3</v>
      </c>
      <c r="H78" s="377"/>
      <c r="I78" s="377"/>
      <c r="J78" s="377"/>
      <c r="K78" s="377"/>
      <c r="L78" s="377"/>
      <c r="M78" s="14"/>
      <c r="N78" s="14"/>
      <c r="O78" s="23"/>
    </row>
    <row r="79" spans="2:15" s="21" customFormat="1" ht="15" customHeight="1" x14ac:dyDescent="0.25">
      <c r="B79" s="204" t="s">
        <v>347</v>
      </c>
      <c r="C79" s="389">
        <f ca="1">SUMPRODUCT(C76:C78,D76:D78)</f>
        <v>0.11947731576859953</v>
      </c>
      <c r="D79" s="208"/>
      <c r="E79" s="208"/>
      <c r="F79" s="208"/>
      <c r="G79" s="208"/>
      <c r="H79" s="377"/>
      <c r="I79" s="377"/>
      <c r="J79" s="377"/>
      <c r="K79" s="377"/>
      <c r="L79" s="377"/>
      <c r="M79" s="14"/>
      <c r="N79" s="14"/>
      <c r="O79" s="23"/>
    </row>
    <row r="80" spans="2:15" s="21" customFormat="1" ht="15" customHeight="1" x14ac:dyDescent="0.25">
      <c r="B80" s="204" t="s">
        <v>345</v>
      </c>
      <c r="C80" s="390">
        <f ca="1">SQRT(SUM(G76:G78))</f>
        <v>8.7865511193181534E-2</v>
      </c>
      <c r="D80" s="208"/>
      <c r="E80" s="208"/>
      <c r="F80" s="208"/>
      <c r="G80" s="208"/>
      <c r="H80" s="377"/>
      <c r="I80" s="377"/>
      <c r="J80" s="377"/>
      <c r="K80" s="377"/>
      <c r="L80" s="377"/>
      <c r="M80" s="14"/>
      <c r="N80" s="14"/>
      <c r="O80" s="23"/>
    </row>
    <row r="81" spans="2:15" s="21" customFormat="1" ht="15" customHeight="1" thickBot="1" x14ac:dyDescent="0.3">
      <c r="B81" s="204" t="s">
        <v>346</v>
      </c>
      <c r="C81" s="391">
        <f ca="1">C79/C80</f>
        <v>1.3597748894434374</v>
      </c>
      <c r="D81" s="208"/>
      <c r="E81" s="208"/>
      <c r="F81" s="208"/>
      <c r="G81" s="208"/>
      <c r="H81" s="377"/>
      <c r="I81" s="377"/>
      <c r="J81" s="377"/>
      <c r="K81" s="377"/>
      <c r="L81" s="377"/>
      <c r="M81" s="14"/>
      <c r="N81" s="14"/>
      <c r="O81" s="23"/>
    </row>
    <row r="82" spans="2:15" s="21" customFormat="1" ht="14.45" customHeight="1" x14ac:dyDescent="0.25">
      <c r="B82" s="205"/>
      <c r="C82" s="209"/>
      <c r="D82" s="209"/>
      <c r="E82" s="209"/>
      <c r="F82" s="209"/>
      <c r="G82" s="209"/>
      <c r="H82" s="377"/>
      <c r="I82" s="377"/>
      <c r="J82" s="377"/>
      <c r="K82" s="377"/>
      <c r="L82" s="377"/>
      <c r="M82" s="14"/>
      <c r="N82" s="14"/>
      <c r="O82" s="23"/>
    </row>
    <row r="83" spans="2:15" s="21" customFormat="1" ht="16.899999999999999" customHeight="1" x14ac:dyDescent="0.25">
      <c r="B83" s="132" t="s">
        <v>355</v>
      </c>
      <c r="C83" s="209"/>
      <c r="D83" s="209"/>
      <c r="E83" s="209"/>
      <c r="F83" s="209"/>
      <c r="G83" s="209"/>
      <c r="H83" s="377"/>
      <c r="I83" s="377"/>
      <c r="J83" s="377"/>
      <c r="K83" s="377"/>
      <c r="L83" s="377"/>
      <c r="M83" s="14"/>
      <c r="N83" s="14"/>
      <c r="O83" s="23"/>
    </row>
    <row r="84" spans="2:15" s="21" customFormat="1" ht="14.45" customHeight="1" x14ac:dyDescent="0.25">
      <c r="B84" s="209"/>
      <c r="C84" s="209"/>
      <c r="D84" s="209"/>
      <c r="E84" s="209"/>
      <c r="F84" s="209"/>
      <c r="G84" s="209"/>
      <c r="H84" s="377"/>
      <c r="I84" s="377"/>
      <c r="J84" s="377"/>
      <c r="K84" s="377"/>
      <c r="L84" s="377"/>
      <c r="M84" s="14"/>
      <c r="N84" s="14"/>
      <c r="O84" s="23"/>
    </row>
    <row r="85" spans="2:15" s="21" customFormat="1" ht="14.45" customHeight="1" x14ac:dyDescent="0.25">
      <c r="B85" s="205" t="s">
        <v>348</v>
      </c>
      <c r="C85" s="209"/>
      <c r="D85" s="209"/>
      <c r="E85" s="209"/>
      <c r="F85" s="209"/>
      <c r="G85" s="209"/>
      <c r="H85" s="377"/>
      <c r="I85" s="377"/>
      <c r="J85" s="377"/>
      <c r="K85" s="377"/>
      <c r="L85" s="377"/>
      <c r="M85" s="14"/>
      <c r="N85" s="14"/>
      <c r="O85" s="23"/>
    </row>
    <row r="86" spans="2:15" s="21" customFormat="1" ht="10.15" customHeight="1" x14ac:dyDescent="0.25">
      <c r="B86" s="205"/>
      <c r="C86" s="209"/>
      <c r="D86" s="209"/>
      <c r="E86" s="209"/>
      <c r="F86" s="209"/>
      <c r="G86" s="209"/>
      <c r="H86" s="377"/>
      <c r="I86" s="377"/>
      <c r="J86" s="377"/>
      <c r="K86" s="377"/>
      <c r="L86" s="377"/>
      <c r="M86" s="14"/>
      <c r="N86" s="14"/>
      <c r="O86" s="23"/>
    </row>
    <row r="87" spans="2:15" s="21" customFormat="1" ht="14.45" customHeight="1" x14ac:dyDescent="0.25">
      <c r="B87" s="206" t="str">
        <f>B63</f>
        <v>Deal Structure 1 - Fulcrum Capital takes a preferred equity stake and Eagle Investments takes the LP Position.</v>
      </c>
      <c r="C87" s="209"/>
      <c r="D87" s="209"/>
      <c r="E87" s="209"/>
      <c r="F87" s="209"/>
      <c r="G87" s="209"/>
      <c r="H87" s="377"/>
      <c r="I87" s="377"/>
      <c r="J87" s="377"/>
      <c r="K87" s="377"/>
      <c r="L87" s="377"/>
      <c r="M87" s="14"/>
      <c r="N87" s="14"/>
      <c r="O87" s="23"/>
    </row>
    <row r="88" spans="2:15" s="21" customFormat="1" ht="10.15" customHeight="1" x14ac:dyDescent="0.25">
      <c r="B88" s="205"/>
      <c r="C88" s="209"/>
      <c r="D88" s="209"/>
      <c r="E88" s="209"/>
      <c r="F88" s="209"/>
      <c r="G88" s="209"/>
      <c r="H88" s="377"/>
      <c r="I88" s="377"/>
      <c r="J88" s="377"/>
      <c r="K88" s="377"/>
      <c r="L88" s="377"/>
      <c r="M88" s="14"/>
      <c r="N88" s="14"/>
      <c r="O88" s="23"/>
    </row>
    <row r="89" spans="2:15" s="21" customFormat="1" ht="14.45" customHeight="1" x14ac:dyDescent="0.25">
      <c r="B89" s="204" t="s">
        <v>181</v>
      </c>
      <c r="C89" s="207" t="s">
        <v>340</v>
      </c>
      <c r="D89" s="207" t="s">
        <v>341</v>
      </c>
      <c r="E89" s="207" t="s">
        <v>342</v>
      </c>
      <c r="F89" s="207" t="s">
        <v>343</v>
      </c>
      <c r="G89" s="207" t="s">
        <v>344</v>
      </c>
      <c r="H89" s="377"/>
      <c r="I89" s="377"/>
      <c r="J89" s="377"/>
      <c r="K89" s="377"/>
      <c r="L89" s="377"/>
      <c r="M89" s="14"/>
      <c r="N89" s="14"/>
      <c r="O89" s="23"/>
    </row>
    <row r="90" spans="2:15" s="21" customFormat="1" ht="14.45" customHeight="1" x14ac:dyDescent="0.25">
      <c r="B90" s="178" t="str">
        <f>B76</f>
        <v>Best Case</v>
      </c>
      <c r="C90" s="386">
        <f ca="1">I17</f>
        <v>0.8679852366447447</v>
      </c>
      <c r="D90" s="386">
        <f>Scenario!P19</f>
        <v>0.35</v>
      </c>
      <c r="E90" s="386">
        <f ca="1">C90-$C$93</f>
        <v>0.40627229606732718</v>
      </c>
      <c r="F90" s="386">
        <f ca="1">E90^2</f>
        <v>0.16505717855181795</v>
      </c>
      <c r="G90" s="386">
        <f ca="1">D90*F90</f>
        <v>5.7770012493136277E-2</v>
      </c>
      <c r="H90" s="378"/>
      <c r="I90" s="377"/>
      <c r="J90" s="377"/>
      <c r="K90" s="377"/>
      <c r="L90" s="377"/>
      <c r="M90" s="14"/>
      <c r="N90" s="14"/>
      <c r="O90" s="23"/>
    </row>
    <row r="91" spans="2:15" s="21" customFormat="1" ht="14.45" customHeight="1" x14ac:dyDescent="0.25">
      <c r="B91" s="178" t="str">
        <f t="shared" ref="B91:B92" si="37">B77</f>
        <v>Most Likely Case</v>
      </c>
      <c r="C91" s="386">
        <f t="shared" ref="C91:C92" ca="1" si="38">I18</f>
        <v>0.37545518279075618</v>
      </c>
      <c r="D91" s="386">
        <f>Scenario!P20</f>
        <v>0.5</v>
      </c>
      <c r="E91" s="386">
        <f t="shared" ref="E91:E92" ca="1" si="39">C91-$C$93</f>
        <v>-8.6257757786661338E-2</v>
      </c>
      <c r="F91" s="386">
        <f t="shared" ref="F91:F92" ca="1" si="40">E91^2</f>
        <v>7.4404007783823349E-3</v>
      </c>
      <c r="G91" s="386">
        <f t="shared" ref="G91:G92" ca="1" si="41">D91*F91</f>
        <v>3.7202003891911675E-3</v>
      </c>
      <c r="H91" s="378"/>
      <c r="I91" s="377"/>
      <c r="J91" s="377"/>
      <c r="K91" s="377"/>
      <c r="L91" s="377"/>
      <c r="M91" s="14"/>
      <c r="N91" s="14"/>
      <c r="O91" s="23"/>
    </row>
    <row r="92" spans="2:15" s="21" customFormat="1" ht="14.45" customHeight="1" thickBot="1" x14ac:dyDescent="0.3">
      <c r="B92" s="178" t="str">
        <f t="shared" si="37"/>
        <v>Worst Case</v>
      </c>
      <c r="C92" s="386">
        <f t="shared" ca="1" si="38"/>
        <v>-0.1987298909574747</v>
      </c>
      <c r="D92" s="386">
        <f>Scenario!P21</f>
        <v>0.15</v>
      </c>
      <c r="E92" s="386">
        <f t="shared" ca="1" si="39"/>
        <v>-0.66044283153489225</v>
      </c>
      <c r="F92" s="386">
        <f t="shared" ca="1" si="40"/>
        <v>0.43618473372582606</v>
      </c>
      <c r="G92" s="386">
        <f t="shared" ca="1" si="41"/>
        <v>6.5427710058873906E-2</v>
      </c>
      <c r="H92" s="378"/>
      <c r="I92" s="377"/>
      <c r="J92" s="377"/>
      <c r="K92" s="377"/>
      <c r="L92" s="377"/>
      <c r="M92" s="14"/>
      <c r="N92" s="14"/>
      <c r="O92" s="23"/>
    </row>
    <row r="93" spans="2:15" s="21" customFormat="1" ht="14.45" customHeight="1" x14ac:dyDescent="0.25">
      <c r="B93" s="204" t="s">
        <v>347</v>
      </c>
      <c r="C93" s="389">
        <f ca="1">SUMPRODUCT(C90:C92,D90:D92)</f>
        <v>0.46171294057741752</v>
      </c>
      <c r="D93" s="208"/>
      <c r="E93" s="208"/>
      <c r="F93" s="208"/>
      <c r="G93" s="208"/>
      <c r="H93" s="378"/>
      <c r="I93" s="377"/>
      <c r="J93" s="377"/>
      <c r="K93" s="377"/>
      <c r="L93" s="377"/>
      <c r="M93" s="14"/>
      <c r="N93" s="14"/>
      <c r="O93" s="23"/>
    </row>
    <row r="94" spans="2:15" s="21" customFormat="1" ht="14.45" customHeight="1" x14ac:dyDescent="0.25">
      <c r="B94" s="204" t="s">
        <v>345</v>
      </c>
      <c r="C94" s="390">
        <f ca="1">SQRT(SUM(G90:G92))</f>
        <v>0.35625541812188816</v>
      </c>
      <c r="D94" s="208"/>
      <c r="E94" s="208"/>
      <c r="F94" s="208"/>
      <c r="G94" s="208"/>
      <c r="H94" s="378"/>
      <c r="I94" s="377"/>
      <c r="J94" s="377"/>
      <c r="K94" s="377"/>
      <c r="L94" s="377"/>
      <c r="M94" s="14"/>
      <c r="N94" s="14"/>
      <c r="O94" s="23"/>
    </row>
    <row r="95" spans="2:15" s="21" customFormat="1" ht="14.45" customHeight="1" thickBot="1" x14ac:dyDescent="0.3">
      <c r="B95" s="204" t="s">
        <v>346</v>
      </c>
      <c r="C95" s="391">
        <f ca="1">C93/C94</f>
        <v>1.2960166136180655</v>
      </c>
      <c r="D95" s="208"/>
      <c r="E95" s="208"/>
      <c r="F95" s="208"/>
      <c r="G95" s="208"/>
      <c r="H95" s="378"/>
      <c r="I95" s="377"/>
      <c r="J95" s="377"/>
      <c r="K95" s="377"/>
      <c r="L95" s="377"/>
      <c r="M95" s="14"/>
      <c r="N95" s="14"/>
      <c r="O95" s="23"/>
    </row>
    <row r="96" spans="2:15" s="21" customFormat="1" ht="10.15" customHeight="1" x14ac:dyDescent="0.25">
      <c r="B96" s="178"/>
      <c r="C96" s="178"/>
      <c r="D96" s="178"/>
      <c r="E96" s="178"/>
      <c r="F96" s="178"/>
      <c r="G96" s="178"/>
      <c r="H96" s="377"/>
      <c r="I96" s="377"/>
      <c r="J96" s="377"/>
      <c r="K96" s="377"/>
      <c r="L96" s="377"/>
      <c r="M96" s="14"/>
      <c r="N96" s="14"/>
      <c r="O96" s="23"/>
    </row>
    <row r="97" spans="2:15" s="21" customFormat="1" ht="14.45" customHeight="1" x14ac:dyDescent="0.25">
      <c r="B97" s="206" t="str">
        <f>B73</f>
        <v>Deal Structure 2 - SCP takes both a preferred equity AND Limited Partner (Co-Investor) stake.</v>
      </c>
      <c r="C97" s="178"/>
      <c r="D97" s="178"/>
      <c r="E97" s="178"/>
      <c r="F97" s="178"/>
      <c r="G97" s="178"/>
      <c r="H97" s="377"/>
      <c r="I97" s="377"/>
      <c r="J97" s="377"/>
      <c r="K97" s="377"/>
      <c r="L97" s="377"/>
      <c r="M97" s="14"/>
      <c r="N97" s="14"/>
      <c r="O97" s="23"/>
    </row>
    <row r="98" spans="2:15" s="21" customFormat="1" ht="10.15" customHeight="1" x14ac:dyDescent="0.25">
      <c r="B98" s="178"/>
      <c r="C98" s="178"/>
      <c r="D98" s="178"/>
      <c r="E98" s="178"/>
      <c r="F98" s="178"/>
      <c r="G98" s="178"/>
      <c r="H98" s="377"/>
      <c r="I98" s="377"/>
      <c r="J98" s="377"/>
      <c r="K98" s="377"/>
      <c r="L98" s="377"/>
      <c r="M98" s="14"/>
      <c r="N98" s="14"/>
      <c r="O98" s="23"/>
    </row>
    <row r="99" spans="2:15" s="21" customFormat="1" ht="14.45" customHeight="1" x14ac:dyDescent="0.25">
      <c r="B99" s="204" t="s">
        <v>181</v>
      </c>
      <c r="C99" s="207" t="s">
        <v>340</v>
      </c>
      <c r="D99" s="207" t="s">
        <v>341</v>
      </c>
      <c r="E99" s="207" t="s">
        <v>342</v>
      </c>
      <c r="F99" s="207" t="s">
        <v>343</v>
      </c>
      <c r="G99" s="207" t="s">
        <v>344</v>
      </c>
      <c r="H99" s="377"/>
      <c r="I99" s="377"/>
      <c r="J99" s="377"/>
      <c r="K99" s="377"/>
      <c r="L99" s="377"/>
      <c r="M99" s="14"/>
      <c r="N99" s="14"/>
      <c r="O99" s="23"/>
    </row>
    <row r="100" spans="2:15" s="21" customFormat="1" ht="14.45" customHeight="1" x14ac:dyDescent="0.25">
      <c r="B100" s="178" t="str">
        <f>B90</f>
        <v>Best Case</v>
      </c>
      <c r="C100" s="386">
        <f ca="1">I28</f>
        <v>0.9464397549629211</v>
      </c>
      <c r="D100" s="386">
        <f>Scenario!P19</f>
        <v>0.35</v>
      </c>
      <c r="E100" s="386">
        <f ca="1">C100-$C$103</f>
        <v>0.46651148458942771</v>
      </c>
      <c r="F100" s="386">
        <f ca="1">E100^2</f>
        <v>0.21763296525383186</v>
      </c>
      <c r="G100" s="386">
        <f ca="1">D100*F100</f>
        <v>7.6171537838841147E-2</v>
      </c>
      <c r="H100" s="377"/>
      <c r="I100" s="377"/>
      <c r="J100" s="377"/>
      <c r="K100" s="377"/>
      <c r="L100" s="377"/>
      <c r="M100" s="14"/>
      <c r="N100" s="14"/>
      <c r="O100" s="23"/>
    </row>
    <row r="101" spans="2:15" s="21" customFormat="1" ht="14.45" customHeight="1" x14ac:dyDescent="0.25">
      <c r="B101" s="178" t="str">
        <f t="shared" ref="B101:B102" si="42">B91</f>
        <v>Most Likely Case</v>
      </c>
      <c r="C101" s="386">
        <f t="shared" ref="C101:C102" ca="1" si="43">I29</f>
        <v>0.36594852805137634</v>
      </c>
      <c r="D101" s="386">
        <f>Scenario!P20</f>
        <v>0.5</v>
      </c>
      <c r="E101" s="386">
        <f t="shared" ref="E101:E102" ca="1" si="44">C101-$C$103</f>
        <v>-0.11397974232211705</v>
      </c>
      <c r="F101" s="386">
        <f t="shared" ref="F101:F102" ca="1" si="45">E101^2</f>
        <v>1.2991381659816201E-2</v>
      </c>
      <c r="G101" s="386">
        <f t="shared" ref="G101:G102" ca="1" si="46">D101*F101</f>
        <v>6.4956908299081007E-3</v>
      </c>
      <c r="H101" s="377"/>
      <c r="I101" s="377"/>
      <c r="J101" s="377"/>
      <c r="K101" s="377"/>
      <c r="L101" s="377"/>
      <c r="M101" s="14"/>
      <c r="N101" s="14"/>
      <c r="O101" s="23"/>
    </row>
    <row r="102" spans="2:15" s="21" customFormat="1" ht="14.45" customHeight="1" thickBot="1" x14ac:dyDescent="0.3">
      <c r="B102" s="178" t="str">
        <f t="shared" si="42"/>
        <v>Worst Case</v>
      </c>
      <c r="C102" s="386">
        <f t="shared" ca="1" si="43"/>
        <v>-0.2286660525947809</v>
      </c>
      <c r="D102" s="386">
        <f>Scenario!P21</f>
        <v>0.15</v>
      </c>
      <c r="E102" s="386">
        <f t="shared" ca="1" si="44"/>
        <v>-0.70859432296827429</v>
      </c>
      <c r="F102" s="386">
        <f t="shared" ca="1" si="45"/>
        <v>0.50210591454286702</v>
      </c>
      <c r="G102" s="386">
        <f t="shared" ca="1" si="46"/>
        <v>7.531588718143005E-2</v>
      </c>
      <c r="H102" s="377"/>
      <c r="I102" s="377"/>
      <c r="J102" s="377"/>
      <c r="K102" s="377"/>
      <c r="L102" s="377"/>
      <c r="M102" s="14"/>
      <c r="N102" s="14"/>
      <c r="O102" s="23"/>
    </row>
    <row r="103" spans="2:15" s="21" customFormat="1" ht="14.45" customHeight="1" x14ac:dyDescent="0.25">
      <c r="B103" s="204" t="s">
        <v>347</v>
      </c>
      <c r="C103" s="389">
        <f ca="1">SUMPRODUCT(C100:C102,D100:D102)</f>
        <v>0.47992827037349339</v>
      </c>
      <c r="D103" s="208"/>
      <c r="E103" s="208"/>
      <c r="F103" s="208"/>
      <c r="G103" s="208"/>
      <c r="H103" s="377"/>
      <c r="I103" s="377"/>
      <c r="J103" s="377"/>
      <c r="K103" s="377"/>
      <c r="L103" s="377"/>
      <c r="M103" s="14"/>
      <c r="N103" s="14"/>
      <c r="O103" s="23"/>
    </row>
    <row r="104" spans="2:15" s="21" customFormat="1" ht="14.45" customHeight="1" x14ac:dyDescent="0.25">
      <c r="B104" s="204" t="s">
        <v>345</v>
      </c>
      <c r="C104" s="390">
        <f ca="1">SQRT(SUM(G100:G102))</f>
        <v>0.39747089937526153</v>
      </c>
      <c r="D104" s="208"/>
      <c r="E104" s="208"/>
      <c r="F104" s="208"/>
      <c r="G104" s="208"/>
      <c r="H104" s="377"/>
      <c r="I104" s="377"/>
      <c r="J104" s="377"/>
      <c r="K104" s="377"/>
      <c r="L104" s="377"/>
      <c r="M104" s="14"/>
      <c r="N104" s="14"/>
      <c r="O104" s="23"/>
    </row>
    <row r="105" spans="2:15" s="21" customFormat="1" ht="14.45" customHeight="1" thickBot="1" x14ac:dyDescent="0.3">
      <c r="B105" s="204" t="s">
        <v>346</v>
      </c>
      <c r="C105" s="391">
        <f ca="1">C103/C104</f>
        <v>1.2074551146457189</v>
      </c>
      <c r="D105" s="208"/>
      <c r="E105" s="208"/>
      <c r="F105" s="208"/>
      <c r="G105" s="208"/>
      <c r="H105" s="377"/>
      <c r="I105" s="377"/>
      <c r="J105" s="377"/>
      <c r="K105" s="377"/>
      <c r="L105" s="377"/>
      <c r="M105" s="14"/>
      <c r="N105" s="14"/>
      <c r="O105" s="23"/>
    </row>
    <row r="106" spans="2:15" s="359" customFormat="1" ht="14.45" customHeight="1" x14ac:dyDescent="0.25">
      <c r="B106" s="377"/>
      <c r="C106" s="377"/>
      <c r="D106" s="377"/>
      <c r="E106" s="377"/>
      <c r="F106" s="377"/>
      <c r="G106" s="332"/>
      <c r="H106" s="377"/>
      <c r="I106" s="377"/>
      <c r="J106" s="377"/>
      <c r="K106" s="377"/>
      <c r="L106" s="377"/>
      <c r="M106" s="11"/>
      <c r="N106" s="11"/>
      <c r="O106" s="334"/>
    </row>
    <row r="107" spans="2:15" s="359" customFormat="1" ht="14.45" customHeight="1" x14ac:dyDescent="0.25">
      <c r="B107" s="379"/>
      <c r="C107" s="380"/>
      <c r="D107" s="380"/>
      <c r="E107" s="380"/>
      <c r="F107" s="380"/>
      <c r="G107" s="380"/>
      <c r="H107" s="377"/>
      <c r="I107" s="377"/>
      <c r="J107" s="377"/>
      <c r="K107" s="377"/>
      <c r="L107" s="377"/>
      <c r="M107" s="11"/>
      <c r="N107" s="11"/>
      <c r="O107" s="334"/>
    </row>
    <row r="108" spans="2:15" s="359" customFormat="1" ht="14.45" customHeight="1" x14ac:dyDescent="0.25">
      <c r="B108" s="379"/>
      <c r="C108" s="380"/>
      <c r="D108" s="380"/>
      <c r="E108" s="380"/>
      <c r="F108" s="380"/>
      <c r="G108" s="380"/>
      <c r="H108" s="377"/>
      <c r="I108" s="377"/>
      <c r="J108" s="377"/>
      <c r="K108" s="377"/>
      <c r="L108" s="377"/>
      <c r="M108" s="11"/>
      <c r="N108" s="11"/>
      <c r="O108" s="334"/>
    </row>
    <row r="109" spans="2:15" s="359" customFormat="1" ht="14.45" customHeight="1" x14ac:dyDescent="0.25">
      <c r="B109" s="379"/>
      <c r="C109" s="380"/>
      <c r="D109" s="380"/>
      <c r="E109" s="380"/>
      <c r="F109" s="380"/>
      <c r="G109" s="380"/>
      <c r="H109" s="377"/>
      <c r="I109" s="377"/>
      <c r="J109" s="377"/>
      <c r="K109" s="377"/>
      <c r="L109" s="377"/>
      <c r="M109" s="11"/>
      <c r="N109" s="11"/>
      <c r="O109" s="334"/>
    </row>
    <row r="110" spans="2:15" s="359" customFormat="1" ht="14.45" customHeight="1" x14ac:dyDescent="0.25">
      <c r="B110" s="379"/>
      <c r="C110" s="380"/>
      <c r="D110" s="380"/>
      <c r="E110" s="380"/>
      <c r="F110" s="380"/>
      <c r="G110" s="380"/>
      <c r="H110" s="377"/>
      <c r="I110" s="377"/>
      <c r="J110" s="377"/>
      <c r="K110" s="377"/>
      <c r="L110" s="377"/>
      <c r="M110" s="11"/>
      <c r="N110" s="11"/>
      <c r="O110" s="334"/>
    </row>
    <row r="111" spans="2:15" s="359" customFormat="1" ht="14.45" customHeight="1" x14ac:dyDescent="0.25">
      <c r="B111" s="379"/>
      <c r="C111" s="380"/>
      <c r="D111" s="380"/>
      <c r="E111" s="380"/>
      <c r="F111" s="380"/>
      <c r="G111" s="380"/>
      <c r="H111" s="377"/>
      <c r="I111" s="377"/>
      <c r="J111" s="377"/>
      <c r="K111" s="377"/>
      <c r="L111" s="377"/>
      <c r="M111" s="11"/>
      <c r="N111" s="11"/>
      <c r="O111" s="334"/>
    </row>
    <row r="112" spans="2:15" s="359" customFormat="1" ht="14.45" customHeight="1" x14ac:dyDescent="0.25">
      <c r="B112" s="379"/>
      <c r="C112" s="380"/>
      <c r="D112" s="380"/>
      <c r="E112" s="380"/>
      <c r="F112" s="380"/>
      <c r="G112" s="380"/>
      <c r="H112" s="377"/>
      <c r="I112" s="377"/>
      <c r="J112" s="377"/>
      <c r="K112" s="377"/>
      <c r="L112" s="377"/>
      <c r="M112" s="11"/>
      <c r="N112" s="11"/>
      <c r="O112" s="334"/>
    </row>
    <row r="113" spans="1:18" s="359" customFormat="1" ht="14.45" customHeight="1" x14ac:dyDescent="0.25">
      <c r="B113" s="379"/>
      <c r="C113" s="380"/>
      <c r="D113" s="380"/>
      <c r="E113" s="380"/>
      <c r="F113" s="380"/>
      <c r="G113" s="380"/>
      <c r="H113" s="377"/>
      <c r="I113" s="377"/>
      <c r="J113" s="377"/>
      <c r="K113" s="377"/>
      <c r="L113" s="377"/>
      <c r="M113" s="11"/>
      <c r="N113" s="11"/>
      <c r="O113" s="334"/>
    </row>
    <row r="114" spans="1:18" s="359" customFormat="1" ht="14.45" customHeight="1" x14ac:dyDescent="0.25">
      <c r="B114" s="379"/>
      <c r="C114" s="380"/>
      <c r="D114" s="380"/>
      <c r="E114" s="380"/>
      <c r="F114" s="380"/>
      <c r="G114" s="380"/>
      <c r="H114" s="377"/>
      <c r="I114" s="377"/>
      <c r="J114" s="377"/>
      <c r="K114" s="377"/>
      <c r="L114" s="377"/>
      <c r="M114" s="11"/>
      <c r="N114" s="11"/>
      <c r="O114" s="334"/>
    </row>
    <row r="115" spans="1:18" s="359" customFormat="1" ht="14.45" customHeight="1" x14ac:dyDescent="0.25">
      <c r="B115" s="379"/>
      <c r="C115" s="380"/>
      <c r="D115" s="380"/>
      <c r="E115" s="380"/>
      <c r="F115" s="380"/>
      <c r="G115" s="380"/>
      <c r="H115" s="377"/>
      <c r="I115" s="377"/>
      <c r="J115" s="377"/>
      <c r="K115" s="377"/>
      <c r="L115" s="377"/>
      <c r="M115" s="11"/>
      <c r="N115" s="11"/>
      <c r="O115" s="334"/>
    </row>
    <row r="116" spans="1:18" s="359" customFormat="1" ht="14.45" customHeight="1" x14ac:dyDescent="0.25">
      <c r="B116" s="379"/>
      <c r="C116" s="380"/>
      <c r="D116" s="380"/>
      <c r="E116" s="380"/>
      <c r="F116" s="380"/>
      <c r="G116" s="380"/>
      <c r="H116" s="377"/>
      <c r="I116" s="377"/>
      <c r="J116" s="377"/>
      <c r="K116" s="377"/>
      <c r="L116" s="377"/>
      <c r="M116" s="11"/>
      <c r="N116" s="11"/>
      <c r="O116" s="334"/>
    </row>
    <row r="117" spans="1:18" s="359" customFormat="1" ht="15" customHeight="1" x14ac:dyDescent="0.25">
      <c r="B117" s="379"/>
      <c r="C117" s="380"/>
      <c r="D117" s="380"/>
      <c r="E117" s="380"/>
      <c r="F117" s="380"/>
      <c r="G117" s="380"/>
      <c r="H117" s="377"/>
      <c r="I117" s="377"/>
      <c r="J117" s="377"/>
      <c r="K117" s="377"/>
      <c r="L117" s="377"/>
      <c r="M117" s="11"/>
      <c r="N117" s="11"/>
      <c r="O117" s="334"/>
    </row>
    <row r="118" spans="1:18" s="359" customFormat="1" ht="15" customHeight="1" x14ac:dyDescent="0.25">
      <c r="B118" s="379"/>
      <c r="C118" s="380"/>
      <c r="D118" s="380"/>
      <c r="E118" s="380"/>
      <c r="F118" s="380"/>
      <c r="G118" s="380"/>
      <c r="H118" s="377"/>
      <c r="I118" s="377"/>
      <c r="J118" s="377"/>
      <c r="K118" s="377"/>
      <c r="L118" s="377"/>
      <c r="M118" s="11"/>
      <c r="N118" s="11"/>
      <c r="O118" s="334"/>
    </row>
    <row r="119" spans="1:18" s="359" customFormat="1" ht="15" customHeight="1" x14ac:dyDescent="0.25">
      <c r="B119" s="379"/>
      <c r="C119" s="380"/>
      <c r="D119" s="380"/>
      <c r="E119" s="380"/>
      <c r="F119" s="380"/>
      <c r="G119" s="380"/>
      <c r="H119" s="377"/>
      <c r="I119" s="377"/>
      <c r="J119" s="377"/>
      <c r="K119" s="377"/>
      <c r="L119" s="377"/>
      <c r="M119" s="11"/>
      <c r="N119" s="11"/>
      <c r="O119" s="334"/>
    </row>
    <row r="120" spans="1:18" s="359" customFormat="1" ht="15" customHeight="1" x14ac:dyDescent="0.25">
      <c r="B120" s="380"/>
      <c r="C120" s="380"/>
      <c r="D120" s="380"/>
      <c r="E120" s="380"/>
      <c r="F120" s="380"/>
      <c r="G120" s="380"/>
      <c r="H120" s="377"/>
      <c r="I120" s="377"/>
      <c r="J120" s="377"/>
      <c r="K120" s="377"/>
      <c r="L120" s="377"/>
      <c r="M120" s="11"/>
      <c r="N120" s="11"/>
      <c r="O120" s="334"/>
    </row>
    <row r="121" spans="1:18" s="359" customFormat="1" ht="15" customHeight="1" x14ac:dyDescent="0.25">
      <c r="B121" s="380"/>
      <c r="C121" s="380"/>
      <c r="D121" s="380"/>
      <c r="E121" s="380"/>
      <c r="F121" s="380"/>
      <c r="G121" s="380"/>
      <c r="H121" s="377"/>
      <c r="I121" s="377"/>
      <c r="J121" s="377"/>
      <c r="K121" s="377"/>
      <c r="L121" s="377"/>
      <c r="M121" s="11"/>
      <c r="N121" s="11"/>
      <c r="O121" s="334"/>
    </row>
    <row r="122" spans="1:18" s="11" customFormat="1" x14ac:dyDescent="0.25">
      <c r="F122" s="319"/>
      <c r="G122" s="319"/>
      <c r="H122" s="319"/>
      <c r="I122" s="319"/>
      <c r="J122" s="322"/>
      <c r="K122" s="323"/>
      <c r="L122" s="323"/>
      <c r="M122" s="323"/>
      <c r="N122" s="324"/>
      <c r="O122" s="319"/>
    </row>
    <row r="123" spans="1:18" s="11" customFormat="1" ht="10.15" customHeight="1" x14ac:dyDescent="0.25">
      <c r="F123" s="319"/>
      <c r="G123" s="319"/>
      <c r="H123" s="319"/>
      <c r="I123" s="319"/>
      <c r="J123" s="323"/>
      <c r="K123" s="323"/>
      <c r="L123" s="323"/>
      <c r="M123" s="323"/>
      <c r="N123" s="320"/>
      <c r="O123" s="319"/>
    </row>
    <row r="124" spans="1:18" s="11" customFormat="1" ht="15" customHeight="1" x14ac:dyDescent="0.25">
      <c r="C124" s="321"/>
      <c r="G124" s="419"/>
      <c r="H124" s="419"/>
      <c r="I124" s="419"/>
      <c r="J124" s="419"/>
      <c r="K124" s="419"/>
    </row>
    <row r="125" spans="1:18" s="11" customFormat="1" ht="15" customHeight="1" x14ac:dyDescent="0.25">
      <c r="C125" s="321"/>
      <c r="G125" s="419"/>
      <c r="H125" s="419"/>
      <c r="I125" s="419"/>
      <c r="J125" s="419"/>
      <c r="K125" s="419"/>
    </row>
    <row r="126" spans="1:18" s="11" customFormat="1" ht="15" customHeight="1" x14ac:dyDescent="0.25">
      <c r="C126" s="321"/>
      <c r="I126" s="319"/>
      <c r="J126" s="323"/>
      <c r="K126" s="326"/>
      <c r="L126" s="326"/>
      <c r="M126" s="326"/>
      <c r="N126" s="320"/>
      <c r="O126" s="319"/>
    </row>
    <row r="127" spans="1:18" s="11" customFormat="1" x14ac:dyDescent="0.25">
      <c r="F127" s="319"/>
      <c r="I127" s="319"/>
      <c r="J127" s="319"/>
      <c r="K127" s="319"/>
      <c r="L127" s="319"/>
      <c r="M127" s="319"/>
      <c r="N127" s="319"/>
      <c r="O127" s="319"/>
    </row>
    <row r="128" spans="1:18" s="327" customFormat="1" ht="14.25" x14ac:dyDescent="0.2">
      <c r="A128" s="335"/>
      <c r="P128" s="336"/>
      <c r="Q128" s="336"/>
      <c r="R128" s="336"/>
    </row>
    <row r="129" spans="1:18" ht="14.25" x14ac:dyDescent="0.2">
      <c r="A129" s="24"/>
      <c r="P129" s="110"/>
      <c r="Q129" s="110"/>
      <c r="R129" s="110"/>
    </row>
    <row r="130" spans="1:18" ht="14.25" x14ac:dyDescent="0.2">
      <c r="A130" s="24"/>
      <c r="J130" s="111"/>
      <c r="K130" s="111"/>
      <c r="L130" s="111"/>
      <c r="M130" s="111"/>
      <c r="P130" s="112"/>
      <c r="Q130" s="112"/>
      <c r="R130" s="112"/>
    </row>
    <row r="131" spans="1:18" ht="14.25" x14ac:dyDescent="0.2">
      <c r="A131" s="24"/>
      <c r="F131" s="110"/>
      <c r="G131" s="110"/>
      <c r="H131" s="110"/>
      <c r="I131" s="110"/>
      <c r="J131" s="110"/>
      <c r="K131" s="110"/>
      <c r="L131" s="110"/>
      <c r="M131" s="110"/>
      <c r="P131" s="112"/>
      <c r="Q131" s="112"/>
      <c r="R131" s="112"/>
    </row>
    <row r="132" spans="1:18" ht="14.25" x14ac:dyDescent="0.2">
      <c r="A132" s="24"/>
      <c r="F132" s="110"/>
      <c r="G132" s="110"/>
      <c r="H132" s="110"/>
      <c r="I132" s="110"/>
      <c r="J132" s="110"/>
      <c r="K132" s="110"/>
      <c r="L132" s="110"/>
      <c r="M132" s="110"/>
      <c r="P132" s="112"/>
      <c r="Q132" s="112"/>
      <c r="R132" s="112"/>
    </row>
    <row r="133" spans="1:18" ht="14.25" x14ac:dyDescent="0.2">
      <c r="A133" s="24"/>
      <c r="F133" s="110"/>
      <c r="G133" s="110"/>
      <c r="H133" s="110"/>
      <c r="I133" s="110"/>
      <c r="J133" s="110"/>
      <c r="K133" s="110"/>
      <c r="L133" s="110"/>
      <c r="M133" s="110"/>
      <c r="P133" s="112"/>
      <c r="Q133" s="112"/>
      <c r="R133" s="112"/>
    </row>
    <row r="134" spans="1:18" ht="15" x14ac:dyDescent="0.25">
      <c r="A134" s="24"/>
      <c r="B134" s="31"/>
      <c r="C134" s="31"/>
      <c r="D134" s="31"/>
      <c r="E134" s="31"/>
      <c r="P134" s="112"/>
      <c r="Q134" s="112"/>
      <c r="R134" s="112"/>
    </row>
    <row r="135" spans="1:18" ht="15" x14ac:dyDescent="0.25">
      <c r="A135" s="24"/>
      <c r="B135" s="113"/>
      <c r="C135" s="113"/>
      <c r="D135" s="113"/>
      <c r="E135" s="113"/>
      <c r="F135" s="114"/>
      <c r="G135" s="114"/>
      <c r="H135" s="114"/>
      <c r="I135" s="114"/>
      <c r="J135" s="114"/>
      <c r="K135" s="114"/>
      <c r="L135" s="114"/>
      <c r="M135" s="114"/>
      <c r="P135" s="112"/>
      <c r="Q135" s="112"/>
      <c r="R135" s="112"/>
    </row>
    <row r="136" spans="1:18" ht="15" x14ac:dyDescent="0.25">
      <c r="A136" s="24"/>
      <c r="B136" s="31"/>
      <c r="C136" s="31"/>
      <c r="D136" s="31"/>
      <c r="E136" s="31"/>
      <c r="P136" s="112"/>
      <c r="Q136" s="112"/>
      <c r="R136" s="112"/>
    </row>
    <row r="137" spans="1:18" x14ac:dyDescent="0.2">
      <c r="F137" s="115"/>
      <c r="G137" s="115"/>
      <c r="H137" s="115"/>
      <c r="I137" s="115"/>
      <c r="J137" s="115"/>
      <c r="K137" s="115"/>
      <c r="L137" s="115"/>
      <c r="M137" s="115"/>
      <c r="P137" s="112"/>
      <c r="Q137" s="112"/>
      <c r="R137" s="112"/>
    </row>
    <row r="138" spans="1:18" x14ac:dyDescent="0.2">
      <c r="F138" s="116"/>
      <c r="G138" s="116"/>
      <c r="H138" s="116"/>
      <c r="I138" s="116"/>
      <c r="J138" s="116"/>
      <c r="K138" s="116"/>
      <c r="L138" s="116"/>
      <c r="M138" s="116"/>
      <c r="P138" s="112"/>
      <c r="Q138" s="112"/>
      <c r="R138" s="112"/>
    </row>
    <row r="139" spans="1:18" x14ac:dyDescent="0.25">
      <c r="F139" s="115"/>
      <c r="G139" s="115"/>
      <c r="H139" s="115"/>
      <c r="I139" s="115"/>
      <c r="J139" s="115"/>
      <c r="K139" s="115"/>
      <c r="L139" s="115"/>
      <c r="M139" s="115"/>
      <c r="P139" s="117"/>
      <c r="Q139" s="117"/>
      <c r="R139" s="117"/>
    </row>
    <row r="140" spans="1:18" x14ac:dyDescent="0.2">
      <c r="F140" s="116"/>
      <c r="G140" s="116"/>
      <c r="H140" s="116"/>
      <c r="I140" s="116"/>
      <c r="J140" s="116"/>
      <c r="K140" s="116"/>
      <c r="L140" s="116"/>
      <c r="M140" s="116"/>
    </row>
    <row r="141" spans="1:18" x14ac:dyDescent="0.2">
      <c r="F141" s="115"/>
      <c r="G141" s="115"/>
      <c r="H141" s="115"/>
      <c r="I141" s="115"/>
      <c r="J141" s="115"/>
      <c r="K141" s="115"/>
      <c r="L141" s="115"/>
      <c r="M141" s="115"/>
      <c r="P141" s="118"/>
      <c r="Q141" s="118"/>
      <c r="R141" s="118"/>
    </row>
    <row r="142" spans="1:18" x14ac:dyDescent="0.25">
      <c r="F142" s="116"/>
      <c r="G142" s="116"/>
      <c r="H142" s="116"/>
      <c r="I142" s="116"/>
      <c r="J142" s="116"/>
      <c r="K142" s="116"/>
      <c r="L142" s="116"/>
      <c r="M142" s="116"/>
      <c r="P142" s="117"/>
      <c r="Q142" s="117"/>
      <c r="R142" s="115"/>
    </row>
    <row r="143" spans="1:18" x14ac:dyDescent="0.2">
      <c r="F143" s="110"/>
      <c r="G143" s="110"/>
      <c r="H143" s="110"/>
      <c r="I143" s="110"/>
      <c r="J143" s="110"/>
      <c r="K143" s="110"/>
      <c r="L143" s="110"/>
      <c r="M143" s="110"/>
    </row>
    <row r="144" spans="1:18" x14ac:dyDescent="0.2">
      <c r="F144" s="111"/>
      <c r="G144" s="111"/>
      <c r="H144" s="111"/>
      <c r="I144" s="111"/>
      <c r="J144" s="111"/>
      <c r="K144" s="111"/>
      <c r="L144" s="111"/>
      <c r="M144" s="111"/>
    </row>
    <row r="145" spans="2:13" x14ac:dyDescent="0.2">
      <c r="F145" s="115"/>
      <c r="G145" s="115"/>
      <c r="H145" s="115"/>
      <c r="I145" s="115"/>
      <c r="J145" s="115"/>
      <c r="K145" s="115"/>
      <c r="L145" s="115"/>
      <c r="M145" s="115"/>
    </row>
    <row r="146" spans="2:13" x14ac:dyDescent="0.2">
      <c r="F146" s="115"/>
      <c r="G146" s="115"/>
      <c r="H146" s="115"/>
      <c r="I146" s="115"/>
      <c r="J146" s="115"/>
      <c r="K146" s="115"/>
      <c r="L146" s="115"/>
      <c r="M146" s="115"/>
    </row>
    <row r="147" spans="2:13" x14ac:dyDescent="0.25">
      <c r="B147" s="436"/>
      <c r="C147" s="436"/>
      <c r="D147" s="436"/>
      <c r="E147" s="436"/>
      <c r="F147" s="437"/>
      <c r="G147" s="437"/>
      <c r="H147" s="437"/>
      <c r="I147" s="437"/>
      <c r="J147" s="437"/>
      <c r="K147" s="437"/>
      <c r="L147" s="33"/>
      <c r="M147" s="33"/>
    </row>
    <row r="148" spans="2:13" x14ac:dyDescent="0.2">
      <c r="F148" s="115"/>
      <c r="G148" s="115"/>
      <c r="H148" s="115"/>
      <c r="I148" s="115"/>
      <c r="J148" s="115"/>
      <c r="K148" s="115"/>
      <c r="L148" s="115"/>
      <c r="M148" s="115"/>
    </row>
    <row r="149" spans="2:13" x14ac:dyDescent="0.2">
      <c r="F149" s="115"/>
      <c r="G149" s="115"/>
      <c r="H149" s="115"/>
      <c r="I149" s="115"/>
      <c r="J149" s="115"/>
      <c r="K149" s="115"/>
      <c r="L149" s="115"/>
      <c r="M149" s="115"/>
    </row>
    <row r="150" spans="2:13" x14ac:dyDescent="0.2">
      <c r="F150" s="115"/>
      <c r="G150" s="115"/>
      <c r="H150" s="115"/>
      <c r="I150" s="115"/>
      <c r="J150" s="115"/>
      <c r="K150" s="115"/>
      <c r="L150" s="115"/>
      <c r="M150" s="115"/>
    </row>
    <row r="151" spans="2:13" x14ac:dyDescent="0.2">
      <c r="F151" s="115"/>
      <c r="G151" s="115"/>
      <c r="H151" s="115"/>
      <c r="I151" s="115"/>
      <c r="J151" s="115"/>
      <c r="K151" s="115"/>
      <c r="L151" s="115"/>
      <c r="M151" s="115"/>
    </row>
    <row r="152" spans="2:13" x14ac:dyDescent="0.2">
      <c r="F152" s="119"/>
      <c r="G152" s="119"/>
      <c r="H152" s="119"/>
      <c r="I152" s="119"/>
      <c r="J152" s="119"/>
      <c r="K152" s="119"/>
      <c r="L152" s="119"/>
      <c r="M152" s="119"/>
    </row>
    <row r="153" spans="2:13" x14ac:dyDescent="0.2">
      <c r="F153" s="119"/>
      <c r="G153" s="119"/>
      <c r="H153" s="119"/>
      <c r="I153" s="119"/>
      <c r="J153" s="119"/>
      <c r="K153" s="119"/>
      <c r="L153" s="119"/>
      <c r="M153" s="119"/>
    </row>
    <row r="154" spans="2:13" x14ac:dyDescent="0.25">
      <c r="B154" s="436"/>
      <c r="C154" s="436"/>
      <c r="D154" s="436"/>
      <c r="E154" s="436"/>
      <c r="F154" s="437"/>
      <c r="G154" s="437"/>
      <c r="H154" s="437"/>
      <c r="I154" s="437"/>
      <c r="J154" s="437"/>
      <c r="K154" s="437"/>
      <c r="L154" s="33"/>
      <c r="M154" s="33"/>
    </row>
    <row r="155" spans="2:13" x14ac:dyDescent="0.2">
      <c r="F155" s="110"/>
      <c r="G155" s="110"/>
      <c r="H155" s="110"/>
      <c r="I155" s="110"/>
      <c r="J155" s="110"/>
      <c r="K155" s="110"/>
      <c r="L155" s="110"/>
      <c r="M155" s="110"/>
    </row>
    <row r="156" spans="2:13" x14ac:dyDescent="0.2">
      <c r="F156" s="111"/>
      <c r="G156" s="111"/>
      <c r="H156" s="111"/>
      <c r="I156" s="111"/>
      <c r="J156" s="111"/>
      <c r="K156" s="116"/>
      <c r="L156" s="116"/>
      <c r="M156" s="116"/>
    </row>
    <row r="157" spans="2:13" x14ac:dyDescent="0.2">
      <c r="F157" s="111"/>
      <c r="G157" s="111"/>
      <c r="H157" s="111"/>
      <c r="I157" s="111"/>
      <c r="J157" s="111"/>
      <c r="K157" s="118"/>
      <c r="L157" s="118"/>
      <c r="M157" s="118"/>
    </row>
    <row r="158" spans="2:13" x14ac:dyDescent="0.25">
      <c r="F158" s="111"/>
      <c r="G158" s="111"/>
      <c r="H158" s="111"/>
      <c r="I158" s="111"/>
      <c r="J158" s="111"/>
      <c r="K158" s="117"/>
      <c r="L158" s="117"/>
      <c r="M158" s="117"/>
    </row>
    <row r="159" spans="2:13" x14ac:dyDescent="0.2">
      <c r="F159" s="111"/>
      <c r="K159" s="116"/>
      <c r="L159" s="116"/>
      <c r="M159" s="116"/>
    </row>
    <row r="160" spans="2:13" x14ac:dyDescent="0.25">
      <c r="B160" s="31"/>
      <c r="C160" s="31"/>
      <c r="D160" s="31"/>
      <c r="E160" s="31"/>
      <c r="F160" s="110"/>
      <c r="G160" s="110"/>
      <c r="H160" s="110"/>
      <c r="I160" s="110"/>
      <c r="J160" s="110"/>
      <c r="K160" s="120"/>
      <c r="L160" s="120"/>
      <c r="M160" s="120"/>
    </row>
    <row r="161" spans="2:13" x14ac:dyDescent="0.25">
      <c r="B161" s="31"/>
      <c r="C161" s="31"/>
      <c r="D161" s="31"/>
      <c r="E161" s="31"/>
      <c r="F161" s="110"/>
      <c r="G161" s="110"/>
      <c r="H161" s="110"/>
      <c r="I161" s="110"/>
      <c r="J161" s="110"/>
      <c r="K161" s="120"/>
      <c r="L161" s="120"/>
      <c r="M161" s="120"/>
    </row>
    <row r="162" spans="2:13" x14ac:dyDescent="0.2">
      <c r="F162" s="118"/>
      <c r="G162" s="118"/>
      <c r="H162" s="118"/>
      <c r="I162" s="118"/>
      <c r="J162" s="118"/>
      <c r="K162" s="120"/>
      <c r="L162" s="120"/>
      <c r="M162" s="120"/>
    </row>
    <row r="163" spans="2:13" x14ac:dyDescent="0.25">
      <c r="F163" s="117"/>
      <c r="G163" s="117"/>
      <c r="H163" s="117"/>
      <c r="I163" s="117"/>
      <c r="J163" s="117"/>
      <c r="K163" s="120"/>
      <c r="L163" s="120"/>
      <c r="M163" s="120"/>
    </row>
    <row r="164" spans="2:13" x14ac:dyDescent="0.2">
      <c r="K164" s="120"/>
      <c r="L164" s="120"/>
      <c r="M164" s="120"/>
    </row>
    <row r="165" spans="2:13" x14ac:dyDescent="0.25">
      <c r="B165" s="436"/>
      <c r="C165" s="436"/>
      <c r="D165" s="436"/>
      <c r="E165" s="436"/>
      <c r="F165" s="437"/>
      <c r="H165" s="436"/>
      <c r="I165" s="437"/>
      <c r="K165" s="120"/>
      <c r="L165" s="120"/>
      <c r="M165" s="120"/>
    </row>
    <row r="166" spans="2:13" x14ac:dyDescent="0.25">
      <c r="F166" s="121"/>
      <c r="G166" s="120"/>
      <c r="H166" s="122"/>
      <c r="I166" s="121"/>
      <c r="K166" s="120"/>
      <c r="L166" s="120"/>
      <c r="M166" s="120"/>
    </row>
    <row r="167" spans="2:13" x14ac:dyDescent="0.25">
      <c r="F167" s="123"/>
      <c r="G167" s="120"/>
      <c r="H167" s="122"/>
      <c r="I167" s="121"/>
      <c r="K167" s="120"/>
      <c r="L167" s="120"/>
      <c r="M167" s="120"/>
    </row>
    <row r="168" spans="2:13" x14ac:dyDescent="0.25">
      <c r="F168" s="121"/>
      <c r="G168" s="120"/>
      <c r="H168" s="122"/>
      <c r="I168" s="123"/>
    </row>
    <row r="169" spans="2:13" x14ac:dyDescent="0.25">
      <c r="F169" s="124"/>
      <c r="G169" s="120"/>
      <c r="H169" s="125"/>
      <c r="I169" s="126"/>
      <c r="J169" s="127"/>
    </row>
    <row r="170" spans="2:13" x14ac:dyDescent="0.25">
      <c r="F170" s="117"/>
      <c r="G170" s="120"/>
    </row>
    <row r="171" spans="2:13" x14ac:dyDescent="0.2">
      <c r="F171" s="120"/>
    </row>
  </sheetData>
  <mergeCells count="17">
    <mergeCell ref="N8:O8"/>
    <mergeCell ref="B147:K147"/>
    <mergeCell ref="B154:K154"/>
    <mergeCell ref="B165:F165"/>
    <mergeCell ref="H165:I165"/>
    <mergeCell ref="F14:H14"/>
    <mergeCell ref="I14:K14"/>
    <mergeCell ref="F25:H25"/>
    <mergeCell ref="I25:K25"/>
    <mergeCell ref="B23:H23"/>
    <mergeCell ref="G124:K124"/>
    <mergeCell ref="G125:K125"/>
    <mergeCell ref="C4:D4"/>
    <mergeCell ref="H8:J8"/>
    <mergeCell ref="C14:E14"/>
    <mergeCell ref="C25:E25"/>
    <mergeCell ref="B12:H12"/>
  </mergeCells>
  <pageMargins left="0.2" right="0.2" top="0.25" bottom="0.25" header="0.3" footer="0.3"/>
  <pageSetup scale="57" fitToHeight="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24EA-C68E-4CEB-BD00-C3785317F9F4}">
  <sheetPr codeName="Sheet9">
    <tabColor rgb="FFC00000"/>
    <pageSetUpPr fitToPage="1"/>
  </sheetPr>
  <dimension ref="A1:AG115"/>
  <sheetViews>
    <sheetView tabSelected="1" workbookViewId="0">
      <pane xSplit="2" ySplit="8" topLeftCell="M9" activePane="bottomRight" state="frozen"/>
      <selection activeCell="G28" sqref="G28"/>
      <selection pane="topRight" activeCell="G28" sqref="G28"/>
      <selection pane="bottomLeft" activeCell="G28" sqref="G28"/>
      <selection pane="bottomRight" activeCell="G28" sqref="G28"/>
    </sheetView>
  </sheetViews>
  <sheetFormatPr defaultColWidth="9.140625" defaultRowHeight="15" customHeight="1" outlineLevelRow="2" x14ac:dyDescent="0.25"/>
  <cols>
    <col min="1" max="1" width="4.28515625" style="14" customWidth="1"/>
    <col min="2" max="2" width="42.7109375" style="210" customWidth="1"/>
    <col min="3" max="8" width="17.28515625" style="210" customWidth="1"/>
    <col min="9" max="9" width="2" style="210" bestFit="1" customWidth="1"/>
    <col min="10" max="10" width="6" style="210" customWidth="1"/>
    <col min="11" max="11" width="9.5703125" style="133" bestFit="1" customWidth="1"/>
    <col min="12" max="13" width="9.140625" style="133"/>
    <col min="14" max="14" width="2.140625" style="133" customWidth="1"/>
    <col min="15" max="17" width="9.140625" style="133"/>
    <col min="18" max="18" width="2.140625" style="133" customWidth="1"/>
    <col min="19" max="21" width="9.140625" style="133"/>
    <col min="22" max="22" width="2.140625" style="133" customWidth="1"/>
    <col min="23" max="25" width="9.140625" style="133"/>
    <col min="26" max="26" width="2.140625" style="133" customWidth="1"/>
    <col min="27" max="29" width="9.140625" style="133"/>
    <col min="30" max="30" width="2.140625" style="133" customWidth="1"/>
    <col min="31" max="33" width="9.140625" style="133"/>
    <col min="34" max="16384" width="9.140625" style="210"/>
  </cols>
  <sheetData>
    <row r="1" spans="1:33" s="16" customFormat="1" ht="14.25" x14ac:dyDescent="0.2">
      <c r="K1" s="133"/>
      <c r="L1" s="133"/>
      <c r="M1" s="133"/>
      <c r="N1" s="133"/>
      <c r="O1" s="133"/>
      <c r="P1" s="133"/>
      <c r="Q1" s="133"/>
      <c r="R1" s="133"/>
      <c r="S1" s="133"/>
      <c r="T1" s="133"/>
      <c r="U1" s="133"/>
      <c r="V1" s="133"/>
      <c r="W1" s="133"/>
      <c r="X1" s="133"/>
      <c r="Y1" s="133"/>
      <c r="Z1" s="133"/>
      <c r="AA1" s="133"/>
      <c r="AB1" s="133"/>
      <c r="AC1" s="133"/>
      <c r="AD1" s="133"/>
      <c r="AE1" s="133"/>
      <c r="AF1" s="133"/>
      <c r="AG1" s="133"/>
    </row>
    <row r="2" spans="1:33" ht="20.25" x14ac:dyDescent="0.3">
      <c r="A2" s="17"/>
      <c r="B2" s="18" t="str">
        <f>Inputs!B2</f>
        <v>Comparing Complex Deal Structures</v>
      </c>
      <c r="C2" s="18"/>
      <c r="D2" s="18"/>
      <c r="E2" s="18"/>
      <c r="F2" s="18"/>
      <c r="G2" s="18"/>
      <c r="H2" s="18"/>
      <c r="I2" s="18"/>
    </row>
    <row r="3" spans="1:33" s="14" customFormat="1" ht="15" customHeight="1" x14ac:dyDescent="0.25">
      <c r="B3" s="107"/>
      <c r="C3" s="109"/>
      <c r="D3" s="109"/>
      <c r="E3" s="109"/>
      <c r="G3" s="15"/>
      <c r="J3" s="15"/>
      <c r="K3" s="25"/>
      <c r="L3" s="25"/>
      <c r="M3" s="25"/>
      <c r="N3" s="25"/>
      <c r="O3" s="25"/>
      <c r="P3" s="25"/>
      <c r="Q3" s="25"/>
      <c r="R3" s="25"/>
      <c r="S3" s="25"/>
      <c r="T3" s="25"/>
      <c r="U3" s="25"/>
      <c r="V3" s="25"/>
      <c r="W3" s="25"/>
      <c r="X3" s="25"/>
      <c r="Y3" s="25"/>
      <c r="Z3" s="25"/>
      <c r="AA3" s="25"/>
      <c r="AB3" s="25"/>
      <c r="AC3" s="25"/>
      <c r="AD3" s="25"/>
      <c r="AE3" s="25"/>
      <c r="AF3" s="25"/>
      <c r="AG3" s="25"/>
    </row>
    <row r="4" spans="1:33" ht="20.45" customHeight="1" x14ac:dyDescent="0.3">
      <c r="A4" s="20"/>
      <c r="B4" s="128" t="s">
        <v>101</v>
      </c>
      <c r="C4" s="424" t="s">
        <v>320</v>
      </c>
      <c r="D4" s="424"/>
      <c r="E4" s="420" t="str">
        <f ca="1">Scenario!E4</f>
        <v>Best Case</v>
      </c>
      <c r="F4" s="425"/>
      <c r="G4" s="157"/>
      <c r="H4" s="129"/>
      <c r="I4" s="19"/>
    </row>
    <row r="5" spans="1:33" s="21" customFormat="1" ht="10.15" customHeight="1" x14ac:dyDescent="0.25">
      <c r="B5" s="22"/>
      <c r="C5" s="23"/>
      <c r="D5" s="23"/>
      <c r="E5" s="23"/>
      <c r="F5" s="14"/>
      <c r="G5" s="15"/>
      <c r="H5" s="14"/>
      <c r="I5" s="14"/>
      <c r="J5" s="23"/>
      <c r="K5" s="13"/>
      <c r="L5" s="13"/>
      <c r="M5" s="13"/>
      <c r="N5" s="13"/>
      <c r="O5" s="13"/>
      <c r="P5" s="13"/>
      <c r="Q5" s="13"/>
      <c r="R5" s="13"/>
      <c r="S5" s="13"/>
      <c r="T5" s="13"/>
      <c r="U5" s="13"/>
      <c r="V5" s="13"/>
      <c r="W5" s="13"/>
      <c r="X5" s="13"/>
      <c r="Y5" s="13"/>
      <c r="Z5" s="13"/>
      <c r="AA5" s="13"/>
      <c r="AB5" s="13"/>
      <c r="AC5" s="13"/>
      <c r="AD5" s="13"/>
      <c r="AE5" s="13"/>
      <c r="AF5" s="13"/>
      <c r="AG5" s="13"/>
    </row>
    <row r="6" spans="1:33" s="21" customFormat="1" ht="10.15" customHeight="1" x14ac:dyDescent="0.25">
      <c r="B6" s="22"/>
      <c r="C6" s="23"/>
      <c r="D6" s="23"/>
      <c r="E6" s="23"/>
      <c r="F6" s="14"/>
      <c r="G6" s="15"/>
      <c r="H6" s="14"/>
      <c r="I6" s="14"/>
      <c r="J6" s="23"/>
      <c r="K6" s="134"/>
      <c r="L6" s="13"/>
      <c r="M6" s="13"/>
      <c r="N6" s="13"/>
      <c r="O6" s="13"/>
      <c r="P6" s="13"/>
      <c r="Q6" s="13"/>
      <c r="R6" s="13"/>
      <c r="S6" s="13"/>
      <c r="T6" s="13"/>
      <c r="U6" s="13"/>
      <c r="V6" s="13"/>
      <c r="W6" s="13"/>
      <c r="X6" s="13"/>
      <c r="Y6" s="13"/>
      <c r="Z6" s="13"/>
      <c r="AA6" s="13"/>
      <c r="AB6" s="13"/>
      <c r="AC6" s="13"/>
      <c r="AD6" s="13"/>
      <c r="AE6" s="13"/>
      <c r="AF6" s="13"/>
      <c r="AG6" s="13"/>
    </row>
    <row r="7" spans="1:33" ht="15" customHeight="1" x14ac:dyDescent="0.25">
      <c r="A7" s="24"/>
      <c r="B7" s="133"/>
      <c r="C7" s="458" t="s">
        <v>23</v>
      </c>
      <c r="D7" s="458"/>
      <c r="E7" s="458"/>
      <c r="F7" s="458"/>
      <c r="G7" s="458"/>
      <c r="H7" s="458"/>
      <c r="I7" s="133"/>
      <c r="K7" s="458">
        <f>C8</f>
        <v>2021</v>
      </c>
      <c r="L7" s="458"/>
      <c r="M7" s="458"/>
      <c r="O7" s="458">
        <f>D8</f>
        <v>2022</v>
      </c>
      <c r="P7" s="458"/>
      <c r="Q7" s="458"/>
      <c r="S7" s="458">
        <f>E8</f>
        <v>2023</v>
      </c>
      <c r="T7" s="458"/>
      <c r="U7" s="458"/>
      <c r="W7" s="458">
        <f>F8</f>
        <v>2024</v>
      </c>
      <c r="X7" s="458"/>
      <c r="Y7" s="458"/>
      <c r="AA7" s="458">
        <f>G8</f>
        <v>2025</v>
      </c>
      <c r="AB7" s="458"/>
      <c r="AC7" s="458"/>
      <c r="AE7" s="458">
        <f>H8</f>
        <v>2026</v>
      </c>
      <c r="AF7" s="458"/>
      <c r="AG7" s="458"/>
    </row>
    <row r="8" spans="1:33" ht="15" customHeight="1" x14ac:dyDescent="0.25">
      <c r="A8" s="24"/>
      <c r="B8" s="133"/>
      <c r="C8" s="134">
        <f>Inputs!C22</f>
        <v>2021</v>
      </c>
      <c r="D8" s="134">
        <f>Inputs!D22</f>
        <v>2022</v>
      </c>
      <c r="E8" s="134">
        <f>Inputs!E22</f>
        <v>2023</v>
      </c>
      <c r="F8" s="134">
        <f>Inputs!F22</f>
        <v>2024</v>
      </c>
      <c r="G8" s="134">
        <f>Inputs!G22</f>
        <v>2025</v>
      </c>
      <c r="H8" s="134">
        <f>Inputs!H22</f>
        <v>2026</v>
      </c>
      <c r="I8" s="133"/>
      <c r="K8" s="137" t="s">
        <v>73</v>
      </c>
      <c r="L8" s="137" t="s">
        <v>67</v>
      </c>
      <c r="M8" s="137" t="s">
        <v>68</v>
      </c>
      <c r="N8" s="137"/>
      <c r="O8" s="137" t="s">
        <v>73</v>
      </c>
      <c r="P8" s="137" t="s">
        <v>67</v>
      </c>
      <c r="Q8" s="137" t="s">
        <v>68</v>
      </c>
      <c r="R8" s="137"/>
      <c r="S8" s="137" t="s">
        <v>73</v>
      </c>
      <c r="T8" s="137" t="s">
        <v>67</v>
      </c>
      <c r="U8" s="137" t="s">
        <v>68</v>
      </c>
      <c r="V8" s="137"/>
      <c r="W8" s="137" t="s">
        <v>73</v>
      </c>
      <c r="X8" s="137" t="s">
        <v>67</v>
      </c>
      <c r="Y8" s="137" t="s">
        <v>68</v>
      </c>
      <c r="Z8" s="137"/>
      <c r="AA8" s="137" t="s">
        <v>73</v>
      </c>
      <c r="AB8" s="137" t="s">
        <v>67</v>
      </c>
      <c r="AC8" s="137" t="s">
        <v>68</v>
      </c>
      <c r="AD8" s="137"/>
      <c r="AE8" s="137" t="s">
        <v>73</v>
      </c>
      <c r="AF8" s="137" t="s">
        <v>67</v>
      </c>
      <c r="AG8" s="137" t="s">
        <v>68</v>
      </c>
    </row>
    <row r="9" spans="1:33" ht="15" customHeight="1" x14ac:dyDescent="0.25">
      <c r="A9" s="24"/>
      <c r="B9" s="133"/>
      <c r="C9" s="211">
        <v>1</v>
      </c>
      <c r="D9" s="211">
        <f>C9+1</f>
        <v>2</v>
      </c>
      <c r="E9" s="211">
        <f>D9+1</f>
        <v>3</v>
      </c>
      <c r="F9" s="211">
        <f>E9+1</f>
        <v>4</v>
      </c>
      <c r="G9" s="211">
        <f>F9+1</f>
        <v>5</v>
      </c>
      <c r="H9" s="211">
        <f>G9+1</f>
        <v>6</v>
      </c>
      <c r="I9" s="133"/>
      <c r="K9" s="13"/>
      <c r="L9" s="13"/>
      <c r="M9" s="13"/>
      <c r="N9" s="13"/>
      <c r="O9" s="13"/>
      <c r="P9" s="13"/>
      <c r="Q9" s="13"/>
      <c r="R9" s="13"/>
      <c r="S9" s="13"/>
      <c r="T9" s="13"/>
      <c r="U9" s="13"/>
      <c r="V9" s="13"/>
      <c r="W9" s="13"/>
      <c r="X9" s="13"/>
      <c r="Y9" s="13"/>
      <c r="Z9" s="13"/>
      <c r="AA9" s="13"/>
      <c r="AB9" s="13"/>
      <c r="AC9" s="13"/>
      <c r="AD9" s="13"/>
      <c r="AE9" s="13"/>
      <c r="AF9" s="13"/>
      <c r="AG9" s="13"/>
    </row>
    <row r="10" spans="1:33" ht="15" customHeight="1" x14ac:dyDescent="0.25">
      <c r="A10" s="24"/>
      <c r="B10" s="212" t="s">
        <v>363</v>
      </c>
      <c r="C10" s="213">
        <f t="array" ref="C10">PRODUCT(1+Inputs!$C$32:C32)</f>
        <v>1.02</v>
      </c>
      <c r="D10" s="213">
        <f t="array" ref="D10">PRODUCT(1+Inputs!$C$32:D32)</f>
        <v>1.0404</v>
      </c>
      <c r="E10" s="213">
        <f t="array" ref="E10">PRODUCT(1+Inputs!$C$32:E32)</f>
        <v>1.0612079999999999</v>
      </c>
      <c r="F10" s="213">
        <f t="array" ref="F10">PRODUCT(1+Inputs!$C$32:F32)</f>
        <v>1.08243216</v>
      </c>
      <c r="G10" s="213">
        <f t="array" ref="G10">PRODUCT(1+Inputs!$C$32:G32)</f>
        <v>1.1040808032</v>
      </c>
      <c r="H10" s="213">
        <f t="array" ref="H10">PRODUCT(1+Inputs!$C$32:H32)</f>
        <v>1.1261624192640001</v>
      </c>
      <c r="I10" s="133" t="s">
        <v>15</v>
      </c>
    </row>
    <row r="11" spans="1:33" ht="15" customHeight="1" x14ac:dyDescent="0.25">
      <c r="A11" s="24"/>
      <c r="B11" s="146" t="s">
        <v>89</v>
      </c>
      <c r="C11" s="134"/>
      <c r="D11" s="134"/>
      <c r="E11" s="134"/>
      <c r="F11" s="134"/>
      <c r="G11" s="134"/>
      <c r="H11" s="134"/>
      <c r="I11" s="133"/>
    </row>
    <row r="12" spans="1:33" ht="15" customHeight="1" outlineLevel="1" x14ac:dyDescent="0.25">
      <c r="A12" s="24"/>
      <c r="B12" s="168" t="s">
        <v>69</v>
      </c>
      <c r="C12" s="136">
        <f ca="1">SUMPRODUCT(C17:C18,C21:C22)</f>
        <v>10667125</v>
      </c>
      <c r="D12" s="136">
        <f t="shared" ref="D12:H12" ca="1" si="0">SUMPRODUCT(D17:D18,D21:D22)</f>
        <v>11757562.5</v>
      </c>
      <c r="E12" s="136">
        <f t="shared" ca="1" si="0"/>
        <v>12157556.875</v>
      </c>
      <c r="F12" s="136">
        <f t="shared" ca="1" si="0"/>
        <v>12565125</v>
      </c>
      <c r="G12" s="136">
        <f t="shared" ca="1" si="0"/>
        <v>12600895</v>
      </c>
      <c r="H12" s="136">
        <f t="shared" ca="1" si="0"/>
        <v>13205700</v>
      </c>
      <c r="I12" s="133" t="s">
        <v>15</v>
      </c>
      <c r="K12" s="214">
        <f ca="1">C12/C$31</f>
        <v>0.7277322642496078</v>
      </c>
      <c r="L12" s="215">
        <f ca="1">C12/C$15</f>
        <v>116.9</v>
      </c>
      <c r="M12" s="215">
        <f ca="1">C12/C$16</f>
        <v>167.00000000000003</v>
      </c>
      <c r="O12" s="214">
        <f ca="1">D12/D$31</f>
        <v>0.73939540008263327</v>
      </c>
      <c r="P12" s="215">
        <f ca="1">D12/D$15</f>
        <v>128.85</v>
      </c>
      <c r="Q12" s="215">
        <f ca="1">D12/D$16</f>
        <v>171.8</v>
      </c>
      <c r="S12" s="214">
        <f ca="1">E12/E$31</f>
        <v>0.71697006283319031</v>
      </c>
      <c r="T12" s="215">
        <f ca="1">E12/E$15</f>
        <v>133.23349999999999</v>
      </c>
      <c r="U12" s="215">
        <f ca="1">E12/E$16</f>
        <v>168.65</v>
      </c>
      <c r="W12" s="214">
        <f ca="1">F12/F$31</f>
        <v>0.6821829855537721</v>
      </c>
      <c r="X12" s="215">
        <f ca="1">F12/F$15</f>
        <v>137.69999999999999</v>
      </c>
      <c r="Y12" s="215">
        <f ca="1">F12/F$16</f>
        <v>170</v>
      </c>
      <c r="AA12" s="214">
        <f ca="1">G12/G$31</f>
        <v>0.71448424701208246</v>
      </c>
      <c r="AB12" s="215">
        <f ca="1">G12/G$15</f>
        <v>138.09200000000001</v>
      </c>
      <c r="AC12" s="215">
        <f ca="1">G12/G$16</f>
        <v>174.8</v>
      </c>
      <c r="AE12" s="214">
        <f ca="1">H12/H$31</f>
        <v>0.74470187225213658</v>
      </c>
      <c r="AF12" s="215">
        <f ca="1">H12/H$15</f>
        <v>144.72</v>
      </c>
      <c r="AG12" s="215">
        <f ca="1">H12/H$16</f>
        <v>180.9</v>
      </c>
    </row>
    <row r="13" spans="1:33" ht="15" hidden="1" customHeight="1" outlineLevel="2" x14ac:dyDescent="0.25">
      <c r="A13" s="24"/>
      <c r="B13" s="168" t="s">
        <v>33</v>
      </c>
      <c r="C13" s="216">
        <f t="shared" ref="C13:H13" si="1">NumberRooms</f>
        <v>250</v>
      </c>
      <c r="D13" s="216">
        <f t="shared" si="1"/>
        <v>250</v>
      </c>
      <c r="E13" s="216">
        <f t="shared" si="1"/>
        <v>250</v>
      </c>
      <c r="F13" s="216">
        <f t="shared" si="1"/>
        <v>250</v>
      </c>
      <c r="G13" s="216">
        <f t="shared" si="1"/>
        <v>250</v>
      </c>
      <c r="H13" s="216">
        <f t="shared" si="1"/>
        <v>250</v>
      </c>
      <c r="I13" s="133" t="s">
        <v>15</v>
      </c>
    </row>
    <row r="14" spans="1:33" ht="15" hidden="1" customHeight="1" outlineLevel="2" x14ac:dyDescent="0.25">
      <c r="A14" s="24"/>
      <c r="B14" s="168" t="s">
        <v>34</v>
      </c>
      <c r="C14" s="216">
        <f t="shared" ref="C14:H14" si="2">DaysOpen</f>
        <v>365</v>
      </c>
      <c r="D14" s="216">
        <f t="shared" si="2"/>
        <v>365</v>
      </c>
      <c r="E14" s="216">
        <f t="shared" si="2"/>
        <v>365</v>
      </c>
      <c r="F14" s="216">
        <f t="shared" si="2"/>
        <v>365</v>
      </c>
      <c r="G14" s="216">
        <f t="shared" si="2"/>
        <v>365</v>
      </c>
      <c r="H14" s="216">
        <f t="shared" si="2"/>
        <v>365</v>
      </c>
      <c r="I14" s="133" t="s">
        <v>15</v>
      </c>
    </row>
    <row r="15" spans="1:33" ht="15" hidden="1" customHeight="1" outlineLevel="2" x14ac:dyDescent="0.25">
      <c r="A15" s="24"/>
      <c r="B15" s="168" t="s">
        <v>90</v>
      </c>
      <c r="C15" s="216">
        <f>C13*C14</f>
        <v>91250</v>
      </c>
      <c r="D15" s="216">
        <f t="shared" ref="D15:H15" si="3">D13*D14</f>
        <v>91250</v>
      </c>
      <c r="E15" s="216">
        <f t="shared" si="3"/>
        <v>91250</v>
      </c>
      <c r="F15" s="216">
        <f t="shared" si="3"/>
        <v>91250</v>
      </c>
      <c r="G15" s="216">
        <f t="shared" si="3"/>
        <v>91250</v>
      </c>
      <c r="H15" s="216">
        <f t="shared" si="3"/>
        <v>91250</v>
      </c>
      <c r="I15" s="133" t="s">
        <v>15</v>
      </c>
    </row>
    <row r="16" spans="1:33" ht="15" hidden="1" customHeight="1" outlineLevel="2" x14ac:dyDescent="0.25">
      <c r="A16" s="24"/>
      <c r="B16" s="168" t="s">
        <v>91</v>
      </c>
      <c r="C16" s="216">
        <f ca="1">SUM(C17:C18)</f>
        <v>63874.999999999993</v>
      </c>
      <c r="D16" s="216">
        <f t="shared" ref="D16:H16" ca="1" si="4">SUM(D17:D18)</f>
        <v>68437.5</v>
      </c>
      <c r="E16" s="216">
        <f t="shared" ca="1" si="4"/>
        <v>72087.5</v>
      </c>
      <c r="F16" s="216">
        <f t="shared" ca="1" si="4"/>
        <v>73912.5</v>
      </c>
      <c r="G16" s="216">
        <f t="shared" ca="1" si="4"/>
        <v>72087.5</v>
      </c>
      <c r="H16" s="216">
        <f t="shared" ca="1" si="4"/>
        <v>73000</v>
      </c>
      <c r="I16" s="133" t="s">
        <v>15</v>
      </c>
    </row>
    <row r="17" spans="1:33" ht="15" hidden="1" customHeight="1" outlineLevel="2" x14ac:dyDescent="0.25">
      <c r="A17" s="24"/>
      <c r="B17" s="139" t="s">
        <v>92</v>
      </c>
      <c r="C17" s="216">
        <f ca="1">C$15*Inputs!C$23*Inputs!C24</f>
        <v>38324.999999999993</v>
      </c>
      <c r="D17" s="216">
        <f ca="1">D$15*Inputs!D$23*Inputs!D24</f>
        <v>44484.375</v>
      </c>
      <c r="E17" s="216">
        <f ca="1">E$15*Inputs!E$23*Inputs!E24</f>
        <v>39648.125</v>
      </c>
      <c r="F17" s="216">
        <f ca="1">F$15*Inputs!F$23*Inputs!F24</f>
        <v>29565</v>
      </c>
      <c r="G17" s="216">
        <f ca="1">G$15*Inputs!G$23*Inputs!G24</f>
        <v>39648.125</v>
      </c>
      <c r="H17" s="216">
        <f ca="1">H$15*Inputs!H$23*Inputs!H24</f>
        <v>51100</v>
      </c>
      <c r="I17" s="133" t="s">
        <v>15</v>
      </c>
    </row>
    <row r="18" spans="1:33" ht="15" hidden="1" customHeight="1" outlineLevel="2" x14ac:dyDescent="0.25">
      <c r="A18" s="24"/>
      <c r="B18" s="139" t="s">
        <v>93</v>
      </c>
      <c r="C18" s="216">
        <f ca="1">C$15*Inputs!C$23*Inputs!C25</f>
        <v>25550</v>
      </c>
      <c r="D18" s="216">
        <f ca="1">D$15*Inputs!D$23*Inputs!D25</f>
        <v>23953.125</v>
      </c>
      <c r="E18" s="216">
        <f ca="1">E$15*Inputs!E$23*Inputs!E25</f>
        <v>32439.374999999996</v>
      </c>
      <c r="F18" s="216">
        <f ca="1">F$15*Inputs!F$23*Inputs!F25</f>
        <v>44347.5</v>
      </c>
      <c r="G18" s="216">
        <f ca="1">G$15*Inputs!G$23*Inputs!G25</f>
        <v>32439.374999999996</v>
      </c>
      <c r="H18" s="216">
        <f ca="1">H$15*Inputs!H$23*Inputs!H25</f>
        <v>21900.000000000004</v>
      </c>
      <c r="I18" s="133" t="s">
        <v>15</v>
      </c>
    </row>
    <row r="19" spans="1:33" ht="15" hidden="1" customHeight="1" outlineLevel="2" x14ac:dyDescent="0.25">
      <c r="A19" s="24"/>
      <c r="B19" s="168" t="s">
        <v>46</v>
      </c>
      <c r="C19" s="214">
        <f ca="1">C16/C15</f>
        <v>0.7</v>
      </c>
      <c r="D19" s="214">
        <f t="shared" ref="D19:H19" ca="1" si="5">D16/D15</f>
        <v>0.75</v>
      </c>
      <c r="E19" s="214">
        <f t="shared" ca="1" si="5"/>
        <v>0.79</v>
      </c>
      <c r="F19" s="214">
        <f t="shared" ca="1" si="5"/>
        <v>0.81</v>
      </c>
      <c r="G19" s="214">
        <f t="shared" ca="1" si="5"/>
        <v>0.79</v>
      </c>
      <c r="H19" s="214">
        <f t="shared" ca="1" si="5"/>
        <v>0.8</v>
      </c>
      <c r="I19" s="133" t="s">
        <v>15</v>
      </c>
    </row>
    <row r="20" spans="1:33" ht="15" hidden="1" customHeight="1" outlineLevel="2" x14ac:dyDescent="0.25">
      <c r="A20" s="24"/>
      <c r="B20" s="168" t="s">
        <v>38</v>
      </c>
      <c r="C20" s="216">
        <f>Inputs!C26</f>
        <v>164</v>
      </c>
      <c r="D20" s="216">
        <f>Inputs!D26</f>
        <v>167.25</v>
      </c>
      <c r="E20" s="216">
        <f>Inputs!E26</f>
        <v>168.65</v>
      </c>
      <c r="F20" s="216">
        <f>Inputs!F26</f>
        <v>170</v>
      </c>
      <c r="G20" s="216">
        <f>Inputs!G26</f>
        <v>174.25</v>
      </c>
      <c r="H20" s="216">
        <f>Inputs!H26</f>
        <v>183</v>
      </c>
      <c r="I20" s="133" t="s">
        <v>15</v>
      </c>
    </row>
    <row r="21" spans="1:33" ht="15" hidden="1" customHeight="1" outlineLevel="2" x14ac:dyDescent="0.25">
      <c r="A21" s="24"/>
      <c r="B21" s="139" t="s">
        <v>94</v>
      </c>
      <c r="C21" s="216">
        <f ca="1">Inputs!C27</f>
        <v>185</v>
      </c>
      <c r="D21" s="216">
        <f ca="1">Inputs!D27</f>
        <v>190</v>
      </c>
      <c r="E21" s="216">
        <f ca="1">Inputs!E27</f>
        <v>188</v>
      </c>
      <c r="F21" s="216">
        <f ca="1">Inputs!F27</f>
        <v>185</v>
      </c>
      <c r="G21" s="216">
        <f ca="1">Inputs!G27</f>
        <v>191</v>
      </c>
      <c r="H21" s="216">
        <f ca="1">Inputs!H27</f>
        <v>192</v>
      </c>
      <c r="I21" s="133" t="s">
        <v>15</v>
      </c>
    </row>
    <row r="22" spans="1:33" ht="15" hidden="1" customHeight="1" outlineLevel="2" x14ac:dyDescent="0.25">
      <c r="A22" s="24"/>
      <c r="B22" s="139" t="s">
        <v>95</v>
      </c>
      <c r="C22" s="216">
        <f>Inputs!C28</f>
        <v>140</v>
      </c>
      <c r="D22" s="216">
        <f>Inputs!D28</f>
        <v>138</v>
      </c>
      <c r="E22" s="216">
        <f>Inputs!E28</f>
        <v>145</v>
      </c>
      <c r="F22" s="216">
        <f>Inputs!F28</f>
        <v>160</v>
      </c>
      <c r="G22" s="216">
        <f>Inputs!G28</f>
        <v>155</v>
      </c>
      <c r="H22" s="216">
        <f>Inputs!H28</f>
        <v>155</v>
      </c>
      <c r="I22" s="133" t="s">
        <v>15</v>
      </c>
    </row>
    <row r="23" spans="1:33" ht="15" hidden="1" customHeight="1" outlineLevel="2" x14ac:dyDescent="0.25">
      <c r="A23" s="24"/>
      <c r="B23" s="139" t="s">
        <v>96</v>
      </c>
      <c r="C23" s="216"/>
      <c r="D23" s="214">
        <f>(D20/C20)-1</f>
        <v>1.9817073170731669E-2</v>
      </c>
      <c r="E23" s="214">
        <f t="shared" ref="E23:H23" si="6">(E20/D20)-1</f>
        <v>8.3707025411061675E-3</v>
      </c>
      <c r="F23" s="214">
        <f t="shared" si="6"/>
        <v>8.0047435517343057E-3</v>
      </c>
      <c r="G23" s="214">
        <f t="shared" si="6"/>
        <v>2.4999999999999911E-2</v>
      </c>
      <c r="H23" s="214">
        <f t="shared" si="6"/>
        <v>5.0215208034433356E-2</v>
      </c>
      <c r="I23" s="133" t="s">
        <v>15</v>
      </c>
    </row>
    <row r="24" spans="1:33" ht="15" hidden="1" customHeight="1" outlineLevel="2" x14ac:dyDescent="0.25">
      <c r="A24" s="24"/>
      <c r="B24" s="168" t="s">
        <v>97</v>
      </c>
      <c r="C24" s="217">
        <f ca="1">C19*C20</f>
        <v>114.8</v>
      </c>
      <c r="D24" s="217">
        <f t="shared" ref="D24:H24" ca="1" si="7">D19*D20</f>
        <v>125.4375</v>
      </c>
      <c r="E24" s="217">
        <f t="shared" ca="1" si="7"/>
        <v>133.23350000000002</v>
      </c>
      <c r="F24" s="217">
        <f t="shared" ca="1" si="7"/>
        <v>137.70000000000002</v>
      </c>
      <c r="G24" s="217">
        <f t="shared" ca="1" si="7"/>
        <v>137.6575</v>
      </c>
      <c r="H24" s="217">
        <f t="shared" ca="1" si="7"/>
        <v>146.4</v>
      </c>
      <c r="I24" s="133" t="s">
        <v>15</v>
      </c>
    </row>
    <row r="25" spans="1:33" ht="15" hidden="1" customHeight="1" outlineLevel="2" x14ac:dyDescent="0.25">
      <c r="A25" s="24"/>
      <c r="B25" s="139" t="s">
        <v>96</v>
      </c>
      <c r="C25" s="216"/>
      <c r="D25" s="214">
        <f ca="1">(D24/C24)-1</f>
        <v>9.2661149825784106E-2</v>
      </c>
      <c r="E25" s="214">
        <f t="shared" ref="E25:H25" ca="1" si="8">(E24/D24)-1</f>
        <v>6.2150473343298707E-2</v>
      </c>
      <c r="F25" s="214">
        <f t="shared" ca="1" si="8"/>
        <v>3.3523850983423698E-2</v>
      </c>
      <c r="G25" s="214">
        <f t="shared" ca="1" si="8"/>
        <v>-3.0864197530877657E-4</v>
      </c>
      <c r="H25" s="214">
        <f t="shared" ca="1" si="8"/>
        <v>6.3509071427274355E-2</v>
      </c>
      <c r="I25" s="133" t="s">
        <v>15</v>
      </c>
    </row>
    <row r="26" spans="1:33" ht="15" customHeight="1" outlineLevel="1" collapsed="1" x14ac:dyDescent="0.25">
      <c r="A26" s="24"/>
      <c r="B26" s="168" t="s">
        <v>70</v>
      </c>
      <c r="C26" s="136">
        <f ca="1">SUM(C27:C28)</f>
        <v>3564225</v>
      </c>
      <c r="D26" s="136">
        <f t="shared" ref="D26:H26" ca="1" si="9">SUM(D27:D28)</f>
        <v>3673725</v>
      </c>
      <c r="E26" s="136">
        <f t="shared" ca="1" si="9"/>
        <v>4312995.125</v>
      </c>
      <c r="F26" s="136">
        <f t="shared" ca="1" si="9"/>
        <v>5351265</v>
      </c>
      <c r="G26" s="136">
        <f t="shared" ca="1" si="9"/>
        <v>4531420.25</v>
      </c>
      <c r="H26" s="136">
        <f t="shared" ca="1" si="9"/>
        <v>3998940</v>
      </c>
      <c r="I26" s="133" t="s">
        <v>15</v>
      </c>
      <c r="K26" s="214">
        <f ca="1">C26/C$31</f>
        <v>0.24315844518040788</v>
      </c>
      <c r="L26" s="215">
        <f ca="1">C26/C$15</f>
        <v>39.06</v>
      </c>
      <c r="M26" s="215">
        <f ca="1">C26/C$16</f>
        <v>55.800000000000004</v>
      </c>
      <c r="O26" s="214">
        <f ca="1">D26/D$31</f>
        <v>0.23102878391406143</v>
      </c>
      <c r="P26" s="215">
        <f ca="1">D26/D$15</f>
        <v>40.26</v>
      </c>
      <c r="Q26" s="215">
        <f ca="1">D26/D$16</f>
        <v>53.68</v>
      </c>
      <c r="S26" s="214">
        <f ca="1">E26/E$31</f>
        <v>0.25435113465348219</v>
      </c>
      <c r="T26" s="215">
        <f ca="1">E26/E$15</f>
        <v>47.265700000000002</v>
      </c>
      <c r="U26" s="215">
        <f ca="1">E26/E$16</f>
        <v>59.83</v>
      </c>
      <c r="W26" s="214">
        <f ca="1">F26/F$31</f>
        <v>0.29052969502407705</v>
      </c>
      <c r="X26" s="215">
        <f ca="1">F26/F$15</f>
        <v>58.643999999999998</v>
      </c>
      <c r="Y26" s="215">
        <f ca="1">F26/F$16</f>
        <v>72.400000000000006</v>
      </c>
      <c r="AA26" s="214">
        <f ca="1">G26/G$31</f>
        <v>0.25693638310743422</v>
      </c>
      <c r="AB26" s="215">
        <f ca="1">G26/G$15</f>
        <v>49.659399999999998</v>
      </c>
      <c r="AC26" s="215">
        <f ca="1">G26/G$16</f>
        <v>62.86</v>
      </c>
      <c r="AE26" s="214">
        <f ca="1">H26/H$31</f>
        <v>0.225510052857778</v>
      </c>
      <c r="AF26" s="215">
        <f ca="1">H26/H$15</f>
        <v>43.823999999999998</v>
      </c>
      <c r="AG26" s="215">
        <f ca="1">H26/H$16</f>
        <v>54.78</v>
      </c>
    </row>
    <row r="27" spans="1:33" ht="15" hidden="1" customHeight="1" outlineLevel="2" x14ac:dyDescent="0.25">
      <c r="A27" s="24"/>
      <c r="B27" s="139" t="s">
        <v>98</v>
      </c>
      <c r="C27" s="136">
        <f ca="1">C17*C21*Inputs!C30</f>
        <v>1418025</v>
      </c>
      <c r="D27" s="136">
        <f ca="1">D17*D21*Inputs!D30</f>
        <v>1690406.25</v>
      </c>
      <c r="E27" s="136">
        <f ca="1">E17*E21*Inputs!E30</f>
        <v>1490769.5</v>
      </c>
      <c r="F27" s="136">
        <f ca="1">F17*F21*Inputs!F30</f>
        <v>1093905</v>
      </c>
      <c r="G27" s="136">
        <f ca="1">G17*G21*Inputs!G30</f>
        <v>1514558.375</v>
      </c>
      <c r="H27" s="136">
        <f ca="1">H17*H21*Inputs!H30</f>
        <v>1962240</v>
      </c>
      <c r="I27" s="133" t="s">
        <v>15</v>
      </c>
    </row>
    <row r="28" spans="1:33" ht="15" hidden="1" customHeight="1" outlineLevel="2" x14ac:dyDescent="0.25">
      <c r="A28" s="24"/>
      <c r="B28" s="139" t="s">
        <v>99</v>
      </c>
      <c r="C28" s="136">
        <f ca="1">C18*C22*Inputs!C31</f>
        <v>2146200</v>
      </c>
      <c r="D28" s="136">
        <f ca="1">D18*D22*Inputs!D31</f>
        <v>1983318.75</v>
      </c>
      <c r="E28" s="136">
        <f ca="1">E18*E22*Inputs!E31</f>
        <v>2822225.6249999995</v>
      </c>
      <c r="F28" s="136">
        <f ca="1">F18*F22*Inputs!F31</f>
        <v>4257360</v>
      </c>
      <c r="G28" s="136">
        <f ca="1">G18*G22*Inputs!G31</f>
        <v>3016861.8749999995</v>
      </c>
      <c r="H28" s="136">
        <f ca="1">H18*H22*Inputs!H31</f>
        <v>2036700.0000000002</v>
      </c>
      <c r="I28" s="133" t="s">
        <v>15</v>
      </c>
    </row>
    <row r="29" spans="1:33" ht="15" customHeight="1" outlineLevel="1" collapsed="1" x14ac:dyDescent="0.25">
      <c r="A29" s="24"/>
      <c r="B29" s="168" t="s">
        <v>40</v>
      </c>
      <c r="C29" s="136">
        <f t="shared" ref="C29:H29" ca="1" si="10">C12*MiscRate</f>
        <v>426685</v>
      </c>
      <c r="D29" s="136">
        <f t="shared" ca="1" si="10"/>
        <v>470302.5</v>
      </c>
      <c r="E29" s="136">
        <f t="shared" ca="1" si="10"/>
        <v>486302.27500000002</v>
      </c>
      <c r="F29" s="136">
        <f t="shared" ca="1" si="10"/>
        <v>502605</v>
      </c>
      <c r="G29" s="136">
        <f t="shared" ca="1" si="10"/>
        <v>504035.8</v>
      </c>
      <c r="H29" s="136">
        <f t="shared" ca="1" si="10"/>
        <v>528228</v>
      </c>
      <c r="I29" s="133" t="s">
        <v>15</v>
      </c>
      <c r="K29" s="214">
        <f ca="1">C29/C$31</f>
        <v>2.9109290569984313E-2</v>
      </c>
      <c r="L29" s="215">
        <f ca="1">C29/C$15</f>
        <v>4.6760000000000002</v>
      </c>
      <c r="M29" s="215">
        <f ca="1">C29/C$16</f>
        <v>6.6800000000000006</v>
      </c>
      <c r="O29" s="214">
        <f ca="1">D29/D$31</f>
        <v>2.957581600330533E-2</v>
      </c>
      <c r="P29" s="215">
        <f ca="1">D29/D$15</f>
        <v>5.1539999999999999</v>
      </c>
      <c r="Q29" s="215">
        <f ca="1">D29/D$16</f>
        <v>6.8719999999999999</v>
      </c>
      <c r="S29" s="214">
        <f ca="1">E29/E$31</f>
        <v>2.8678802513327613E-2</v>
      </c>
      <c r="T29" s="215">
        <f ca="1">E29/E$15</f>
        <v>5.3293400000000002</v>
      </c>
      <c r="U29" s="215">
        <f ca="1">E29/E$16</f>
        <v>6.7460000000000004</v>
      </c>
      <c r="W29" s="214">
        <f ca="1">F29/F$31</f>
        <v>2.7287319422150885E-2</v>
      </c>
      <c r="X29" s="215">
        <f ca="1">F29/F$15</f>
        <v>5.508</v>
      </c>
      <c r="Y29" s="215">
        <f ca="1">F29/F$16</f>
        <v>6.8</v>
      </c>
      <c r="AA29" s="214">
        <f ca="1">G29/G$31</f>
        <v>2.8579369880483298E-2</v>
      </c>
      <c r="AB29" s="215">
        <f ca="1">G29/G$15</f>
        <v>5.5236799999999997</v>
      </c>
      <c r="AC29" s="215">
        <f ca="1">G29/G$16</f>
        <v>6.992</v>
      </c>
      <c r="AE29" s="214">
        <f ca="1">H29/H$31</f>
        <v>2.9788074890085461E-2</v>
      </c>
      <c r="AF29" s="215">
        <f ca="1">H29/H$15</f>
        <v>5.7888000000000002</v>
      </c>
      <c r="AG29" s="215">
        <f ca="1">H29/H$16</f>
        <v>7.2359999999999998</v>
      </c>
    </row>
    <row r="30" spans="1:33" ht="15" customHeight="1" outlineLevel="1" x14ac:dyDescent="0.25">
      <c r="A30" s="24"/>
      <c r="B30" s="168"/>
      <c r="C30" s="168"/>
      <c r="D30" s="168"/>
      <c r="E30" s="168"/>
      <c r="F30" s="168"/>
      <c r="G30" s="168"/>
      <c r="H30" s="168"/>
      <c r="I30" s="168"/>
      <c r="J30" s="168"/>
    </row>
    <row r="31" spans="1:33" ht="15" customHeight="1" x14ac:dyDescent="0.25">
      <c r="A31" s="24"/>
      <c r="B31" s="133" t="s">
        <v>100</v>
      </c>
      <c r="C31" s="136">
        <f ca="1">SUM(C12,C26,C29)</f>
        <v>14658035</v>
      </c>
      <c r="D31" s="136">
        <f t="shared" ref="D31:H31" ca="1" si="11">SUM(D12,D26,D29)</f>
        <v>15901590</v>
      </c>
      <c r="E31" s="136">
        <f t="shared" ca="1" si="11"/>
        <v>16956854.274999999</v>
      </c>
      <c r="F31" s="136">
        <f t="shared" ca="1" si="11"/>
        <v>18418995</v>
      </c>
      <c r="G31" s="136">
        <f t="shared" ca="1" si="11"/>
        <v>17636351.050000001</v>
      </c>
      <c r="H31" s="136">
        <f t="shared" ca="1" si="11"/>
        <v>17732868</v>
      </c>
      <c r="I31" s="133" t="s">
        <v>15</v>
      </c>
      <c r="J31" s="168"/>
    </row>
    <row r="32" spans="1:33" ht="15" customHeight="1" x14ac:dyDescent="0.25">
      <c r="A32" s="24"/>
      <c r="B32" s="133"/>
      <c r="C32" s="133"/>
      <c r="D32" s="133"/>
      <c r="E32" s="133"/>
      <c r="F32" s="133"/>
      <c r="G32" s="133"/>
      <c r="H32" s="133"/>
      <c r="I32" s="133"/>
      <c r="J32" s="168"/>
    </row>
    <row r="33" spans="1:33" ht="15" customHeight="1" x14ac:dyDescent="0.25">
      <c r="B33" s="133" t="s">
        <v>22</v>
      </c>
      <c r="C33" s="136">
        <f ca="1">SUM(C31)</f>
        <v>14658035</v>
      </c>
      <c r="D33" s="136">
        <f t="shared" ref="D33:H33" ca="1" si="12">SUM(D31)</f>
        <v>15901590</v>
      </c>
      <c r="E33" s="136">
        <f t="shared" ca="1" si="12"/>
        <v>16956854.274999999</v>
      </c>
      <c r="F33" s="136">
        <f t="shared" ca="1" si="12"/>
        <v>18418995</v>
      </c>
      <c r="G33" s="136">
        <f t="shared" ca="1" si="12"/>
        <v>17636351.050000001</v>
      </c>
      <c r="H33" s="136">
        <f t="shared" ca="1" si="12"/>
        <v>17732868</v>
      </c>
      <c r="I33" s="133" t="s">
        <v>15</v>
      </c>
      <c r="J33" s="146"/>
      <c r="K33" s="214">
        <f ca="1">C33/C$31</f>
        <v>1</v>
      </c>
      <c r="L33" s="215">
        <f ca="1">C33/C$15</f>
        <v>160.636</v>
      </c>
      <c r="M33" s="215">
        <f ca="1">C33/C$16</f>
        <v>229.48000000000002</v>
      </c>
      <c r="O33" s="214">
        <f ca="1">D33/D$31</f>
        <v>1</v>
      </c>
      <c r="P33" s="215">
        <f ca="1">D33/D$15</f>
        <v>174.26400000000001</v>
      </c>
      <c r="Q33" s="215">
        <f ca="1">D33/D$16</f>
        <v>232.352</v>
      </c>
      <c r="S33" s="214">
        <f ca="1">E33/E$31</f>
        <v>1</v>
      </c>
      <c r="T33" s="215">
        <f ca="1">E33/E$15</f>
        <v>185.82853999999998</v>
      </c>
      <c r="U33" s="215">
        <f ca="1">E33/E$16</f>
        <v>235.22599999999997</v>
      </c>
      <c r="W33" s="214">
        <f ca="1">F33/F$31</f>
        <v>1</v>
      </c>
      <c r="X33" s="215">
        <f ca="1">F33/F$15</f>
        <v>201.852</v>
      </c>
      <c r="Y33" s="215">
        <f ca="1">F33/F$16</f>
        <v>249.2</v>
      </c>
      <c r="AA33" s="214">
        <f ca="1">G33/G$31</f>
        <v>1</v>
      </c>
      <c r="AB33" s="215">
        <f ca="1">G33/G$15</f>
        <v>193.27508</v>
      </c>
      <c r="AC33" s="215">
        <f ca="1">G33/G$16</f>
        <v>244.65200000000002</v>
      </c>
      <c r="AE33" s="214">
        <f ca="1">H33/H$31</f>
        <v>1</v>
      </c>
      <c r="AF33" s="215">
        <f ca="1">H33/H$15</f>
        <v>194.33279999999999</v>
      </c>
      <c r="AG33" s="215">
        <f ca="1">H33/H$16</f>
        <v>242.916</v>
      </c>
    </row>
    <row r="34" spans="1:33" ht="15" customHeight="1" x14ac:dyDescent="0.25">
      <c r="A34" s="24"/>
      <c r="B34" s="146"/>
      <c r="C34" s="146"/>
      <c r="D34" s="146"/>
      <c r="E34" s="146"/>
      <c r="F34" s="146"/>
      <c r="G34" s="146"/>
      <c r="H34" s="146"/>
      <c r="I34" s="146"/>
    </row>
    <row r="35" spans="1:33" ht="15" customHeight="1" x14ac:dyDescent="0.25">
      <c r="A35" s="24"/>
      <c r="B35" s="146" t="s">
        <v>21</v>
      </c>
      <c r="C35" s="133"/>
      <c r="D35" s="133"/>
      <c r="E35" s="133"/>
      <c r="F35" s="133"/>
      <c r="G35" s="133"/>
      <c r="H35" s="133"/>
      <c r="I35" s="133"/>
    </row>
    <row r="36" spans="1:33" ht="15" customHeight="1" x14ac:dyDescent="0.25">
      <c r="A36" s="24"/>
      <c r="B36" s="168" t="s">
        <v>63</v>
      </c>
      <c r="K36" s="146"/>
      <c r="L36" s="146"/>
      <c r="O36" s="146"/>
      <c r="P36" s="146"/>
      <c r="S36" s="146"/>
      <c r="T36" s="146"/>
      <c r="W36" s="146"/>
      <c r="X36" s="146"/>
      <c r="AA36" s="146"/>
      <c r="AB36" s="146"/>
      <c r="AE36" s="146"/>
      <c r="AF36" s="146"/>
    </row>
    <row r="37" spans="1:33" ht="15" customHeight="1" x14ac:dyDescent="0.25">
      <c r="A37" s="24"/>
      <c r="B37" s="139" t="s">
        <v>69</v>
      </c>
      <c r="C37" s="136">
        <f ca="1">C$12*Inputs!$J61+(Inputs!$H61*C$15+Inputs!$I61*C$16)*C$10</f>
        <v>3225738.6</v>
      </c>
      <c r="D37" s="136">
        <f ca="1">D$12*Inputs!$J61+(Inputs!$H61*D$15+Inputs!$I61*D$16)*D$10</f>
        <v>3495693.6584999999</v>
      </c>
      <c r="E37" s="136">
        <f ca="1">E$12*Inputs!$J61+(Inputs!$H61*E$15+Inputs!$I61*E$16)*E$10</f>
        <v>3634090.8543539997</v>
      </c>
      <c r="F37" s="136">
        <f ca="1">F$12*Inputs!$J61+(Inputs!$H61*F$15+Inputs!$I61*F$16)*F$10</f>
        <v>3756161.6248849202</v>
      </c>
      <c r="G37" s="136">
        <f ca="1">G$12*Inputs!$J61+(Inputs!$H61*G$15+Inputs!$I61*G$16)*G$10</f>
        <v>3772299.2337749014</v>
      </c>
      <c r="H37" s="136">
        <f ca="1">H$12*Inputs!$J61+(Inputs!$H61*H$15+Inputs!$I61*H$16)*H$10</f>
        <v>3921543.6809903355</v>
      </c>
      <c r="I37" s="133" t="s">
        <v>15</v>
      </c>
      <c r="K37" s="214">
        <f ca="1">C37/C$12</f>
        <v>0.3024</v>
      </c>
      <c r="L37" s="215">
        <f t="shared" ref="L37:L39" ca="1" si="13">C37/C$15</f>
        <v>35.350560000000002</v>
      </c>
      <c r="M37" s="215">
        <f t="shared" ref="M37:M39" ca="1" si="14">C37/C$16</f>
        <v>50.500800000000005</v>
      </c>
      <c r="O37" s="214">
        <f ca="1">D37/D$12</f>
        <v>0.29731448661233995</v>
      </c>
      <c r="P37" s="215">
        <f ca="1">D37/D$15</f>
        <v>38.3089716</v>
      </c>
      <c r="Q37" s="215">
        <f t="shared" ref="Q37:Q40" ca="1" si="15">D37/D$16</f>
        <v>51.078628799999997</v>
      </c>
      <c r="S37" s="214">
        <f ca="1">E37/E$12</f>
        <v>0.29891621250211092</v>
      </c>
      <c r="T37" s="215">
        <f ca="1">E37/E$15</f>
        <v>39.825653198399998</v>
      </c>
      <c r="U37" s="215">
        <f ca="1">E37/E$16</f>
        <v>50.412219238481008</v>
      </c>
      <c r="W37" s="214">
        <f ca="1">F37/F$12</f>
        <v>0.29893547615999999</v>
      </c>
      <c r="X37" s="215">
        <f ca="1">F37/F$15</f>
        <v>41.163415067232002</v>
      </c>
      <c r="Y37" s="215">
        <f ca="1">F37/F$16</f>
        <v>50.819030947200005</v>
      </c>
      <c r="AA37" s="214">
        <f ca="1">G37/G$12</f>
        <v>0.29936756347663412</v>
      </c>
      <c r="AB37" s="215">
        <f ca="1">G37/G$15</f>
        <v>41.340265575615355</v>
      </c>
      <c r="AC37" s="215">
        <f ca="1">G37/G$16</f>
        <v>52.329450095715643</v>
      </c>
      <c r="AE37" s="214">
        <f ca="1">H37/H$12</f>
        <v>0.29695841045838811</v>
      </c>
      <c r="AF37" s="215">
        <f ca="1">H37/H$15</f>
        <v>42.975821161537922</v>
      </c>
      <c r="AG37" s="215">
        <f ca="1">H37/H$16</f>
        <v>53.719776451922407</v>
      </c>
    </row>
    <row r="38" spans="1:33" ht="15" customHeight="1" x14ac:dyDescent="0.25">
      <c r="A38" s="24"/>
      <c r="B38" s="139" t="s">
        <v>70</v>
      </c>
      <c r="C38" s="136">
        <f ca="1">C$26*Inputs!$J62+(Inputs!$H62*C$15+Inputs!$I62*C$16)*C$10</f>
        <v>2862785.5200000005</v>
      </c>
      <c r="D38" s="136">
        <f ca="1">D$26*Inputs!$J62+(Inputs!$H62*D$15+Inputs!$I62*D$16)*D$10</f>
        <v>2944499.1504000006</v>
      </c>
      <c r="E38" s="136">
        <f ca="1">E$26*Inputs!$J62+(Inputs!$H62*E$15+Inputs!$I62*E$16)*E$10</f>
        <v>3365498.3334080004</v>
      </c>
      <c r="F38" s="136">
        <f ca="1">F$26*Inputs!$J62+(Inputs!$H62*F$15+Inputs!$I62*F$16)*F$10</f>
        <v>4042094.6824761606</v>
      </c>
      <c r="G38" s="136">
        <f ca="1">G$26*Inputs!$J62+(Inputs!$H62*G$15+Inputs!$I62*G$16)*G$10</f>
        <v>3529739.7441256838</v>
      </c>
      <c r="H38" s="136">
        <f ca="1">H$26*Inputs!$J62+(Inputs!$H62*H$15+Inputs!$I62*H$16)*H$10</f>
        <v>3201544.9998081974</v>
      </c>
      <c r="I38" s="133" t="s">
        <v>15</v>
      </c>
      <c r="K38" s="214">
        <f ca="1">C38/C$26</f>
        <v>0.80320000000000014</v>
      </c>
      <c r="L38" s="215">
        <f t="shared" ca="1" si="13"/>
        <v>31.372992000000004</v>
      </c>
      <c r="M38" s="215">
        <f t="shared" ca="1" si="14"/>
        <v>44.818560000000012</v>
      </c>
      <c r="O38" s="214">
        <f ca="1">D38/D$26</f>
        <v>0.80150233084947853</v>
      </c>
      <c r="P38" s="215">
        <f ca="1">D38/D$15</f>
        <v>32.268483840000009</v>
      </c>
      <c r="Q38" s="215">
        <f t="shared" ca="1" si="15"/>
        <v>43.02464512000001</v>
      </c>
      <c r="S38" s="214">
        <f ca="1">E38/E$26</f>
        <v>0.78031582134190347</v>
      </c>
      <c r="T38" s="215">
        <f ca="1">E38/E$15</f>
        <v>36.882173516800002</v>
      </c>
      <c r="U38" s="215">
        <f ca="1">E38/E$16</f>
        <v>46.686295590886083</v>
      </c>
      <c r="W38" s="214">
        <f ca="1">F38/F$26</f>
        <v>0.75535311416574602</v>
      </c>
      <c r="X38" s="215">
        <f ca="1">F38/F$15</f>
        <v>44.296928027136005</v>
      </c>
      <c r="Y38" s="215">
        <f ca="1">F38/F$16</f>
        <v>54.687565465600009</v>
      </c>
      <c r="AA38" s="214">
        <f ca="1">G38/G$26</f>
        <v>0.77894778003114673</v>
      </c>
      <c r="AB38" s="215">
        <f ca="1">G38/G$15</f>
        <v>38.682079387678726</v>
      </c>
      <c r="AC38" s="215">
        <f ca="1">G38/G$16</f>
        <v>48.964657452757884</v>
      </c>
      <c r="AE38" s="214">
        <f ca="1">H38/H$26</f>
        <v>0.80059840853030984</v>
      </c>
      <c r="AF38" s="215">
        <f ca="1">H38/H$15</f>
        <v>35.085424655432298</v>
      </c>
      <c r="AG38" s="215">
        <f ca="1">H38/H$16</f>
        <v>43.856780819290378</v>
      </c>
    </row>
    <row r="39" spans="1:33" ht="15" customHeight="1" x14ac:dyDescent="0.25">
      <c r="A39" s="24"/>
      <c r="B39" s="139" t="s">
        <v>40</v>
      </c>
      <c r="C39" s="136">
        <f ca="1">C$29*Inputs!$J63+(Inputs!$H63*C$15+Inputs!$I63*C$16)*C$10</f>
        <v>299874.21799999999</v>
      </c>
      <c r="D39" s="136">
        <f ca="1">D$29*Inputs!$J63+(Inputs!$H63*D$15+Inputs!$I63*D$16)*D$10</f>
        <v>325518.63035999995</v>
      </c>
      <c r="E39" s="136">
        <f ca="1">E$29*Inputs!$J63+(Inputs!$H63*E$15+Inputs!$I63*E$16)*E$10</f>
        <v>335721.48896719998</v>
      </c>
      <c r="F39" s="136">
        <f ca="1">F$29*Inputs!$J63+(Inputs!$H63*F$15+Inputs!$I63*F$16)*F$10</f>
        <v>346118.85926654399</v>
      </c>
      <c r="G39" s="136">
        <f ca="1">G$29*Inputs!$J63+(Inputs!$H63*G$15+Inputs!$I63*G$16)*G$10</f>
        <v>348213.30845187482</v>
      </c>
      <c r="H39" s="136">
        <f ca="1">H$29*Inputs!$J63+(Inputs!$H63*H$15+Inputs!$I63*H$16)*H$10</f>
        <v>363080.00566091237</v>
      </c>
      <c r="I39" s="133" t="s">
        <v>15</v>
      </c>
      <c r="K39" s="214">
        <f ca="1">C39/C$29</f>
        <v>0.70279999999999998</v>
      </c>
      <c r="L39" s="215">
        <f t="shared" ca="1" si="13"/>
        <v>3.2862928</v>
      </c>
      <c r="M39" s="215">
        <f t="shared" ca="1" si="14"/>
        <v>4.6947040000000007</v>
      </c>
      <c r="O39" s="214">
        <f ca="1">D39/D$29</f>
        <v>0.69214735273573913</v>
      </c>
      <c r="P39" s="215">
        <f ca="1">D39/D$15</f>
        <v>3.5673274559999997</v>
      </c>
      <c r="Q39" s="215">
        <f t="shared" ca="1" si="15"/>
        <v>4.7564366079999996</v>
      </c>
      <c r="S39" s="214">
        <f ca="1">E39/E$29</f>
        <v>0.69035557970030048</v>
      </c>
      <c r="T39" s="215">
        <f ca="1">E39/E$15</f>
        <v>3.67913960512</v>
      </c>
      <c r="U39" s="215">
        <f ca="1">E39/E$16</f>
        <v>4.6571387406582279</v>
      </c>
      <c r="W39" s="214">
        <f ca="1">F39/F$29</f>
        <v>0.68864985280000002</v>
      </c>
      <c r="X39" s="215">
        <f ca="1">F39/F$15</f>
        <v>3.7930833892223998</v>
      </c>
      <c r="Y39" s="215">
        <f ca="1">F39/F$16</f>
        <v>4.6828189990400002</v>
      </c>
      <c r="AA39" s="214">
        <f ca="1">G39/G$29</f>
        <v>0.69085034922494559</v>
      </c>
      <c r="AB39" s="215">
        <f ca="1">G39/G$15</f>
        <v>3.8160362570068473</v>
      </c>
      <c r="AC39" s="215">
        <f ca="1">G39/G$16</f>
        <v>4.8304256417808196</v>
      </c>
      <c r="AE39" s="214">
        <f ca="1">H39/H$29</f>
        <v>0.68735471361024481</v>
      </c>
      <c r="AF39" s="215">
        <f ca="1">H39/H$15</f>
        <v>3.9789589661469851</v>
      </c>
      <c r="AG39" s="215">
        <f ca="1">H39/H$16</f>
        <v>4.9736987076837309</v>
      </c>
    </row>
    <row r="40" spans="1:33" ht="15" customHeight="1" x14ac:dyDescent="0.25">
      <c r="A40" s="24"/>
      <c r="B40" s="168" t="s">
        <v>71</v>
      </c>
      <c r="C40" s="136">
        <f ca="1">SUM(C37:C39)</f>
        <v>6388398.3380000014</v>
      </c>
      <c r="D40" s="136">
        <f t="shared" ref="D40:H40" ca="1" si="16">SUM(D37:D39)</f>
        <v>6765711.4392600004</v>
      </c>
      <c r="E40" s="136">
        <f t="shared" ca="1" si="16"/>
        <v>7335310.6767291995</v>
      </c>
      <c r="F40" s="136">
        <f t="shared" ca="1" si="16"/>
        <v>8144375.166627625</v>
      </c>
      <c r="G40" s="136">
        <f t="shared" ca="1" si="16"/>
        <v>7650252.2863524603</v>
      </c>
      <c r="H40" s="136">
        <f t="shared" ca="1" si="16"/>
        <v>7486168.6864594445</v>
      </c>
      <c r="I40" s="133" t="s">
        <v>15</v>
      </c>
      <c r="K40" s="214">
        <f ca="1">C40/C33</f>
        <v>0.43582910929057006</v>
      </c>
      <c r="L40" s="215">
        <f ca="1">C40/C$15</f>
        <v>70.00984480000001</v>
      </c>
      <c r="M40" s="215">
        <f ca="1">C40/C$16</f>
        <v>100.01406400000003</v>
      </c>
      <c r="O40" s="214">
        <f ca="1">D40/D33</f>
        <v>0.4254738953312216</v>
      </c>
      <c r="P40" s="215">
        <f ca="1">D40/D$15</f>
        <v>74.144782896000009</v>
      </c>
      <c r="Q40" s="215">
        <f t="shared" ca="1" si="15"/>
        <v>98.859710528000008</v>
      </c>
      <c r="S40" s="214">
        <f ca="1">E40/E33</f>
        <v>0.43258676154007347</v>
      </c>
      <c r="T40" s="215">
        <f ca="1">E40/E$15</f>
        <v>80.386966320319999</v>
      </c>
      <c r="U40" s="215">
        <f ca="1">E40/E$16</f>
        <v>101.7556535700253</v>
      </c>
      <c r="W40" s="214">
        <f ca="1">F40/F33</f>
        <v>0.44217261401219909</v>
      </c>
      <c r="X40" s="215">
        <f ca="1">F40/F$15</f>
        <v>89.253426483590417</v>
      </c>
      <c r="Y40" s="215">
        <f ca="1">F40/F$16</f>
        <v>110.18941541184002</v>
      </c>
      <c r="AA40" s="214">
        <f ca="1">G40/G33</f>
        <v>0.43377750106377361</v>
      </c>
      <c r="AB40" s="215">
        <f ca="1">G40/G$15</f>
        <v>83.838381220300931</v>
      </c>
      <c r="AC40" s="215">
        <f ca="1">G40/G$16</f>
        <v>106.12453319025435</v>
      </c>
      <c r="AE40" s="214">
        <f ca="1">H40/H33</f>
        <v>0.42216344735997835</v>
      </c>
      <c r="AF40" s="215">
        <f ca="1">H40/H$15</f>
        <v>82.040204783117204</v>
      </c>
      <c r="AG40" s="215">
        <f ca="1">H40/H$16</f>
        <v>102.5502559788965</v>
      </c>
    </row>
    <row r="41" spans="1:33" ht="15" customHeight="1" x14ac:dyDescent="0.25">
      <c r="A41" s="24"/>
      <c r="B41" s="133"/>
      <c r="C41" s="133"/>
      <c r="D41" s="133"/>
      <c r="E41" s="133"/>
      <c r="F41" s="133"/>
      <c r="G41" s="133"/>
      <c r="H41" s="133"/>
      <c r="I41" s="133"/>
    </row>
    <row r="42" spans="1:33" ht="15" customHeight="1" x14ac:dyDescent="0.25">
      <c r="A42" s="24"/>
      <c r="B42" s="168" t="s">
        <v>102</v>
      </c>
      <c r="C42" s="133"/>
      <c r="D42" s="133"/>
      <c r="E42" s="133"/>
      <c r="F42" s="133"/>
      <c r="G42" s="133"/>
      <c r="H42" s="133"/>
      <c r="I42" s="133"/>
    </row>
    <row r="43" spans="1:33" ht="15" customHeight="1" x14ac:dyDescent="0.25">
      <c r="A43" s="24"/>
      <c r="B43" s="139" t="s">
        <v>69</v>
      </c>
      <c r="C43" s="136">
        <f ca="1">C12-C37</f>
        <v>7441386.4000000004</v>
      </c>
      <c r="D43" s="136">
        <f t="shared" ref="D43:H43" ca="1" si="17">D12-D37</f>
        <v>8261868.8415000001</v>
      </c>
      <c r="E43" s="136">
        <f t="shared" ca="1" si="17"/>
        <v>8523466.0206460003</v>
      </c>
      <c r="F43" s="136">
        <f t="shared" ca="1" si="17"/>
        <v>8808963.3751150798</v>
      </c>
      <c r="G43" s="136">
        <f t="shared" ca="1" si="17"/>
        <v>8828595.7662250996</v>
      </c>
      <c r="H43" s="136">
        <f t="shared" ca="1" si="17"/>
        <v>9284156.3190096654</v>
      </c>
      <c r="I43" s="133" t="s">
        <v>15</v>
      </c>
      <c r="K43" s="214">
        <f ca="1">1-K37</f>
        <v>0.6976</v>
      </c>
      <c r="L43" s="215">
        <f t="shared" ref="L43:L46" ca="1" si="18">C43/C$15</f>
        <v>81.549440000000004</v>
      </c>
      <c r="M43" s="215">
        <f ca="1">C43/C$16</f>
        <v>116.49920000000002</v>
      </c>
      <c r="O43" s="214">
        <f ca="1">1-O37</f>
        <v>0.70268551338766005</v>
      </c>
      <c r="P43" s="215">
        <f ca="1">D43/D$15</f>
        <v>90.541028400000002</v>
      </c>
      <c r="Q43" s="215">
        <f t="shared" ref="Q43:Q46" ca="1" si="19">D43/D$16</f>
        <v>120.72137120000001</v>
      </c>
      <c r="S43" s="214">
        <f ca="1">1-S37</f>
        <v>0.70108378749788902</v>
      </c>
      <c r="T43" s="215">
        <f ca="1">E43/E$15</f>
        <v>93.407846801600002</v>
      </c>
      <c r="U43" s="215">
        <f ca="1">E43/E$16</f>
        <v>118.23778076151899</v>
      </c>
      <c r="W43" s="214">
        <f ca="1">1-W37</f>
        <v>0.70106452383999995</v>
      </c>
      <c r="X43" s="215">
        <f ca="1">F43/F$15</f>
        <v>96.536584932767994</v>
      </c>
      <c r="Y43" s="215">
        <f t="shared" ref="Y43:Y46" ca="1" si="20">F43/F$16</f>
        <v>119.18096905279999</v>
      </c>
      <c r="AA43" s="214">
        <f ca="1">1-AA37</f>
        <v>0.70063243652336582</v>
      </c>
      <c r="AB43" s="215">
        <f ca="1">G43/G$15</f>
        <v>96.751734424384651</v>
      </c>
      <c r="AC43" s="215">
        <f t="shared" ref="AC43:AC46" ca="1" si="21">G43/G$16</f>
        <v>122.47054990428437</v>
      </c>
      <c r="AE43" s="214">
        <f ca="1">1-AE37</f>
        <v>0.70304158954161189</v>
      </c>
      <c r="AF43" s="215">
        <f ca="1">H43/H$15</f>
        <v>101.74417883846209</v>
      </c>
      <c r="AG43" s="215">
        <f ca="1">H43/H$16</f>
        <v>127.18022354807761</v>
      </c>
    </row>
    <row r="44" spans="1:33" ht="15" customHeight="1" x14ac:dyDescent="0.25">
      <c r="A44" s="24"/>
      <c r="B44" s="139" t="s">
        <v>70</v>
      </c>
      <c r="C44" s="136">
        <f ca="1">C26-C38</f>
        <v>701439.47999999952</v>
      </c>
      <c r="D44" s="136">
        <f t="shared" ref="D44:H44" ca="1" si="22">D26-D38</f>
        <v>729225.84959999938</v>
      </c>
      <c r="E44" s="136">
        <f t="shared" ca="1" si="22"/>
        <v>947496.79159199959</v>
      </c>
      <c r="F44" s="136">
        <f t="shared" ca="1" si="22"/>
        <v>1309170.3175238394</v>
      </c>
      <c r="G44" s="136">
        <f t="shared" ca="1" si="22"/>
        <v>1001680.5058743162</v>
      </c>
      <c r="H44" s="136">
        <f t="shared" ca="1" si="22"/>
        <v>797395.00019180262</v>
      </c>
      <c r="I44" s="133" t="s">
        <v>15</v>
      </c>
      <c r="K44" s="214">
        <f t="shared" ref="K44:K45" ca="1" si="23">1-K38</f>
        <v>0.19679999999999986</v>
      </c>
      <c r="L44" s="215">
        <f t="shared" ca="1" si="18"/>
        <v>7.6870079999999943</v>
      </c>
      <c r="M44" s="215">
        <f t="shared" ref="M44:M46" ca="1" si="24">C44/C$16</f>
        <v>10.981439999999994</v>
      </c>
      <c r="O44" s="214">
        <f t="shared" ref="O44:O45" ca="1" si="25">1-O38</f>
        <v>0.19849766915052147</v>
      </c>
      <c r="P44" s="215">
        <f ca="1">D44/D$15</f>
        <v>7.9915161599999935</v>
      </c>
      <c r="Q44" s="215">
        <f t="shared" ca="1" si="19"/>
        <v>10.65535487999999</v>
      </c>
      <c r="S44" s="214">
        <f t="shared" ref="S44:S45" ca="1" si="26">1-S38</f>
        <v>0.21968417865809653</v>
      </c>
      <c r="T44" s="215">
        <f ca="1">E44/E$15</f>
        <v>10.383526483199995</v>
      </c>
      <c r="U44" s="215">
        <f t="shared" ref="U44:U46" ca="1" si="27">E44/E$16</f>
        <v>13.143704409113917</v>
      </c>
      <c r="W44" s="214">
        <f t="shared" ref="W44:W45" ca="1" si="28">1-W38</f>
        <v>0.24464688583425398</v>
      </c>
      <c r="X44" s="215">
        <f ca="1">F44/F$15</f>
        <v>14.347071972863993</v>
      </c>
      <c r="Y44" s="215">
        <f t="shared" ca="1" si="20"/>
        <v>17.712434534399993</v>
      </c>
      <c r="AA44" s="214">
        <f t="shared" ref="AA44:AA45" ca="1" si="29">1-AA38</f>
        <v>0.22105221996885327</v>
      </c>
      <c r="AB44" s="215">
        <f ca="1">G44/G$15</f>
        <v>10.977320612321273</v>
      </c>
      <c r="AC44" s="215">
        <f t="shared" ca="1" si="21"/>
        <v>13.895342547242118</v>
      </c>
      <c r="AE44" s="214">
        <f t="shared" ref="AE44:AE45" ca="1" si="30">1-AE38</f>
        <v>0.19940159146969016</v>
      </c>
      <c r="AF44" s="215">
        <f ca="1">H44/H$15</f>
        <v>8.7385753445676997</v>
      </c>
      <c r="AG44" s="215">
        <f ca="1">H44/H$16</f>
        <v>10.923219180709625</v>
      </c>
    </row>
    <row r="45" spans="1:33" ht="15" customHeight="1" x14ac:dyDescent="0.25">
      <c r="A45" s="24"/>
      <c r="B45" s="139" t="s">
        <v>40</v>
      </c>
      <c r="C45" s="136">
        <f ca="1">C29-C39</f>
        <v>126810.78200000001</v>
      </c>
      <c r="D45" s="136">
        <f t="shared" ref="D45:H45" ca="1" si="31">D29-D39</f>
        <v>144783.86964000005</v>
      </c>
      <c r="E45" s="136">
        <f t="shared" ca="1" si="31"/>
        <v>150580.78603280004</v>
      </c>
      <c r="F45" s="136">
        <f t="shared" ca="1" si="31"/>
        <v>156486.14073345601</v>
      </c>
      <c r="G45" s="136">
        <f t="shared" ca="1" si="31"/>
        <v>155822.49154812517</v>
      </c>
      <c r="H45" s="136">
        <f t="shared" ca="1" si="31"/>
        <v>165147.99433908763</v>
      </c>
      <c r="I45" s="133" t="s">
        <v>15</v>
      </c>
      <c r="K45" s="214">
        <f t="shared" ca="1" si="23"/>
        <v>0.29720000000000002</v>
      </c>
      <c r="L45" s="215">
        <f t="shared" ca="1" si="18"/>
        <v>1.3897072000000001</v>
      </c>
      <c r="M45" s="215">
        <f t="shared" ca="1" si="24"/>
        <v>1.9852960000000004</v>
      </c>
      <c r="O45" s="214">
        <f t="shared" ca="1" si="25"/>
        <v>0.30785264726426087</v>
      </c>
      <c r="P45" s="215">
        <f ca="1">D45/D$15</f>
        <v>1.5866725440000005</v>
      </c>
      <c r="Q45" s="215">
        <f t="shared" ca="1" si="19"/>
        <v>2.1155633920000008</v>
      </c>
      <c r="S45" s="214">
        <f t="shared" ca="1" si="26"/>
        <v>0.30964442029969952</v>
      </c>
      <c r="T45" s="215">
        <f ca="1">E45/E$15</f>
        <v>1.6502003948800004</v>
      </c>
      <c r="U45" s="215">
        <f t="shared" ca="1" si="27"/>
        <v>2.0888612593417726</v>
      </c>
      <c r="W45" s="214">
        <f t="shared" ca="1" si="28"/>
        <v>0.31135014719999998</v>
      </c>
      <c r="X45" s="215">
        <f ca="1">F45/F$15</f>
        <v>1.7149166107776002</v>
      </c>
      <c r="Y45" s="215">
        <f t="shared" ca="1" si="20"/>
        <v>2.1171810009600001</v>
      </c>
      <c r="AA45" s="214">
        <f t="shared" ca="1" si="29"/>
        <v>0.30914965077505441</v>
      </c>
      <c r="AB45" s="215">
        <f ca="1">G45/G$15</f>
        <v>1.7076437429931526</v>
      </c>
      <c r="AC45" s="215">
        <f t="shared" ca="1" si="21"/>
        <v>2.1615743582191804</v>
      </c>
      <c r="AE45" s="214">
        <f t="shared" ca="1" si="30"/>
        <v>0.31264528638975519</v>
      </c>
      <c r="AF45" s="215">
        <f ca="1">H45/H$15</f>
        <v>1.8098410338530151</v>
      </c>
      <c r="AG45" s="215">
        <f ca="1">H45/H$16</f>
        <v>2.2623012923162689</v>
      </c>
    </row>
    <row r="46" spans="1:33" ht="15" customHeight="1" x14ac:dyDescent="0.25">
      <c r="A46" s="24"/>
      <c r="B46" s="168" t="s">
        <v>103</v>
      </c>
      <c r="C46" s="136">
        <f ca="1">SUM(C43:C45)</f>
        <v>8269636.6619999995</v>
      </c>
      <c r="D46" s="136">
        <f t="shared" ref="D46:H46" ca="1" si="32">SUM(D43:D45)</f>
        <v>9135878.5607399996</v>
      </c>
      <c r="E46" s="136">
        <f t="shared" ca="1" si="32"/>
        <v>9621543.5982708</v>
      </c>
      <c r="F46" s="136">
        <f t="shared" ca="1" si="32"/>
        <v>10274619.833372375</v>
      </c>
      <c r="G46" s="136">
        <f t="shared" ca="1" si="32"/>
        <v>9986098.7636475414</v>
      </c>
      <c r="H46" s="136">
        <f t="shared" ca="1" si="32"/>
        <v>10246699.313540556</v>
      </c>
      <c r="I46" s="133" t="s">
        <v>15</v>
      </c>
      <c r="K46" s="214">
        <f ca="1">C46/C$33</f>
        <v>0.56417089070942994</v>
      </c>
      <c r="L46" s="215">
        <f t="shared" ca="1" si="18"/>
        <v>90.626155199999999</v>
      </c>
      <c r="M46" s="215">
        <f t="shared" ca="1" si="24"/>
        <v>129.465936</v>
      </c>
      <c r="O46" s="214">
        <f ca="1">D46/D$33</f>
        <v>0.5745261046687784</v>
      </c>
      <c r="P46" s="215">
        <f ca="1">D46/D$15</f>
        <v>100.119217104</v>
      </c>
      <c r="Q46" s="215">
        <f t="shared" ca="1" si="19"/>
        <v>133.49228947199998</v>
      </c>
      <c r="S46" s="214">
        <f ca="1">E46/E$33</f>
        <v>0.56741323845992664</v>
      </c>
      <c r="T46" s="215">
        <f ca="1">E46/E$15</f>
        <v>105.44157367968</v>
      </c>
      <c r="U46" s="215">
        <f t="shared" ca="1" si="27"/>
        <v>133.47034642997468</v>
      </c>
      <c r="W46" s="214">
        <f ca="1">F46/F$33</f>
        <v>0.55782738598780091</v>
      </c>
      <c r="X46" s="215">
        <f ca="1">F46/F$15</f>
        <v>112.59857351640959</v>
      </c>
      <c r="Y46" s="215">
        <f t="shared" ca="1" si="20"/>
        <v>139.01058458815999</v>
      </c>
      <c r="AA46" s="214">
        <f ca="1">G46/G$33</f>
        <v>0.56622249893622645</v>
      </c>
      <c r="AB46" s="215">
        <f ca="1">G46/G$15</f>
        <v>109.43669877969909</v>
      </c>
      <c r="AC46" s="215">
        <f t="shared" ca="1" si="21"/>
        <v>138.52746680974568</v>
      </c>
      <c r="AE46" s="214">
        <f ca="1">H46/H$33</f>
        <v>0.57783655264002165</v>
      </c>
      <c r="AF46" s="215">
        <f ca="1">H46/H$15</f>
        <v>112.2925952168828</v>
      </c>
      <c r="AG46" s="215">
        <f ca="1">H46/H$16</f>
        <v>140.3657440211035</v>
      </c>
    </row>
    <row r="47" spans="1:33" ht="15" customHeight="1" x14ac:dyDescent="0.25">
      <c r="A47" s="24"/>
      <c r="B47" s="133"/>
      <c r="C47" s="133"/>
      <c r="D47" s="133"/>
      <c r="E47" s="133"/>
      <c r="F47" s="133"/>
      <c r="G47" s="133"/>
      <c r="H47" s="133"/>
      <c r="I47" s="133"/>
    </row>
    <row r="48" spans="1:33" ht="15" customHeight="1" x14ac:dyDescent="0.25">
      <c r="A48" s="24"/>
      <c r="B48" s="168" t="s">
        <v>72</v>
      </c>
      <c r="C48" s="133"/>
      <c r="D48" s="133"/>
      <c r="E48" s="133"/>
      <c r="F48" s="133"/>
      <c r="G48" s="133"/>
      <c r="H48" s="133"/>
      <c r="I48" s="133"/>
      <c r="K48" s="210"/>
      <c r="L48" s="210"/>
      <c r="M48" s="210"/>
      <c r="N48" s="210"/>
      <c r="O48" s="210"/>
      <c r="P48" s="210"/>
      <c r="Q48" s="210"/>
      <c r="R48" s="210"/>
      <c r="S48" s="210"/>
      <c r="T48" s="210"/>
      <c r="U48" s="210"/>
      <c r="V48" s="210"/>
      <c r="W48" s="210"/>
      <c r="X48" s="210"/>
      <c r="Y48" s="210"/>
      <c r="Z48" s="210"/>
      <c r="AA48" s="210"/>
      <c r="AB48" s="210"/>
      <c r="AC48" s="210"/>
      <c r="AD48" s="210"/>
      <c r="AE48" s="210"/>
      <c r="AF48" s="210"/>
      <c r="AG48" s="210"/>
    </row>
    <row r="49" spans="1:33" ht="15" customHeight="1" x14ac:dyDescent="0.25">
      <c r="A49" s="24"/>
      <c r="B49" s="139" t="s">
        <v>74</v>
      </c>
      <c r="C49" s="136">
        <f ca="1">C$33*Inputs!$J68+(Inputs!$H68*C$15+Inputs!$I68*C$16)*C$10</f>
        <v>1486324.7490000001</v>
      </c>
      <c r="D49" s="136">
        <f ca="1">D$33*Inputs!$J68+(Inputs!$H68*D$15+Inputs!$I68*D$16)*D$10</f>
        <v>1544563.0729799999</v>
      </c>
      <c r="E49" s="136">
        <f ca="1">E$33*Inputs!$J68+(Inputs!$H68*E$15+Inputs!$I68*E$16)*E$10</f>
        <v>1597571.3086895999</v>
      </c>
      <c r="F49" s="136">
        <f ca="1">F$33*Inputs!$J68+(Inputs!$H68*F$15+Inputs!$I68*F$16)*F$10</f>
        <v>1663212.844048392</v>
      </c>
      <c r="G49" s="136">
        <f ca="1">G$33*Inputs!$J68+(Inputs!$H68*G$15+Inputs!$I68*G$16)*G$10</f>
        <v>1661946.3854293597</v>
      </c>
      <c r="H49" s="136">
        <f ca="1">H$33*Inputs!$J68+(Inputs!$H68*H$15+Inputs!$I68*H$16)*H$10</f>
        <v>1687499.0110079471</v>
      </c>
      <c r="I49" s="133" t="s">
        <v>15</v>
      </c>
      <c r="K49" s="214">
        <f ca="1">C49/C$33</f>
        <v>0.1014</v>
      </c>
      <c r="L49" s="215">
        <f t="shared" ref="L49" ca="1" si="33">C49/C$15</f>
        <v>16.288490400000001</v>
      </c>
      <c r="M49" s="215">
        <f t="shared" ref="M49:M54" ca="1" si="34">C49/C$16</f>
        <v>23.269272000000004</v>
      </c>
      <c r="O49" s="214">
        <f t="shared" ref="O49:O54" ca="1" si="35">D49/D$33</f>
        <v>9.7132618372125043E-2</v>
      </c>
      <c r="P49" s="215">
        <f t="shared" ref="P49:P54" ca="1" si="36">D49/D$15</f>
        <v>16.926718607999998</v>
      </c>
      <c r="Q49" s="215">
        <f t="shared" ref="Q49:Q54" ca="1" si="37">D49/D$16</f>
        <v>22.568958144</v>
      </c>
      <c r="S49" s="214">
        <f t="shared" ref="S49:S54" ca="1" si="38">E49/E$33</f>
        <v>9.4213896208623277E-2</v>
      </c>
      <c r="T49" s="215">
        <f t="shared" ref="T49:T54" ca="1" si="39">E49/E$15</f>
        <v>17.50763078016</v>
      </c>
      <c r="U49" s="215">
        <f t="shared" ref="U49:U54" ca="1" si="40">E49/E$16</f>
        <v>22.16155794956962</v>
      </c>
      <c r="W49" s="214">
        <f t="shared" ref="W49:W54" ca="1" si="41">F49/F$33</f>
        <v>9.0298783622471915E-2</v>
      </c>
      <c r="X49" s="215">
        <f t="shared" ref="X49:X54" ca="1" si="42">F49/F$15</f>
        <v>18.226990071763201</v>
      </c>
      <c r="Y49" s="215">
        <f t="shared" ref="Y49:Y54" ca="1" si="43">F49/F$16</f>
        <v>22.50245687872</v>
      </c>
      <c r="AA49" s="214">
        <f t="shared" ref="AA49:AA54" ca="1" si="44">G49/G$33</f>
        <v>9.4234140651751189E-2</v>
      </c>
      <c r="AB49" s="215">
        <f t="shared" ref="AB49:AB54" ca="1" si="45">G49/G$15</f>
        <v>18.213111073198462</v>
      </c>
      <c r="AC49" s="215">
        <f t="shared" ref="AC49:AC54" ca="1" si="46">G49/G$16</f>
        <v>23.054570978732233</v>
      </c>
      <c r="AE49" s="214">
        <f t="shared" ref="AE49:AE54" ca="1" si="47">H49/H$33</f>
        <v>9.5162215779644163E-2</v>
      </c>
      <c r="AF49" s="215">
        <f t="shared" ref="AF49:AF54" ca="1" si="48">H49/H$15</f>
        <v>18.493139846662434</v>
      </c>
      <c r="AG49" s="215">
        <f t="shared" ref="AG49:AG54" ca="1" si="49">H49/H$16</f>
        <v>23.116424808328045</v>
      </c>
    </row>
    <row r="50" spans="1:33" ht="15" customHeight="1" x14ac:dyDescent="0.25">
      <c r="A50" s="24"/>
      <c r="B50" s="139" t="s">
        <v>75</v>
      </c>
      <c r="C50" s="136">
        <f ca="1">C$33*Inputs!$J69+(Inputs!$H69*C$15+Inputs!$I69*C$16)*C$10</f>
        <v>740230.76750000007</v>
      </c>
      <c r="D50" s="136">
        <f ca="1">D$33*Inputs!$J69+(Inputs!$H69*D$15+Inputs!$I69*D$16)*D$10</f>
        <v>786965.00085750001</v>
      </c>
      <c r="E50" s="136">
        <f ca="1">E$33*Inputs!$J69+(Inputs!$H69*E$15+Inputs!$I69*E$16)*E$10</f>
        <v>827801.63732376997</v>
      </c>
      <c r="F50" s="136">
        <f ca="1">F$33*Inputs!$J69+(Inputs!$H69*F$15+Inputs!$I69*F$16)*F$10</f>
        <v>875832.6885905466</v>
      </c>
      <c r="G50" s="136">
        <f ca="1">G$33*Inputs!$J69+(Inputs!$H69*G$15+Inputs!$I69*G$16)*G$10</f>
        <v>861105.8200289004</v>
      </c>
      <c r="H50" s="136">
        <f ca="1">H$33*Inputs!$J69+(Inputs!$H69*H$15+Inputs!$I69*H$16)*H$10</f>
        <v>873691.32695704151</v>
      </c>
      <c r="I50" s="133" t="s">
        <v>15</v>
      </c>
      <c r="K50" s="214">
        <f t="shared" ref="K50:K54" ca="1" si="50">C50/C$33</f>
        <v>5.0500000000000003E-2</v>
      </c>
      <c r="L50" s="215">
        <f t="shared" ref="L50:L54" ca="1" si="51">C50/C$15</f>
        <v>8.1121180000000006</v>
      </c>
      <c r="M50" s="215">
        <f t="shared" ca="1" si="34"/>
        <v>11.588740000000003</v>
      </c>
      <c r="O50" s="214">
        <f t="shared" ca="1" si="35"/>
        <v>4.9489705171463984E-2</v>
      </c>
      <c r="P50" s="215">
        <f t="shared" ca="1" si="36"/>
        <v>8.6242739820000001</v>
      </c>
      <c r="Q50" s="215">
        <f t="shared" ca="1" si="37"/>
        <v>11.499031975999999</v>
      </c>
      <c r="S50" s="214">
        <f t="shared" ca="1" si="38"/>
        <v>4.8818113542688335E-2</v>
      </c>
      <c r="T50" s="215">
        <f t="shared" ca="1" si="39"/>
        <v>9.0717987651919998</v>
      </c>
      <c r="U50" s="215">
        <f t="shared" ca="1" si="40"/>
        <v>11.483289576192405</v>
      </c>
      <c r="W50" s="214">
        <f t="shared" ca="1" si="41"/>
        <v>4.7550514487383629E-2</v>
      </c>
      <c r="X50" s="215">
        <f t="shared" ca="1" si="42"/>
        <v>9.5981664503073603</v>
      </c>
      <c r="Y50" s="215">
        <f t="shared" ca="1" si="43"/>
        <v>11.849588210256</v>
      </c>
      <c r="AA50" s="214">
        <f t="shared" ca="1" si="44"/>
        <v>4.8825622578481186E-2</v>
      </c>
      <c r="AB50" s="215">
        <f t="shared" ca="1" si="45"/>
        <v>9.4367761099057574</v>
      </c>
      <c r="AC50" s="215">
        <f t="shared" ca="1" si="46"/>
        <v>11.945286215070579</v>
      </c>
      <c r="AE50" s="214">
        <f t="shared" ca="1" si="47"/>
        <v>4.9269600775071552E-2</v>
      </c>
      <c r="AF50" s="215">
        <f t="shared" ca="1" si="48"/>
        <v>9.5746994735018252</v>
      </c>
      <c r="AG50" s="215">
        <f t="shared" ca="1" si="49"/>
        <v>11.968374341877281</v>
      </c>
    </row>
    <row r="51" spans="1:33" ht="15" customHeight="1" x14ac:dyDescent="0.25">
      <c r="A51" s="24"/>
      <c r="B51" s="139" t="s">
        <v>76</v>
      </c>
      <c r="C51" s="136">
        <f ca="1">C$33*Inputs!$J70+(Inputs!$H70*C$15+Inputs!$I70*C$16)*C$10</f>
        <v>0</v>
      </c>
      <c r="D51" s="136">
        <f ca="1">D$33*Inputs!$J70+(Inputs!$H70*D$15+Inputs!$I70*D$16)*D$10</f>
        <v>0</v>
      </c>
      <c r="E51" s="136">
        <f ca="1">E$33*Inputs!$J70+(Inputs!$H70*E$15+Inputs!$I70*E$16)*E$10</f>
        <v>0</v>
      </c>
      <c r="F51" s="136">
        <f ca="1">F$33*Inputs!$J70+(Inputs!$H70*F$15+Inputs!$I70*F$16)*F$10</f>
        <v>0</v>
      </c>
      <c r="G51" s="136">
        <f ca="1">G$33*Inputs!$J70+(Inputs!$H70*G$15+Inputs!$I70*G$16)*G$10</f>
        <v>0</v>
      </c>
      <c r="H51" s="136">
        <f ca="1">H$33*Inputs!$J70+(Inputs!$H70*H$15+Inputs!$I70*H$16)*H$10</f>
        <v>0</v>
      </c>
      <c r="I51" s="133" t="s">
        <v>15</v>
      </c>
      <c r="K51" s="214">
        <f t="shared" ca="1" si="50"/>
        <v>0</v>
      </c>
      <c r="L51" s="215">
        <f t="shared" ca="1" si="51"/>
        <v>0</v>
      </c>
      <c r="M51" s="215">
        <f t="shared" ca="1" si="34"/>
        <v>0</v>
      </c>
      <c r="O51" s="214">
        <f t="shared" ca="1" si="35"/>
        <v>0</v>
      </c>
      <c r="P51" s="215">
        <f t="shared" ca="1" si="36"/>
        <v>0</v>
      </c>
      <c r="Q51" s="215">
        <f t="shared" ca="1" si="37"/>
        <v>0</v>
      </c>
      <c r="S51" s="214">
        <f t="shared" ca="1" si="38"/>
        <v>0</v>
      </c>
      <c r="T51" s="215">
        <f t="shared" ca="1" si="39"/>
        <v>0</v>
      </c>
      <c r="U51" s="215">
        <f t="shared" ca="1" si="40"/>
        <v>0</v>
      </c>
      <c r="W51" s="214">
        <f t="shared" ca="1" si="41"/>
        <v>0</v>
      </c>
      <c r="X51" s="215">
        <f t="shared" ca="1" si="42"/>
        <v>0</v>
      </c>
      <c r="Y51" s="215">
        <f t="shared" ca="1" si="43"/>
        <v>0</v>
      </c>
      <c r="AA51" s="214">
        <f t="shared" ca="1" si="44"/>
        <v>0</v>
      </c>
      <c r="AB51" s="215">
        <f t="shared" ca="1" si="45"/>
        <v>0</v>
      </c>
      <c r="AC51" s="215">
        <f t="shared" ca="1" si="46"/>
        <v>0</v>
      </c>
      <c r="AE51" s="214">
        <f t="shared" ca="1" si="47"/>
        <v>0</v>
      </c>
      <c r="AF51" s="215">
        <f t="shared" ca="1" si="48"/>
        <v>0</v>
      </c>
      <c r="AG51" s="215">
        <f t="shared" ca="1" si="49"/>
        <v>0</v>
      </c>
    </row>
    <row r="52" spans="1:33" ht="15" customHeight="1" x14ac:dyDescent="0.25">
      <c r="A52" s="24"/>
      <c r="B52" s="139" t="s">
        <v>77</v>
      </c>
      <c r="C52" s="136">
        <f ca="1">C$33*Inputs!$J71+(Inputs!$H71*C$15+Inputs!$I71*C$16)*C$10</f>
        <v>739497.86575000011</v>
      </c>
      <c r="D52" s="136">
        <f ca="1">D$33*Inputs!$J71+(Inputs!$H71*D$15+Inputs!$I71*D$16)*D$10</f>
        <v>780423.66631500004</v>
      </c>
      <c r="E52" s="136">
        <f ca="1">E$33*Inputs!$J71+(Inputs!$H71*E$15+Inputs!$I71*E$16)*E$10</f>
        <v>816306.03270380001</v>
      </c>
      <c r="F52" s="136">
        <f ca="1">F$33*Inputs!$J71+(Inputs!$H71*F$15+Inputs!$I71*F$16)*F$10</f>
        <v>863514.75344412611</v>
      </c>
      <c r="G52" s="136">
        <f ca="1">G$33*Inputs!$J71+(Inputs!$H71*G$15+Inputs!$I71*G$16)*G$10</f>
        <v>849131.89263800858</v>
      </c>
      <c r="H52" s="136">
        <f ca="1">H$33*Inputs!$J71+(Inputs!$H71*H$15+Inputs!$I71*H$16)*H$10</f>
        <v>859068.75353826885</v>
      </c>
      <c r="I52" s="133" t="s">
        <v>15</v>
      </c>
      <c r="K52" s="214">
        <f t="shared" ca="1" si="50"/>
        <v>5.0450000000000009E-2</v>
      </c>
      <c r="L52" s="215">
        <f t="shared" ca="1" si="51"/>
        <v>8.1040862000000011</v>
      </c>
      <c r="M52" s="215">
        <f t="shared" ca="1" si="34"/>
        <v>11.577266000000003</v>
      </c>
      <c r="O52" s="214">
        <f t="shared" ca="1" si="35"/>
        <v>4.9078341619611623E-2</v>
      </c>
      <c r="P52" s="215">
        <f t="shared" ca="1" si="36"/>
        <v>8.5525881239999997</v>
      </c>
      <c r="Q52" s="215">
        <f t="shared" ca="1" si="37"/>
        <v>11.403450832000001</v>
      </c>
      <c r="S52" s="214">
        <f t="shared" ca="1" si="38"/>
        <v>4.8140180924200346E-2</v>
      </c>
      <c r="T52" s="215">
        <f t="shared" ca="1" si="39"/>
        <v>8.9458195364800002</v>
      </c>
      <c r="U52" s="215">
        <f t="shared" ca="1" si="40"/>
        <v>11.32382219807595</v>
      </c>
      <c r="W52" s="214">
        <f t="shared" ca="1" si="41"/>
        <v>4.6881751878651692E-2</v>
      </c>
      <c r="X52" s="215">
        <f t="shared" ca="1" si="42"/>
        <v>9.4631753802096004</v>
      </c>
      <c r="Y52" s="215">
        <f t="shared" ca="1" si="43"/>
        <v>11.682932568160002</v>
      </c>
      <c r="AA52" s="214">
        <f t="shared" ca="1" si="44"/>
        <v>4.8146688066634316E-2</v>
      </c>
      <c r="AB52" s="215">
        <f t="shared" ca="1" si="45"/>
        <v>9.3055549878137924</v>
      </c>
      <c r="AC52" s="215">
        <f t="shared" ca="1" si="46"/>
        <v>11.779183528878219</v>
      </c>
      <c r="AE52" s="214">
        <f t="shared" ca="1" si="47"/>
        <v>4.8444997929171348E-2</v>
      </c>
      <c r="AF52" s="215">
        <f t="shared" ca="1" si="48"/>
        <v>9.4144520935700697</v>
      </c>
      <c r="AG52" s="215">
        <f t="shared" ca="1" si="49"/>
        <v>11.768065116962587</v>
      </c>
    </row>
    <row r="53" spans="1:33" ht="15" customHeight="1" x14ac:dyDescent="0.25">
      <c r="A53" s="24"/>
      <c r="B53" s="139" t="s">
        <v>78</v>
      </c>
      <c r="C53" s="136">
        <f ca="1">C$33*Inputs!$J72+(Inputs!$H72*C$15+Inputs!$I72*C$16)*C$10</f>
        <v>593357.25679999997</v>
      </c>
      <c r="D53" s="136">
        <f ca="1">D$33*Inputs!$J72+(Inputs!$H72*D$15+Inputs!$I72*D$16)*D$10</f>
        <v>635680.93035000004</v>
      </c>
      <c r="E53" s="136">
        <f ca="1">E$33*Inputs!$J72+(Inputs!$H72*E$15+Inputs!$I72*E$16)*E$10</f>
        <v>672634.44776202389</v>
      </c>
      <c r="F53" s="136">
        <f ca="1">F$33*Inputs!$J72+(Inputs!$H72*F$15+Inputs!$I72*F$16)*F$10</f>
        <v>710401.72634382662</v>
      </c>
      <c r="G53" s="136">
        <f ca="1">G$33*Inputs!$J72+(Inputs!$H72*G$15+Inputs!$I72*G$16)*G$10</f>
        <v>699719.91724824975</v>
      </c>
      <c r="H53" s="136">
        <f ca="1">H$33*Inputs!$J72+(Inputs!$H72*H$15+Inputs!$I72*H$16)*H$10</f>
        <v>712916.42008866603</v>
      </c>
      <c r="I53" s="133" t="s">
        <v>15</v>
      </c>
      <c r="K53" s="214">
        <f t="shared" ca="1" si="50"/>
        <v>4.0479999999999995E-2</v>
      </c>
      <c r="L53" s="215">
        <f t="shared" ca="1" si="51"/>
        <v>6.5025452799999997</v>
      </c>
      <c r="M53" s="215">
        <f t="shared" ca="1" si="34"/>
        <v>9.2893504</v>
      </c>
      <c r="O53" s="214">
        <f t="shared" ca="1" si="35"/>
        <v>3.9975935132901805E-2</v>
      </c>
      <c r="P53" s="215">
        <f t="shared" ca="1" si="36"/>
        <v>6.9663663600000003</v>
      </c>
      <c r="Q53" s="215">
        <f t="shared" ca="1" si="37"/>
        <v>9.2884884799999998</v>
      </c>
      <c r="S53" s="214">
        <f t="shared" ca="1" si="38"/>
        <v>3.9667407459749719E-2</v>
      </c>
      <c r="T53" s="215">
        <f t="shared" ca="1" si="39"/>
        <v>7.3713364138303987</v>
      </c>
      <c r="U53" s="215">
        <f t="shared" ca="1" si="40"/>
        <v>9.3308055871270863</v>
      </c>
      <c r="W53" s="214">
        <f t="shared" ca="1" si="41"/>
        <v>3.8568973298696622E-2</v>
      </c>
      <c r="X53" s="215">
        <f t="shared" ca="1" si="42"/>
        <v>7.785224398288511</v>
      </c>
      <c r="Y53" s="215">
        <f t="shared" ca="1" si="43"/>
        <v>9.611388146035198</v>
      </c>
      <c r="AA53" s="214">
        <f t="shared" ca="1" si="44"/>
        <v>3.9674868983074006E-2</v>
      </c>
      <c r="AB53" s="215">
        <f t="shared" ca="1" si="45"/>
        <v>7.6681634766931479</v>
      </c>
      <c r="AC53" s="215">
        <f t="shared" ca="1" si="46"/>
        <v>9.7065360464470221</v>
      </c>
      <c r="AE53" s="214">
        <f t="shared" ca="1" si="47"/>
        <v>4.0203108718153545E-2</v>
      </c>
      <c r="AF53" s="215">
        <f t="shared" ca="1" si="48"/>
        <v>7.8127826859031897</v>
      </c>
      <c r="AG53" s="215">
        <f t="shared" ca="1" si="49"/>
        <v>9.7659783573789873</v>
      </c>
    </row>
    <row r="54" spans="1:33" ht="15" customHeight="1" x14ac:dyDescent="0.25">
      <c r="A54" s="24"/>
      <c r="B54" s="168" t="s">
        <v>104</v>
      </c>
      <c r="C54" s="136">
        <f ca="1">SUM(C49:C53)</f>
        <v>3559410.6390499999</v>
      </c>
      <c r="D54" s="136">
        <f t="shared" ref="D54:H54" ca="1" si="52">SUM(D49:D53)</f>
        <v>3747632.6705025001</v>
      </c>
      <c r="E54" s="136">
        <f t="shared" ca="1" si="52"/>
        <v>3914313.4264791934</v>
      </c>
      <c r="F54" s="136">
        <f t="shared" ca="1" si="52"/>
        <v>4112962.0124268914</v>
      </c>
      <c r="G54" s="136">
        <f t="shared" ca="1" si="52"/>
        <v>4071904.0153445182</v>
      </c>
      <c r="H54" s="136">
        <f t="shared" ca="1" si="52"/>
        <v>4133175.5115919239</v>
      </c>
      <c r="I54" s="133" t="s">
        <v>15</v>
      </c>
      <c r="K54" s="214">
        <f t="shared" ca="1" si="50"/>
        <v>0.24282999999999999</v>
      </c>
      <c r="L54" s="215">
        <f t="shared" ca="1" si="51"/>
        <v>39.00723988</v>
      </c>
      <c r="M54" s="215">
        <f t="shared" ca="1" si="34"/>
        <v>55.724628400000007</v>
      </c>
      <c r="O54" s="214">
        <f t="shared" ca="1" si="35"/>
        <v>0.23567660029610246</v>
      </c>
      <c r="P54" s="215">
        <f t="shared" ca="1" si="36"/>
        <v>41.069947073999998</v>
      </c>
      <c r="Q54" s="215">
        <f t="shared" ca="1" si="37"/>
        <v>54.759929432</v>
      </c>
      <c r="S54" s="214">
        <f t="shared" ca="1" si="38"/>
        <v>0.23083959813526167</v>
      </c>
      <c r="T54" s="215">
        <f t="shared" ca="1" si="39"/>
        <v>42.896585495662393</v>
      </c>
      <c r="U54" s="215">
        <f t="shared" ca="1" si="40"/>
        <v>54.299475310965057</v>
      </c>
      <c r="W54" s="214">
        <f t="shared" ca="1" si="41"/>
        <v>0.22330002328720386</v>
      </c>
      <c r="X54" s="215">
        <f t="shared" ca="1" si="42"/>
        <v>45.073556300568676</v>
      </c>
      <c r="Y54" s="215">
        <f t="shared" ca="1" si="43"/>
        <v>55.6463658031712</v>
      </c>
      <c r="AA54" s="214">
        <f t="shared" ca="1" si="44"/>
        <v>0.23088132027994068</v>
      </c>
      <c r="AB54" s="215">
        <f t="shared" ca="1" si="45"/>
        <v>44.623605647611157</v>
      </c>
      <c r="AC54" s="215">
        <f t="shared" ca="1" si="46"/>
        <v>56.485576769128052</v>
      </c>
      <c r="AE54" s="214">
        <f t="shared" ca="1" si="47"/>
        <v>0.23307992320204063</v>
      </c>
      <c r="AF54" s="215">
        <f t="shared" ca="1" si="48"/>
        <v>45.295074099637525</v>
      </c>
      <c r="AG54" s="215">
        <f t="shared" ca="1" si="49"/>
        <v>56.6188426245469</v>
      </c>
    </row>
    <row r="55" spans="1:33" ht="15" customHeight="1" x14ac:dyDescent="0.25">
      <c r="A55" s="24"/>
      <c r="B55" s="133"/>
      <c r="C55" s="133"/>
      <c r="D55" s="133"/>
      <c r="E55" s="133"/>
      <c r="F55" s="133"/>
      <c r="G55" s="133"/>
      <c r="H55" s="133"/>
      <c r="I55" s="133"/>
    </row>
    <row r="56" spans="1:33" ht="15" customHeight="1" x14ac:dyDescent="0.25">
      <c r="A56" s="24"/>
      <c r="B56" s="133" t="s">
        <v>105</v>
      </c>
      <c r="C56" s="136">
        <f ca="1">C46-C54</f>
        <v>4710226.0229499992</v>
      </c>
      <c r="D56" s="136">
        <f t="shared" ref="D56:H56" ca="1" si="53">D46-D54</f>
        <v>5388245.890237499</v>
      </c>
      <c r="E56" s="136">
        <f t="shared" ca="1" si="53"/>
        <v>5707230.1717916066</v>
      </c>
      <c r="F56" s="136">
        <f t="shared" ca="1" si="53"/>
        <v>6161657.8209454836</v>
      </c>
      <c r="G56" s="136">
        <f t="shared" ca="1" si="53"/>
        <v>5914194.7483030232</v>
      </c>
      <c r="H56" s="136">
        <f t="shared" ca="1" si="53"/>
        <v>6113523.8019486312</v>
      </c>
      <c r="I56" s="133" t="s">
        <v>15</v>
      </c>
      <c r="K56" s="214">
        <f t="shared" ref="K56" ca="1" si="54">C56/C$33</f>
        <v>0.32134089070942995</v>
      </c>
      <c r="L56" s="215">
        <f t="shared" ref="L56" ca="1" si="55">C56/C$15</f>
        <v>51.618915319999992</v>
      </c>
      <c r="M56" s="215">
        <f ca="1">C56/C$16</f>
        <v>73.741307599999999</v>
      </c>
      <c r="O56" s="214">
        <f ca="1">D56/D$33</f>
        <v>0.33884950437267586</v>
      </c>
      <c r="P56" s="215">
        <f ca="1">D56/D$15</f>
        <v>59.049270029999988</v>
      </c>
      <c r="Q56" s="215">
        <f ca="1">D56/D$16</f>
        <v>78.732360039999989</v>
      </c>
      <c r="S56" s="214">
        <f ca="1">E56/E$33</f>
        <v>0.33657364032466491</v>
      </c>
      <c r="T56" s="215">
        <f ca="1">E56/E$15</f>
        <v>62.544988184017605</v>
      </c>
      <c r="U56" s="215">
        <f ca="1">E56/E$16</f>
        <v>79.170871119009632</v>
      </c>
      <c r="W56" s="214">
        <f ca="1">F56/F$33</f>
        <v>0.33452736270059708</v>
      </c>
      <c r="X56" s="215">
        <f ca="1">F56/F$15</f>
        <v>67.525017215840919</v>
      </c>
      <c r="Y56" s="215">
        <f ca="1">F56/F$16</f>
        <v>83.364218784988779</v>
      </c>
      <c r="AA56" s="214">
        <f ca="1">G56/G$33</f>
        <v>0.33534117865628577</v>
      </c>
      <c r="AB56" s="215">
        <f ca="1">G56/G$15</f>
        <v>64.813093132087928</v>
      </c>
      <c r="AC56" s="215">
        <f ca="1">G56/G$16</f>
        <v>82.041890040617631</v>
      </c>
      <c r="AE56" s="214">
        <f ca="1">H56/H$33</f>
        <v>0.34475662943798102</v>
      </c>
      <c r="AF56" s="215">
        <f ca="1">H56/H$15</f>
        <v>66.99752111724527</v>
      </c>
      <c r="AG56" s="215">
        <f ca="1">H56/H$16</f>
        <v>83.746901396556595</v>
      </c>
    </row>
    <row r="57" spans="1:33" ht="15" customHeight="1" x14ac:dyDescent="0.25">
      <c r="A57" s="24"/>
      <c r="B57" s="133"/>
      <c r="C57" s="133"/>
      <c r="D57" s="133"/>
      <c r="E57" s="133"/>
      <c r="F57" s="133"/>
      <c r="G57" s="133"/>
      <c r="H57" s="133"/>
      <c r="I57" s="133"/>
    </row>
    <row r="58" spans="1:33" ht="15" customHeight="1" x14ac:dyDescent="0.25">
      <c r="A58" s="24"/>
      <c r="B58" s="139" t="s">
        <v>106</v>
      </c>
      <c r="C58" s="136">
        <f ca="1">C$33*Inputs!$J73+(Inputs!$H73*C$15+Inputs!$I73*C$16)*C$10</f>
        <v>366450.875</v>
      </c>
      <c r="D58" s="136">
        <f ca="1">D$33*Inputs!$J73+(Inputs!$H73*D$15+Inputs!$I73*D$16)*D$10</f>
        <v>397539.75</v>
      </c>
      <c r="E58" s="136">
        <f ca="1">E$33*Inputs!$J73+(Inputs!$H73*E$15+Inputs!$I73*E$16)*E$10</f>
        <v>423921.356875</v>
      </c>
      <c r="F58" s="136">
        <f ca="1">F$33*Inputs!$J73+(Inputs!$H73*F$15+Inputs!$I73*F$16)*F$10</f>
        <v>460474.875</v>
      </c>
      <c r="G58" s="136">
        <f ca="1">G$33*Inputs!$J73+(Inputs!$H73*G$15+Inputs!$I73*G$16)*G$10</f>
        <v>440908.77625000005</v>
      </c>
      <c r="H58" s="136">
        <f ca="1">H$33*Inputs!$J73+(Inputs!$H73*H$15+Inputs!$I73*H$16)*H$10</f>
        <v>443321.7</v>
      </c>
      <c r="I58" s="133" t="s">
        <v>15</v>
      </c>
      <c r="K58" s="214">
        <f t="shared" ref="K58:K60" ca="1" si="56">C58/C$33</f>
        <v>2.5000000000000001E-2</v>
      </c>
      <c r="L58" s="215">
        <f t="shared" ref="L58:L60" ca="1" si="57">C58/C$15</f>
        <v>4.0159000000000002</v>
      </c>
      <c r="M58" s="215">
        <f t="shared" ref="M58:M60" ca="1" si="58">C58/C$16</f>
        <v>5.737000000000001</v>
      </c>
      <c r="O58" s="214">
        <f ca="1">D58/D$33</f>
        <v>2.5000000000000001E-2</v>
      </c>
      <c r="P58" s="215">
        <f ca="1">D58/D$15</f>
        <v>4.3566000000000003</v>
      </c>
      <c r="Q58" s="215">
        <f t="shared" ref="Q58:Q60" ca="1" si="59">D58/D$16</f>
        <v>5.8087999999999997</v>
      </c>
      <c r="S58" s="214">
        <f ca="1">E58/E$33</f>
        <v>2.5000000000000001E-2</v>
      </c>
      <c r="T58" s="215">
        <f ca="1">E58/E$15</f>
        <v>4.6457135000000003</v>
      </c>
      <c r="U58" s="215">
        <f t="shared" ref="U58:U60" ca="1" si="60">E58/E$16</f>
        <v>5.8806500000000002</v>
      </c>
      <c r="W58" s="214">
        <f ca="1">F58/F$33</f>
        <v>2.5000000000000001E-2</v>
      </c>
      <c r="X58" s="215">
        <f ca="1">F58/F$15</f>
        <v>5.0462999999999996</v>
      </c>
      <c r="Y58" s="215">
        <f t="shared" ref="Y58:Y60" ca="1" si="61">F58/F$16</f>
        <v>6.23</v>
      </c>
      <c r="AA58" s="214">
        <f ca="1">G58/G$33</f>
        <v>2.5000000000000001E-2</v>
      </c>
      <c r="AB58" s="215">
        <f ca="1">G58/G$15</f>
        <v>4.8318770000000004</v>
      </c>
      <c r="AC58" s="215">
        <f t="shared" ref="AC58:AC60" ca="1" si="62">G58/G$16</f>
        <v>6.1163000000000007</v>
      </c>
      <c r="AE58" s="214">
        <f ca="1">H58/H$33</f>
        <v>2.5000000000000001E-2</v>
      </c>
      <c r="AF58" s="215">
        <f ca="1">H58/H$15</f>
        <v>4.85832</v>
      </c>
      <c r="AG58" s="215">
        <f ca="1">H58/H$16</f>
        <v>6.0728999999999997</v>
      </c>
    </row>
    <row r="59" spans="1:33" ht="15" customHeight="1" x14ac:dyDescent="0.25">
      <c r="A59" s="24"/>
      <c r="B59" s="139" t="s">
        <v>107</v>
      </c>
      <c r="C59" s="136">
        <f ca="1">C$33*Inputs!$J74+(Inputs!$H74*C$15+Inputs!$I74*C$16)*C$10</f>
        <v>0</v>
      </c>
      <c r="D59" s="136">
        <f ca="1">D$33*Inputs!$J74+(Inputs!$H74*D$15+Inputs!$I74*D$16)*D$10</f>
        <v>0</v>
      </c>
      <c r="E59" s="136">
        <f ca="1">E$33*Inputs!$J74+(Inputs!$H74*E$15+Inputs!$I74*E$16)*E$10</f>
        <v>0</v>
      </c>
      <c r="F59" s="136">
        <f ca="1">F$33*Inputs!$J74+(Inputs!$H74*F$15+Inputs!$I74*F$16)*F$10</f>
        <v>0</v>
      </c>
      <c r="G59" s="136">
        <f ca="1">G$33*Inputs!$J74+(Inputs!$H74*G$15+Inputs!$I74*G$16)*G$10</f>
        <v>0</v>
      </c>
      <c r="H59" s="136">
        <f ca="1">H$33*Inputs!$J74+(Inputs!$H74*H$15+Inputs!$I74*H$16)*H$10</f>
        <v>0</v>
      </c>
      <c r="I59" s="133" t="s">
        <v>15</v>
      </c>
      <c r="K59" s="214">
        <f t="shared" ca="1" si="56"/>
        <v>0</v>
      </c>
      <c r="L59" s="215">
        <f t="shared" ca="1" si="57"/>
        <v>0</v>
      </c>
      <c r="M59" s="215">
        <f t="shared" ca="1" si="58"/>
        <v>0</v>
      </c>
      <c r="O59" s="214">
        <f ca="1">D59/D$33</f>
        <v>0</v>
      </c>
      <c r="P59" s="215">
        <f ca="1">D59/D$15</f>
        <v>0</v>
      </c>
      <c r="Q59" s="215">
        <f t="shared" ca="1" si="59"/>
        <v>0</v>
      </c>
      <c r="S59" s="214">
        <f ca="1">E59/E$33</f>
        <v>0</v>
      </c>
      <c r="T59" s="215">
        <f ca="1">E59/E$15</f>
        <v>0</v>
      </c>
      <c r="U59" s="215">
        <f t="shared" ca="1" si="60"/>
        <v>0</v>
      </c>
      <c r="W59" s="214">
        <f ca="1">F59/F$33</f>
        <v>0</v>
      </c>
      <c r="X59" s="215">
        <f ca="1">F59/F$15</f>
        <v>0</v>
      </c>
      <c r="Y59" s="215">
        <f t="shared" ca="1" si="61"/>
        <v>0</v>
      </c>
      <c r="AA59" s="214">
        <f ca="1">G59/G$33</f>
        <v>0</v>
      </c>
      <c r="AB59" s="215">
        <f ca="1">G59/G$15</f>
        <v>0</v>
      </c>
      <c r="AC59" s="215">
        <f t="shared" ca="1" si="62"/>
        <v>0</v>
      </c>
      <c r="AE59" s="214">
        <f ca="1">H59/H$33</f>
        <v>0</v>
      </c>
      <c r="AF59" s="215">
        <f ca="1">H59/H$15</f>
        <v>0</v>
      </c>
      <c r="AG59" s="215">
        <f ca="1">H59/H$16</f>
        <v>0</v>
      </c>
    </row>
    <row r="60" spans="1:33" ht="15" customHeight="1" x14ac:dyDescent="0.25">
      <c r="A60" s="24"/>
      <c r="B60" s="168" t="s">
        <v>108</v>
      </c>
      <c r="C60" s="136">
        <f ca="1">C56-SUM(C58:C59)</f>
        <v>4343775.1479499992</v>
      </c>
      <c r="D60" s="136">
        <f t="shared" ref="D60:H60" ca="1" si="63">D56-SUM(D58:D59)</f>
        <v>4990706.140237499</v>
      </c>
      <c r="E60" s="136">
        <f t="shared" ca="1" si="63"/>
        <v>5283308.814916607</v>
      </c>
      <c r="F60" s="136">
        <f t="shared" ca="1" si="63"/>
        <v>5701182.9459454836</v>
      </c>
      <c r="G60" s="136">
        <f t="shared" ca="1" si="63"/>
        <v>5473285.9720530231</v>
      </c>
      <c r="H60" s="136">
        <f t="shared" ca="1" si="63"/>
        <v>5670202.101948631</v>
      </c>
      <c r="I60" s="133" t="s">
        <v>15</v>
      </c>
      <c r="K60" s="214">
        <f t="shared" ca="1" si="56"/>
        <v>0.29634089070942998</v>
      </c>
      <c r="L60" s="215">
        <f t="shared" ca="1" si="57"/>
        <v>47.60301531999999</v>
      </c>
      <c r="M60" s="215">
        <f t="shared" ca="1" si="58"/>
        <v>68.00430759999999</v>
      </c>
      <c r="O60" s="214">
        <f ca="1">D60/D$33</f>
        <v>0.31384950437267589</v>
      </c>
      <c r="P60" s="215">
        <f ca="1">D60/D$15</f>
        <v>54.692670029999988</v>
      </c>
      <c r="Q60" s="215">
        <f t="shared" ca="1" si="59"/>
        <v>72.923560039999984</v>
      </c>
      <c r="S60" s="214">
        <f ca="1">E60/E$33</f>
        <v>0.31157364032466495</v>
      </c>
      <c r="T60" s="215">
        <f ca="1">E60/E$15</f>
        <v>57.899274684017612</v>
      </c>
      <c r="U60" s="215">
        <f t="shared" ca="1" si="60"/>
        <v>73.29022111900963</v>
      </c>
      <c r="W60" s="214">
        <f ca="1">F60/F$33</f>
        <v>0.30952736270059705</v>
      </c>
      <c r="X60" s="215">
        <f ca="1">F60/F$15</f>
        <v>62.478717215840916</v>
      </c>
      <c r="Y60" s="215">
        <f t="shared" ca="1" si="61"/>
        <v>77.134218784988789</v>
      </c>
      <c r="AA60" s="214">
        <f ca="1">G60/G$33</f>
        <v>0.31034117865628574</v>
      </c>
      <c r="AB60" s="215">
        <f ca="1">G60/G$15</f>
        <v>59.981216132087923</v>
      </c>
      <c r="AC60" s="215">
        <f t="shared" ca="1" si="62"/>
        <v>75.925590040617621</v>
      </c>
      <c r="AE60" s="214">
        <f ca="1">H60/H$33</f>
        <v>0.319756629437981</v>
      </c>
      <c r="AF60" s="215">
        <f ca="1">H60/H$15</f>
        <v>62.139201117245271</v>
      </c>
      <c r="AG60" s="215">
        <f ca="1">H60/H$16</f>
        <v>77.674001396556591</v>
      </c>
    </row>
    <row r="61" spans="1:33" ht="15" customHeight="1" x14ac:dyDescent="0.25">
      <c r="A61" s="24"/>
      <c r="B61" s="133"/>
      <c r="C61" s="133"/>
      <c r="D61" s="133"/>
      <c r="E61" s="133"/>
      <c r="F61" s="133"/>
      <c r="G61" s="133"/>
      <c r="H61" s="133"/>
      <c r="I61" s="133"/>
    </row>
    <row r="62" spans="1:33" ht="15" customHeight="1" x14ac:dyDescent="0.25">
      <c r="A62" s="24"/>
      <c r="B62" s="168" t="s">
        <v>82</v>
      </c>
      <c r="C62" s="133"/>
      <c r="D62" s="133"/>
      <c r="E62" s="133"/>
      <c r="F62" s="133"/>
      <c r="G62" s="133"/>
      <c r="H62" s="133"/>
      <c r="I62" s="133"/>
    </row>
    <row r="63" spans="1:33" ht="15" customHeight="1" x14ac:dyDescent="0.25">
      <c r="A63" s="24"/>
      <c r="B63" s="139" t="s">
        <v>83</v>
      </c>
      <c r="C63" s="136">
        <f ca="1">C$33*Inputs!$J78+(Inputs!$H78*C$15+Inputs!$I78*C$16)*C$10</f>
        <v>598047.82799999998</v>
      </c>
      <c r="D63" s="136">
        <f ca="1">D$33*Inputs!$J78+(Inputs!$H78*D$15+Inputs!$I78*D$16)*D$10</f>
        <v>610008.78456000006</v>
      </c>
      <c r="E63" s="136">
        <f ca="1">E$33*Inputs!$J78+(Inputs!$H78*E$15+Inputs!$I78*E$16)*E$10</f>
        <v>622208.96025120001</v>
      </c>
      <c r="F63" s="136">
        <f ca="1">F$33*Inputs!$J78+(Inputs!$H78*F$15+Inputs!$I78*F$16)*F$10</f>
        <v>634653.13945622405</v>
      </c>
      <c r="G63" s="136">
        <f ca="1">G$33*Inputs!$J78+(Inputs!$H78*G$15+Inputs!$I78*G$16)*G$10</f>
        <v>647346.20224534848</v>
      </c>
      <c r="H63" s="136">
        <f ca="1">H$33*Inputs!$J78+(Inputs!$H78*H$15+Inputs!$I78*H$16)*H$10</f>
        <v>660293.12629025546</v>
      </c>
      <c r="I63" s="133" t="s">
        <v>15</v>
      </c>
      <c r="K63" s="214">
        <f t="shared" ref="K63:K66" ca="1" si="64">C63/C$33</f>
        <v>4.0799999999999996E-2</v>
      </c>
      <c r="L63" s="215">
        <f t="shared" ref="L63:L66" ca="1" si="65">C63/C$15</f>
        <v>6.5539487999999997</v>
      </c>
      <c r="M63" s="215">
        <f t="shared" ref="M63:M66" ca="1" si="66">C63/C$16</f>
        <v>9.3627840000000013</v>
      </c>
      <c r="O63" s="214">
        <f ca="1">D63/D$33</f>
        <v>3.8361496212642891E-2</v>
      </c>
      <c r="P63" s="215">
        <f ca="1">D63/D$15</f>
        <v>6.685027776000001</v>
      </c>
      <c r="Q63" s="215">
        <f t="shared" ref="Q63:Q66" ca="1" si="67">D63/D$16</f>
        <v>8.9133703680000007</v>
      </c>
      <c r="S63" s="214">
        <f ca="1">E63/E$33</f>
        <v>3.6693654976356169E-2</v>
      </c>
      <c r="T63" s="215">
        <f ca="1">E63/E$15</f>
        <v>6.81872833152</v>
      </c>
      <c r="U63" s="215">
        <f t="shared" ref="U63:U66" ca="1" si="68">E63/E$16</f>
        <v>8.6313016854683546</v>
      </c>
      <c r="W63" s="214">
        <f ca="1">F63/F$33</f>
        <v>3.4456447784269664E-2</v>
      </c>
      <c r="X63" s="215">
        <f ca="1">F63/F$15</f>
        <v>6.9551028981504004</v>
      </c>
      <c r="Y63" s="215">
        <f t="shared" ref="Y63:Y66" ca="1" si="69">F63/F$16</f>
        <v>8.5865467878400015</v>
      </c>
      <c r="AA63" s="214">
        <f ca="1">G63/G$33</f>
        <v>3.6705223229572106E-2</v>
      </c>
      <c r="AB63" s="215">
        <f ca="1">G63/G$15</f>
        <v>7.0942049561134084</v>
      </c>
      <c r="AC63" s="215">
        <f t="shared" ref="AC63:AC66" ca="1" si="70">G63/G$16</f>
        <v>8.9800062735612762</v>
      </c>
      <c r="AE63" s="214">
        <f ca="1">H63/H$33</f>
        <v>3.7235551874082382E-2</v>
      </c>
      <c r="AF63" s="215">
        <f ca="1">H63/H$15</f>
        <v>7.2360890552356762</v>
      </c>
      <c r="AG63" s="215">
        <f ca="1">H63/H$16</f>
        <v>9.0451113190445955</v>
      </c>
    </row>
    <row r="64" spans="1:33" ht="15" customHeight="1" x14ac:dyDescent="0.25">
      <c r="A64" s="24"/>
      <c r="B64" s="139" t="s">
        <v>7</v>
      </c>
      <c r="C64" s="136">
        <f ca="1">C$33*Inputs!$J79+(Inputs!$H79*C$15+Inputs!$I79*C$16)*C$10</f>
        <v>89707.174200000009</v>
      </c>
      <c r="D64" s="136">
        <f ca="1">D$33*Inputs!$J79+(Inputs!$H79*D$15+Inputs!$I79*D$16)*D$10</f>
        <v>91501.317684000009</v>
      </c>
      <c r="E64" s="136">
        <f ca="1">E$33*Inputs!$J79+(Inputs!$H79*E$15+Inputs!$I79*E$16)*E$10</f>
        <v>93331.344037679999</v>
      </c>
      <c r="F64" s="136">
        <f ca="1">F$33*Inputs!$J79+(Inputs!$H79*F$15+Inputs!$I79*F$16)*F$10</f>
        <v>95197.97091843361</v>
      </c>
      <c r="G64" s="136">
        <f ca="1">G$33*Inputs!$J79+(Inputs!$H79*G$15+Inputs!$I79*G$16)*G$10</f>
        <v>97101.930336802281</v>
      </c>
      <c r="H64" s="136">
        <f ca="1">H$33*Inputs!$J79+(Inputs!$H79*H$15+Inputs!$I79*H$16)*H$10</f>
        <v>99043.968943538333</v>
      </c>
      <c r="I64" s="133" t="s">
        <v>15</v>
      </c>
      <c r="K64" s="214">
        <f t="shared" ca="1" si="64"/>
        <v>6.1200000000000004E-3</v>
      </c>
      <c r="L64" s="215">
        <f t="shared" ca="1" si="65"/>
        <v>0.98309232000000013</v>
      </c>
      <c r="M64" s="215">
        <f t="shared" ca="1" si="66"/>
        <v>1.4044176000000004</v>
      </c>
      <c r="O64" s="214">
        <f ca="1">D64/D$33</f>
        <v>5.7542244318964332E-3</v>
      </c>
      <c r="P64" s="215">
        <f ca="1">D64/D$15</f>
        <v>1.0027541664000001</v>
      </c>
      <c r="Q64" s="215">
        <f t="shared" ca="1" si="67"/>
        <v>1.3370055552000002</v>
      </c>
      <c r="S64" s="214">
        <f ca="1">E64/E$33</f>
        <v>5.5040482464534246E-3</v>
      </c>
      <c r="T64" s="215">
        <f ca="1">E64/E$15</f>
        <v>1.0228092497279999</v>
      </c>
      <c r="U64" s="215">
        <f t="shared" ca="1" si="68"/>
        <v>1.2946952528202531</v>
      </c>
      <c r="W64" s="214">
        <f ca="1">F64/F$33</f>
        <v>5.1684671676404496E-3</v>
      </c>
      <c r="X64" s="215">
        <f ca="1">F64/F$15</f>
        <v>1.0432654347225601</v>
      </c>
      <c r="Y64" s="215">
        <f t="shared" ca="1" si="69"/>
        <v>1.2879820181760002</v>
      </c>
      <c r="AA64" s="214">
        <f ca="1">G64/G$33</f>
        <v>5.5057834844358172E-3</v>
      </c>
      <c r="AB64" s="215">
        <f ca="1">G64/G$15</f>
        <v>1.0641307434170113</v>
      </c>
      <c r="AC64" s="215">
        <f t="shared" ca="1" si="70"/>
        <v>1.3470009410341914</v>
      </c>
      <c r="AE64" s="214">
        <f ca="1">H64/H$33</f>
        <v>5.5853327811123581E-3</v>
      </c>
      <c r="AF64" s="215">
        <f ca="1">H64/H$15</f>
        <v>1.0854133582853516</v>
      </c>
      <c r="AG64" s="215">
        <f ca="1">H64/H$16</f>
        <v>1.3567666978566895</v>
      </c>
    </row>
    <row r="65" spans="1:33" ht="15" customHeight="1" x14ac:dyDescent="0.25">
      <c r="A65" s="24"/>
      <c r="B65" s="139" t="s">
        <v>84</v>
      </c>
      <c r="C65" s="136">
        <f ca="1">C$33*Inputs!$J80+(Inputs!$H80*C$15+Inputs!$I80*C$16)*C$10</f>
        <v>112133.96775</v>
      </c>
      <c r="D65" s="136">
        <f ca="1">D$33*Inputs!$J80+(Inputs!$H80*D$15+Inputs!$I80*D$16)*D$10</f>
        <v>114376.647105</v>
      </c>
      <c r="E65" s="136">
        <f ca="1">E$33*Inputs!$J80+(Inputs!$H80*E$15+Inputs!$I80*E$16)*E$10</f>
        <v>116664.18004709999</v>
      </c>
      <c r="F65" s="136">
        <f ca="1">F$33*Inputs!$J80+(Inputs!$H80*F$15+Inputs!$I80*F$16)*F$10</f>
        <v>118997.463648042</v>
      </c>
      <c r="G65" s="136">
        <f ca="1">G$33*Inputs!$J80+(Inputs!$H80*G$15+Inputs!$I80*G$16)*G$10</f>
        <v>121377.41292100283</v>
      </c>
      <c r="H65" s="136">
        <f ca="1">H$33*Inputs!$J80+(Inputs!$H80*H$15+Inputs!$I80*H$16)*H$10</f>
        <v>123804.9611794229</v>
      </c>
      <c r="I65" s="133" t="s">
        <v>15</v>
      </c>
      <c r="K65" s="214">
        <f t="shared" ca="1" si="64"/>
        <v>7.6499999999999997E-3</v>
      </c>
      <c r="L65" s="215">
        <f t="shared" ca="1" si="65"/>
        <v>1.2288653999999999</v>
      </c>
      <c r="M65" s="215">
        <f t="shared" ca="1" si="66"/>
        <v>1.7555220000000002</v>
      </c>
      <c r="O65" s="214">
        <f ca="1">D65/D$33</f>
        <v>7.1927805398705408E-3</v>
      </c>
      <c r="P65" s="215">
        <f ca="1">D65/D$15</f>
        <v>1.2534427079999999</v>
      </c>
      <c r="Q65" s="215">
        <f t="shared" ca="1" si="67"/>
        <v>1.671256944</v>
      </c>
      <c r="S65" s="214">
        <f ca="1">E65/E$33</f>
        <v>6.8800603080667799E-3</v>
      </c>
      <c r="T65" s="215">
        <f ca="1">E65/E$15</f>
        <v>1.2785115621599998</v>
      </c>
      <c r="U65" s="215">
        <f t="shared" ca="1" si="68"/>
        <v>1.6183690660253163</v>
      </c>
      <c r="W65" s="214">
        <f ca="1">F65/F$33</f>
        <v>6.460583959550562E-3</v>
      </c>
      <c r="X65" s="215">
        <f ca="1">F65/F$15</f>
        <v>1.3040817934032001</v>
      </c>
      <c r="Y65" s="215">
        <f t="shared" ca="1" si="69"/>
        <v>1.6099775227199999</v>
      </c>
      <c r="AA65" s="214">
        <f ca="1">G65/G$33</f>
        <v>6.88222935554477E-3</v>
      </c>
      <c r="AB65" s="215">
        <f ca="1">G65/G$15</f>
        <v>1.3301634292712639</v>
      </c>
      <c r="AC65" s="215">
        <f t="shared" ca="1" si="70"/>
        <v>1.6837511762927391</v>
      </c>
      <c r="AE65" s="214">
        <f ca="1">H65/H$33</f>
        <v>6.9816659763904465E-3</v>
      </c>
      <c r="AF65" s="215">
        <f ca="1">H65/H$15</f>
        <v>1.3567666978566892</v>
      </c>
      <c r="AG65" s="215">
        <f ca="1">H65/H$16</f>
        <v>1.6959583723208616</v>
      </c>
    </row>
    <row r="66" spans="1:33" ht="15" customHeight="1" x14ac:dyDescent="0.25">
      <c r="A66" s="24"/>
      <c r="B66" s="168" t="s">
        <v>109</v>
      </c>
      <c r="C66" s="136">
        <f ca="1">SUM(C63:C65)</f>
        <v>799888.96994999994</v>
      </c>
      <c r="D66" s="136">
        <f t="shared" ref="D66:H66" ca="1" si="71">SUM(D63:D65)</f>
        <v>815886.74934900005</v>
      </c>
      <c r="E66" s="136">
        <f t="shared" ca="1" si="71"/>
        <v>832204.48433597991</v>
      </c>
      <c r="F66" s="136">
        <f t="shared" ca="1" si="71"/>
        <v>848848.57402269961</v>
      </c>
      <c r="G66" s="136">
        <f t="shared" ca="1" si="71"/>
        <v>865825.54550315358</v>
      </c>
      <c r="H66" s="136">
        <f t="shared" ca="1" si="71"/>
        <v>883142.05641321675</v>
      </c>
      <c r="I66" s="133" t="s">
        <v>15</v>
      </c>
      <c r="K66" s="214">
        <f t="shared" ca="1" si="64"/>
        <v>5.4569999999999994E-2</v>
      </c>
      <c r="L66" s="215">
        <f t="shared" ca="1" si="65"/>
        <v>8.7659065199999997</v>
      </c>
      <c r="M66" s="215">
        <f t="shared" ca="1" si="66"/>
        <v>12.522723600000001</v>
      </c>
      <c r="O66" s="214">
        <f ca="1">D66/D$33</f>
        <v>5.1308501184409862E-2</v>
      </c>
      <c r="P66" s="215">
        <f ca="1">D66/D$15</f>
        <v>8.9412246504000006</v>
      </c>
      <c r="Q66" s="215">
        <f t="shared" ca="1" si="67"/>
        <v>11.921632867200001</v>
      </c>
      <c r="S66" s="214">
        <f ca="1">E66/E$33</f>
        <v>4.9077763530876367E-2</v>
      </c>
      <c r="T66" s="215">
        <f ca="1">E66/E$15</f>
        <v>9.1200491434079982</v>
      </c>
      <c r="U66" s="215">
        <f t="shared" ca="1" si="68"/>
        <v>11.544366004313924</v>
      </c>
      <c r="W66" s="214">
        <f ca="1">F66/F$33</f>
        <v>4.6085498911460673E-2</v>
      </c>
      <c r="X66" s="215">
        <f ca="1">F66/F$15</f>
        <v>9.3024501262761596</v>
      </c>
      <c r="Y66" s="215">
        <f t="shared" ca="1" si="69"/>
        <v>11.484506328736</v>
      </c>
      <c r="AA66" s="214">
        <f ca="1">G66/G$33</f>
        <v>4.9093236069552695E-2</v>
      </c>
      <c r="AB66" s="215">
        <f ca="1">G66/G$15</f>
        <v>9.4884991288016831</v>
      </c>
      <c r="AC66" s="215">
        <f t="shared" ca="1" si="70"/>
        <v>12.010758390888206</v>
      </c>
      <c r="AE66" s="214">
        <f ca="1">H66/H$33</f>
        <v>4.9802550631585188E-2</v>
      </c>
      <c r="AF66" s="215">
        <f ca="1">H66/H$15</f>
        <v>9.6782691113777179</v>
      </c>
      <c r="AG66" s="215">
        <f ca="1">H66/H$16</f>
        <v>12.097836389222147</v>
      </c>
    </row>
    <row r="67" spans="1:33" ht="15" customHeight="1" x14ac:dyDescent="0.25">
      <c r="A67" s="24"/>
      <c r="B67" s="133"/>
      <c r="C67" s="133"/>
      <c r="D67" s="133"/>
      <c r="E67" s="133"/>
      <c r="F67" s="133"/>
      <c r="G67" s="133"/>
      <c r="H67" s="133"/>
      <c r="I67" s="133"/>
    </row>
    <row r="68" spans="1:33" ht="15" customHeight="1" x14ac:dyDescent="0.25">
      <c r="A68" s="24"/>
      <c r="B68" s="133" t="s">
        <v>110</v>
      </c>
      <c r="C68" s="136">
        <f ca="1">C60-C66</f>
        <v>3543886.1779999994</v>
      </c>
      <c r="D68" s="136">
        <f t="shared" ref="D68:H68" ca="1" si="72">D60-D66</f>
        <v>4174819.3908884991</v>
      </c>
      <c r="E68" s="136">
        <f t="shared" ca="1" si="72"/>
        <v>4451104.3305806275</v>
      </c>
      <c r="F68" s="136">
        <f t="shared" ca="1" si="72"/>
        <v>4852334.3719227836</v>
      </c>
      <c r="G68" s="136">
        <f t="shared" ca="1" si="72"/>
        <v>4607460.4265498696</v>
      </c>
      <c r="H68" s="136">
        <f t="shared" ca="1" si="72"/>
        <v>4787060.0455354145</v>
      </c>
      <c r="I68" s="133" t="s">
        <v>15</v>
      </c>
      <c r="K68" s="214">
        <f t="shared" ref="K68" ca="1" si="73">C68/C$33</f>
        <v>0.24177089070942998</v>
      </c>
      <c r="L68" s="215">
        <f t="shared" ref="L68" ca="1" si="74">C68/C$15</f>
        <v>38.837108799999996</v>
      </c>
      <c r="M68" s="215">
        <f ca="1">C68/C$16</f>
        <v>55.481583999999998</v>
      </c>
      <c r="O68" s="214">
        <f ca="1">D68/D$33</f>
        <v>0.26254100318826601</v>
      </c>
      <c r="P68" s="215">
        <f ca="1">D68/D$15</f>
        <v>45.751445379599993</v>
      </c>
      <c r="Q68" s="215">
        <f ca="1">D68/D$16</f>
        <v>61.001927172799988</v>
      </c>
      <c r="S68" s="214">
        <f ca="1">E68/E$33</f>
        <v>0.26249587679378861</v>
      </c>
      <c r="T68" s="215">
        <f ca="1">E68/E$15</f>
        <v>48.779225540609616</v>
      </c>
      <c r="U68" s="215">
        <f ca="1">E68/E$16</f>
        <v>61.745855114695715</v>
      </c>
      <c r="W68" s="214">
        <f ca="1">F68/F$33</f>
        <v>0.26344186378913637</v>
      </c>
      <c r="X68" s="215">
        <f ca="1">F68/F$15</f>
        <v>53.176267089564753</v>
      </c>
      <c r="Y68" s="215">
        <f ca="1">F68/F$16</f>
        <v>65.649712456252786</v>
      </c>
      <c r="AA68" s="214">
        <f ca="1">G68/G$33</f>
        <v>0.26124794258673306</v>
      </c>
      <c r="AB68" s="215">
        <f ca="1">G68/G$15</f>
        <v>50.492717003286245</v>
      </c>
      <c r="AC68" s="215">
        <f ca="1">G68/G$16</f>
        <v>63.914831649729422</v>
      </c>
      <c r="AE68" s="214">
        <f ca="1">H68/H$33</f>
        <v>0.26995407880639583</v>
      </c>
      <c r="AF68" s="215">
        <f ca="1">H68/H$15</f>
        <v>52.460932005867555</v>
      </c>
      <c r="AG68" s="215">
        <f ca="1">H68/H$16</f>
        <v>65.576165007334438</v>
      </c>
    </row>
    <row r="69" spans="1:33" ht="15" customHeight="1" x14ac:dyDescent="0.25">
      <c r="A69" s="24"/>
      <c r="B69" s="133"/>
      <c r="C69" s="133"/>
      <c r="D69" s="133"/>
      <c r="E69" s="133"/>
      <c r="F69" s="133"/>
      <c r="G69" s="133"/>
      <c r="H69" s="133"/>
      <c r="I69" s="133"/>
    </row>
    <row r="70" spans="1:33" ht="15" customHeight="1" x14ac:dyDescent="0.25">
      <c r="A70" s="24"/>
      <c r="B70" s="168" t="s">
        <v>85</v>
      </c>
      <c r="C70" s="133"/>
      <c r="D70" s="133"/>
      <c r="E70" s="133"/>
      <c r="F70" s="133"/>
      <c r="G70" s="133"/>
      <c r="H70" s="133"/>
      <c r="I70" s="133"/>
    </row>
    <row r="71" spans="1:33" ht="15" customHeight="1" x14ac:dyDescent="0.25">
      <c r="A71" s="24"/>
      <c r="B71" s="139" t="s">
        <v>86</v>
      </c>
      <c r="C71" s="136">
        <f ca="1">C$33*Inputs!$J83+(Inputs!$H83*C$15+Inputs!$I83*C$16)*C$10</f>
        <v>586321.4</v>
      </c>
      <c r="D71" s="136">
        <f ca="1">D$33*Inputs!$J83+(Inputs!$H83*D$15+Inputs!$I83*D$16)*D$10</f>
        <v>636063.6</v>
      </c>
      <c r="E71" s="136">
        <f ca="1">E$33*Inputs!$J83+(Inputs!$H83*E$15+Inputs!$I83*E$16)*E$10</f>
        <v>678274.17099999997</v>
      </c>
      <c r="F71" s="136">
        <f ca="1">F$33*Inputs!$J83+(Inputs!$H83*F$15+Inputs!$I83*F$16)*F$10</f>
        <v>736759.8</v>
      </c>
      <c r="G71" s="136">
        <f ca="1">G$33*Inputs!$J83+(Inputs!$H83*G$15+Inputs!$I83*G$16)*G$10</f>
        <v>705454.04200000002</v>
      </c>
      <c r="H71" s="136">
        <f ca="1">H$33*Inputs!$J83+(Inputs!$H83*H$15+Inputs!$I83*H$16)*H$10</f>
        <v>709314.72</v>
      </c>
      <c r="I71" s="133" t="s">
        <v>15</v>
      </c>
      <c r="K71" s="214">
        <f t="shared" ref="K71:K72" ca="1" si="75">C71/C$33</f>
        <v>0.04</v>
      </c>
      <c r="L71" s="215">
        <f t="shared" ref="L71:L72" ca="1" si="76">C71/C$15</f>
        <v>6.42544</v>
      </c>
      <c r="M71" s="215">
        <f t="shared" ref="M71:M72" ca="1" si="77">C71/C$16</f>
        <v>9.1792000000000016</v>
      </c>
      <c r="O71" s="214">
        <f ca="1">D71/D$33</f>
        <v>0.04</v>
      </c>
      <c r="P71" s="215">
        <f ca="1">D71/D$15</f>
        <v>6.9705599999999999</v>
      </c>
      <c r="Q71" s="215">
        <f t="shared" ref="Q71:Q72" ca="1" si="78">D71/D$16</f>
        <v>9.2940799999999992</v>
      </c>
      <c r="S71" s="214">
        <f ca="1">E71/E$33</f>
        <v>0.04</v>
      </c>
      <c r="T71" s="215">
        <f ca="1">E71/E$15</f>
        <v>7.4331415999999999</v>
      </c>
      <c r="U71" s="215">
        <f t="shared" ref="U71:U72" ca="1" si="79">E71/E$16</f>
        <v>9.4090399999999992</v>
      </c>
      <c r="W71" s="214">
        <f ca="1">F71/F$33</f>
        <v>0.04</v>
      </c>
      <c r="X71" s="215">
        <f ca="1">F71/F$15</f>
        <v>8.0740800000000004</v>
      </c>
      <c r="Y71" s="215">
        <f t="shared" ref="Y71:Y72" ca="1" si="80">F71/F$16</f>
        <v>9.968</v>
      </c>
      <c r="AA71" s="214">
        <f ca="1">G71/G$33</f>
        <v>0.04</v>
      </c>
      <c r="AB71" s="215">
        <f ca="1">G71/G$15</f>
        <v>7.7310032</v>
      </c>
      <c r="AC71" s="215">
        <f t="shared" ref="AC71:AC72" ca="1" si="81">G71/G$16</f>
        <v>9.7860800000000001</v>
      </c>
      <c r="AE71" s="214">
        <f ca="1">H71/H$33</f>
        <v>0.04</v>
      </c>
      <c r="AF71" s="215">
        <f ca="1">H71/H$15</f>
        <v>7.7733119999999998</v>
      </c>
      <c r="AG71" s="215">
        <f ca="1">H71/H$16</f>
        <v>9.7166399999999999</v>
      </c>
    </row>
    <row r="72" spans="1:33" ht="15" customHeight="1" x14ac:dyDescent="0.25">
      <c r="A72" s="24"/>
      <c r="B72" s="168" t="s">
        <v>111</v>
      </c>
      <c r="C72" s="136">
        <f ca="1">SUM(C71)</f>
        <v>586321.4</v>
      </c>
      <c r="D72" s="136">
        <f t="shared" ref="D72:H72" ca="1" si="82">SUM(D71)</f>
        <v>636063.6</v>
      </c>
      <c r="E72" s="136">
        <f t="shared" ca="1" si="82"/>
        <v>678274.17099999997</v>
      </c>
      <c r="F72" s="136">
        <f t="shared" ca="1" si="82"/>
        <v>736759.8</v>
      </c>
      <c r="G72" s="136">
        <f t="shared" ca="1" si="82"/>
        <v>705454.04200000002</v>
      </c>
      <c r="H72" s="136">
        <f t="shared" ca="1" si="82"/>
        <v>709314.72</v>
      </c>
      <c r="I72" s="133" t="s">
        <v>15</v>
      </c>
      <c r="K72" s="214">
        <f t="shared" ca="1" si="75"/>
        <v>0.04</v>
      </c>
      <c r="L72" s="215">
        <f t="shared" ca="1" si="76"/>
        <v>6.42544</v>
      </c>
      <c r="M72" s="215">
        <f t="shared" ca="1" si="77"/>
        <v>9.1792000000000016</v>
      </c>
      <c r="N72" s="13"/>
      <c r="O72" s="214">
        <f ca="1">D72/D$33</f>
        <v>0.04</v>
      </c>
      <c r="P72" s="215">
        <f ca="1">D72/D$15</f>
        <v>6.9705599999999999</v>
      </c>
      <c r="Q72" s="215">
        <f t="shared" ca="1" si="78"/>
        <v>9.2940799999999992</v>
      </c>
      <c r="R72" s="13"/>
      <c r="S72" s="214">
        <f ca="1">E72/E$33</f>
        <v>0.04</v>
      </c>
      <c r="T72" s="215">
        <f ca="1">E72/E$15</f>
        <v>7.4331415999999999</v>
      </c>
      <c r="U72" s="215">
        <f t="shared" ca="1" si="79"/>
        <v>9.4090399999999992</v>
      </c>
      <c r="V72" s="13"/>
      <c r="W72" s="214">
        <f ca="1">F72/F$33</f>
        <v>0.04</v>
      </c>
      <c r="X72" s="215">
        <f ca="1">F72/F$15</f>
        <v>8.0740800000000004</v>
      </c>
      <c r="Y72" s="215">
        <f t="shared" ca="1" si="80"/>
        <v>9.968</v>
      </c>
      <c r="Z72" s="13"/>
      <c r="AA72" s="214">
        <f ca="1">G72/G$33</f>
        <v>0.04</v>
      </c>
      <c r="AB72" s="215">
        <f ca="1">G72/G$15</f>
        <v>7.7310032</v>
      </c>
      <c r="AC72" s="215">
        <f t="shared" ca="1" si="81"/>
        <v>9.7860800000000001</v>
      </c>
      <c r="AD72" s="13"/>
      <c r="AE72" s="214">
        <f ca="1">H72/H$33</f>
        <v>0.04</v>
      </c>
      <c r="AF72" s="215">
        <f ca="1">H72/H$15</f>
        <v>7.7733119999999998</v>
      </c>
      <c r="AG72" s="215">
        <f ca="1">H72/H$16</f>
        <v>9.7166399999999999</v>
      </c>
    </row>
    <row r="73" spans="1:33" ht="15" customHeight="1" x14ac:dyDescent="0.25">
      <c r="A73" s="24"/>
      <c r="B73" s="133"/>
      <c r="C73" s="133"/>
      <c r="D73" s="133"/>
      <c r="E73" s="133"/>
      <c r="F73" s="133"/>
      <c r="G73" s="133"/>
      <c r="H73" s="133"/>
      <c r="I73" s="133"/>
      <c r="K73" s="13"/>
      <c r="L73" s="13"/>
      <c r="M73" s="13"/>
      <c r="N73" s="13"/>
      <c r="O73" s="13"/>
      <c r="P73" s="13"/>
      <c r="Q73" s="13"/>
      <c r="R73" s="13"/>
      <c r="S73" s="13"/>
      <c r="T73" s="13"/>
      <c r="U73" s="13"/>
      <c r="V73" s="13"/>
      <c r="W73" s="13"/>
      <c r="X73" s="13"/>
      <c r="Y73" s="13"/>
      <c r="Z73" s="13"/>
      <c r="AA73" s="13"/>
      <c r="AB73" s="13"/>
      <c r="AC73" s="13"/>
      <c r="AD73" s="13"/>
      <c r="AE73" s="13"/>
      <c r="AF73" s="13"/>
      <c r="AG73" s="13"/>
    </row>
    <row r="74" spans="1:33" ht="15" customHeight="1" x14ac:dyDescent="0.25">
      <c r="A74" s="24"/>
      <c r="B74" s="133" t="s">
        <v>31</v>
      </c>
      <c r="C74" s="136">
        <f ca="1">C68-C72</f>
        <v>2957564.7779999995</v>
      </c>
      <c r="D74" s="136">
        <f t="shared" ref="D74:H74" ca="1" si="83">D68-D72</f>
        <v>3538755.790888499</v>
      </c>
      <c r="E74" s="136">
        <f t="shared" ca="1" si="83"/>
        <v>3772830.1595806275</v>
      </c>
      <c r="F74" s="136">
        <f t="shared" ca="1" si="83"/>
        <v>4115574.5719227837</v>
      </c>
      <c r="G74" s="136">
        <f t="shared" ca="1" si="83"/>
        <v>3902006.3845498697</v>
      </c>
      <c r="H74" s="136">
        <f t="shared" ca="1" si="83"/>
        <v>4077745.3255354147</v>
      </c>
      <c r="I74" s="133" t="s">
        <v>15</v>
      </c>
      <c r="K74" s="214">
        <f t="shared" ref="K74" ca="1" si="84">C74/C$33</f>
        <v>0.20177089070942997</v>
      </c>
      <c r="L74" s="215">
        <f t="shared" ref="L74" ca="1" si="85">C74/C$15</f>
        <v>32.411668799999994</v>
      </c>
      <c r="M74" s="215">
        <f ca="1">C74/C$16</f>
        <v>46.302383999999996</v>
      </c>
      <c r="N74" s="13"/>
      <c r="O74" s="214">
        <f ca="1">D74/D$33</f>
        <v>0.22254100318826603</v>
      </c>
      <c r="P74" s="215">
        <f ca="1">D74/D$15</f>
        <v>38.780885379599987</v>
      </c>
      <c r="Q74" s="215">
        <f ca="1">D74/D$16</f>
        <v>51.707847172799987</v>
      </c>
      <c r="R74" s="13"/>
      <c r="S74" s="214">
        <f ca="1">E74/E$33</f>
        <v>0.22249587679378863</v>
      </c>
      <c r="T74" s="215">
        <f ca="1">E74/E$15</f>
        <v>41.346083940609617</v>
      </c>
      <c r="U74" s="215">
        <f ca="1">E74/E$16</f>
        <v>52.336815114695717</v>
      </c>
      <c r="V74" s="13"/>
      <c r="W74" s="214">
        <f ca="1">F74/F$33</f>
        <v>0.22344186378913636</v>
      </c>
      <c r="X74" s="215">
        <f ca="1">F74/F$15</f>
        <v>45.102187089564751</v>
      </c>
      <c r="Y74" s="215">
        <f ca="1">F74/F$16</f>
        <v>55.681712456252782</v>
      </c>
      <c r="Z74" s="13"/>
      <c r="AA74" s="214">
        <f ca="1">G74/G$33</f>
        <v>0.22124794258673308</v>
      </c>
      <c r="AB74" s="215">
        <f ca="1">G74/G$15</f>
        <v>42.761713803286241</v>
      </c>
      <c r="AC74" s="215">
        <f ca="1">G74/G$16</f>
        <v>54.128751649729423</v>
      </c>
      <c r="AD74" s="13"/>
      <c r="AE74" s="214">
        <f ca="1">H74/H$33</f>
        <v>0.22995407880639582</v>
      </c>
      <c r="AF74" s="215">
        <f ca="1">H74/H$15</f>
        <v>44.687620005867558</v>
      </c>
      <c r="AG74" s="215">
        <f ca="1">H74/H$16</f>
        <v>55.859525007334447</v>
      </c>
    </row>
    <row r="75" spans="1:33" ht="15" customHeight="1" x14ac:dyDescent="0.25">
      <c r="A75" s="24"/>
      <c r="B75" s="146"/>
      <c r="C75" s="133"/>
      <c r="D75" s="133"/>
      <c r="E75" s="133"/>
      <c r="F75" s="133"/>
      <c r="G75" s="133"/>
      <c r="H75" s="133"/>
      <c r="I75" s="133"/>
      <c r="K75" s="13"/>
      <c r="L75" s="13"/>
      <c r="M75" s="13"/>
      <c r="N75" s="13"/>
      <c r="O75" s="13"/>
      <c r="P75" s="13"/>
      <c r="Q75" s="13"/>
      <c r="R75" s="13"/>
      <c r="S75" s="13"/>
      <c r="T75" s="13"/>
      <c r="U75" s="13"/>
      <c r="V75" s="13"/>
      <c r="W75" s="13"/>
      <c r="X75" s="13"/>
      <c r="Y75" s="13"/>
      <c r="Z75" s="13"/>
      <c r="AA75" s="13"/>
      <c r="AB75" s="13"/>
      <c r="AC75" s="13"/>
      <c r="AD75" s="13"/>
      <c r="AE75" s="13"/>
      <c r="AF75" s="13"/>
      <c r="AG75" s="13"/>
    </row>
    <row r="76" spans="1:33" ht="15" customHeight="1" x14ac:dyDescent="0.25">
      <c r="B76" s="146" t="s">
        <v>28</v>
      </c>
      <c r="C76" s="218">
        <f ca="1">C74</f>
        <v>2957564.7779999995</v>
      </c>
      <c r="D76" s="218">
        <f t="shared" ref="D76:H76" ca="1" si="86">D74</f>
        <v>3538755.790888499</v>
      </c>
      <c r="E76" s="218">
        <f t="shared" ca="1" si="86"/>
        <v>3772830.1595806275</v>
      </c>
      <c r="F76" s="218">
        <f t="shared" ca="1" si="86"/>
        <v>4115574.5719227837</v>
      </c>
      <c r="G76" s="218">
        <f t="shared" ca="1" si="86"/>
        <v>3902006.3845498697</v>
      </c>
      <c r="H76" s="218">
        <f t="shared" ca="1" si="86"/>
        <v>4077745.3255354147</v>
      </c>
      <c r="I76" s="133" t="s">
        <v>15</v>
      </c>
      <c r="K76" s="214">
        <f t="shared" ref="K76" ca="1" si="87">C76/C$33</f>
        <v>0.20177089070942997</v>
      </c>
      <c r="L76" s="215">
        <f t="shared" ref="L76" ca="1" si="88">C76/C$15</f>
        <v>32.411668799999994</v>
      </c>
      <c r="M76" s="215">
        <f ca="1">C76/C$16</f>
        <v>46.302383999999996</v>
      </c>
      <c r="N76" s="13"/>
      <c r="O76" s="214">
        <f ca="1">D76/D$33</f>
        <v>0.22254100318826603</v>
      </c>
      <c r="P76" s="215">
        <f ca="1">D76/D$15</f>
        <v>38.780885379599987</v>
      </c>
      <c r="Q76" s="215">
        <f ca="1">D76/D$16</f>
        <v>51.707847172799987</v>
      </c>
      <c r="R76" s="13"/>
      <c r="S76" s="214">
        <f ca="1">E76/E$33</f>
        <v>0.22249587679378863</v>
      </c>
      <c r="T76" s="215">
        <f ca="1">E76/E$15</f>
        <v>41.346083940609617</v>
      </c>
      <c r="U76" s="215">
        <f ca="1">E76/E$16</f>
        <v>52.336815114695717</v>
      </c>
      <c r="V76" s="13"/>
      <c r="W76" s="214">
        <f ca="1">F76/F$33</f>
        <v>0.22344186378913636</v>
      </c>
      <c r="X76" s="215">
        <f ca="1">F76/F$15</f>
        <v>45.102187089564751</v>
      </c>
      <c r="Y76" s="215">
        <f ca="1">F76/F$16</f>
        <v>55.681712456252782</v>
      </c>
      <c r="Z76" s="13"/>
      <c r="AA76" s="214">
        <f ca="1">G76/G$33</f>
        <v>0.22124794258673308</v>
      </c>
      <c r="AB76" s="215">
        <f ca="1">G76/G$15</f>
        <v>42.761713803286241</v>
      </c>
      <c r="AC76" s="215">
        <f ca="1">G76/G$16</f>
        <v>54.128751649729423</v>
      </c>
      <c r="AD76" s="13"/>
      <c r="AE76" s="214">
        <f ca="1">H76/H$33</f>
        <v>0.22995407880639582</v>
      </c>
      <c r="AF76" s="215">
        <f ca="1">H76/H$15</f>
        <v>44.687620005867558</v>
      </c>
      <c r="AG76" s="215">
        <f ca="1">H76/H$16</f>
        <v>55.859525007334447</v>
      </c>
    </row>
    <row r="77" spans="1:33" ht="15" customHeight="1" x14ac:dyDescent="0.25">
      <c r="K77" s="13"/>
      <c r="L77" s="13"/>
      <c r="M77" s="13"/>
      <c r="N77" s="13"/>
      <c r="O77" s="13"/>
      <c r="P77" s="13"/>
      <c r="Q77" s="13"/>
      <c r="R77" s="13"/>
      <c r="S77" s="13"/>
      <c r="T77" s="13"/>
      <c r="U77" s="13"/>
      <c r="V77" s="13"/>
      <c r="W77" s="13"/>
      <c r="X77" s="13"/>
      <c r="Y77" s="13"/>
      <c r="Z77" s="13"/>
      <c r="AA77" s="13"/>
      <c r="AB77" s="13"/>
      <c r="AC77" s="13"/>
      <c r="AD77" s="13"/>
      <c r="AE77" s="13"/>
      <c r="AF77" s="13"/>
      <c r="AG77" s="13"/>
    </row>
    <row r="78" spans="1:33" s="11" customFormat="1" ht="18" x14ac:dyDescent="0.2">
      <c r="C78" s="326"/>
      <c r="D78" s="326"/>
      <c r="E78" s="326"/>
      <c r="F78" s="326"/>
      <c r="G78" s="322"/>
      <c r="H78" s="323"/>
      <c r="I78" s="324"/>
      <c r="J78" s="326"/>
      <c r="K78" s="330"/>
      <c r="L78" s="330"/>
      <c r="M78" s="330"/>
      <c r="N78" s="330"/>
      <c r="O78" s="330"/>
      <c r="P78" s="330"/>
      <c r="Q78" s="330"/>
      <c r="R78" s="330"/>
      <c r="S78" s="330"/>
      <c r="T78" s="330"/>
      <c r="U78" s="330"/>
      <c r="V78" s="330"/>
      <c r="W78" s="330"/>
      <c r="X78" s="330"/>
      <c r="Y78" s="330"/>
      <c r="Z78" s="330"/>
      <c r="AA78" s="330"/>
      <c r="AB78" s="330"/>
      <c r="AC78" s="330"/>
      <c r="AD78" s="330"/>
      <c r="AE78" s="330"/>
      <c r="AF78" s="330"/>
      <c r="AG78" s="330"/>
    </row>
    <row r="79" spans="1:33" s="11" customFormat="1" ht="10.15" customHeight="1" x14ac:dyDescent="0.2">
      <c r="C79" s="326"/>
      <c r="D79" s="326"/>
      <c r="E79" s="326"/>
      <c r="F79" s="326"/>
      <c r="G79" s="323"/>
      <c r="H79" s="323"/>
      <c r="I79" s="320"/>
      <c r="J79" s="326"/>
      <c r="K79" s="330"/>
      <c r="L79" s="330"/>
      <c r="M79" s="330"/>
      <c r="N79" s="330"/>
      <c r="O79" s="330"/>
      <c r="P79" s="330"/>
      <c r="Q79" s="330"/>
      <c r="R79" s="330"/>
      <c r="S79" s="330"/>
      <c r="T79" s="330"/>
      <c r="U79" s="330"/>
      <c r="V79" s="330"/>
      <c r="W79" s="330"/>
      <c r="X79" s="330"/>
      <c r="Y79" s="330"/>
      <c r="Z79" s="330"/>
      <c r="AA79" s="330"/>
      <c r="AB79" s="330"/>
      <c r="AC79" s="330"/>
      <c r="AD79" s="330"/>
      <c r="AE79" s="330"/>
      <c r="AF79" s="330"/>
      <c r="AG79" s="330"/>
    </row>
    <row r="80" spans="1:33" s="11" customFormat="1" ht="15" customHeight="1" x14ac:dyDescent="0.2">
      <c r="C80" s="321"/>
      <c r="D80" s="323"/>
      <c r="E80" s="323"/>
      <c r="F80" s="419"/>
      <c r="G80" s="419"/>
      <c r="H80" s="419"/>
      <c r="I80" s="325"/>
      <c r="J80" s="325"/>
      <c r="K80" s="330"/>
      <c r="L80" s="330"/>
      <c r="M80" s="330"/>
      <c r="N80" s="330"/>
      <c r="O80" s="330"/>
      <c r="P80" s="330"/>
      <c r="Q80" s="330"/>
      <c r="R80" s="330"/>
      <c r="S80" s="330"/>
      <c r="T80" s="330"/>
      <c r="U80" s="330"/>
      <c r="V80" s="330"/>
      <c r="W80" s="330"/>
      <c r="X80" s="330"/>
      <c r="Y80" s="330"/>
      <c r="Z80" s="330"/>
      <c r="AA80" s="330"/>
      <c r="AB80" s="330"/>
      <c r="AC80" s="330"/>
      <c r="AD80" s="330"/>
      <c r="AE80" s="330"/>
      <c r="AF80" s="330"/>
      <c r="AG80" s="330"/>
    </row>
    <row r="81" spans="1:33" s="11" customFormat="1" ht="15" customHeight="1" x14ac:dyDescent="0.25">
      <c r="C81" s="321"/>
      <c r="D81" s="325"/>
      <c r="E81" s="323"/>
      <c r="F81" s="419"/>
      <c r="G81" s="419"/>
      <c r="H81" s="419"/>
      <c r="I81" s="325"/>
      <c r="J81" s="325"/>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23"/>
    </row>
    <row r="82" spans="1:33" s="11" customFormat="1" ht="15" customHeight="1" x14ac:dyDescent="0.25">
      <c r="C82" s="321"/>
      <c r="F82" s="319"/>
      <c r="G82" s="323"/>
      <c r="H82" s="326"/>
      <c r="I82" s="320"/>
      <c r="J82" s="319"/>
    </row>
    <row r="83" spans="1:33" s="11" customFormat="1" ht="18" x14ac:dyDescent="0.25">
      <c r="C83" s="319"/>
      <c r="F83" s="319"/>
      <c r="G83" s="319"/>
      <c r="H83" s="319"/>
      <c r="I83" s="319"/>
      <c r="J83" s="319"/>
    </row>
    <row r="84" spans="1:33" s="337" customFormat="1" ht="15" customHeight="1" x14ac:dyDescent="0.25">
      <c r="A84" s="11"/>
    </row>
    <row r="85" spans="1:33" ht="15" customHeight="1" x14ac:dyDescent="0.25">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row>
    <row r="86" spans="1:33" ht="15" customHeight="1" x14ac:dyDescent="0.25">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row>
    <row r="87" spans="1:33" ht="15" customHeight="1" x14ac:dyDescent="0.25">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row>
    <row r="88" spans="1:33" ht="15" customHeight="1" x14ac:dyDescent="0.25">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row>
    <row r="89" spans="1:33" ht="15" customHeight="1" x14ac:dyDescent="0.25">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row>
    <row r="94" spans="1:33" ht="15" customHeight="1" x14ac:dyDescent="0.25">
      <c r="F94" s="219"/>
    </row>
    <row r="95" spans="1:33" ht="15" customHeight="1" x14ac:dyDescent="0.25">
      <c r="F95" s="219"/>
    </row>
    <row r="96" spans="1:33" ht="15" customHeight="1" x14ac:dyDescent="0.25">
      <c r="F96" s="219"/>
    </row>
    <row r="97" spans="6:6" ht="15" customHeight="1" x14ac:dyDescent="0.25">
      <c r="F97" s="219"/>
    </row>
    <row r="98" spans="6:6" ht="15" customHeight="1" x14ac:dyDescent="0.25">
      <c r="F98" s="219"/>
    </row>
    <row r="99" spans="6:6" ht="15" customHeight="1" x14ac:dyDescent="0.25">
      <c r="F99" s="219"/>
    </row>
    <row r="100" spans="6:6" ht="15" customHeight="1" x14ac:dyDescent="0.25">
      <c r="F100" s="219"/>
    </row>
    <row r="101" spans="6:6" ht="15" customHeight="1" x14ac:dyDescent="0.25">
      <c r="F101" s="219"/>
    </row>
    <row r="102" spans="6:6" ht="15" customHeight="1" x14ac:dyDescent="0.25">
      <c r="F102" s="219"/>
    </row>
    <row r="103" spans="6:6" ht="15" customHeight="1" x14ac:dyDescent="0.25">
      <c r="F103" s="219"/>
    </row>
    <row r="104" spans="6:6" ht="15" customHeight="1" x14ac:dyDescent="0.25">
      <c r="F104" s="219"/>
    </row>
    <row r="105" spans="6:6" ht="15" customHeight="1" x14ac:dyDescent="0.25">
      <c r="F105" s="219"/>
    </row>
    <row r="106" spans="6:6" ht="15" customHeight="1" x14ac:dyDescent="0.25">
      <c r="F106" s="219"/>
    </row>
    <row r="107" spans="6:6" ht="15" customHeight="1" x14ac:dyDescent="0.25">
      <c r="F107" s="219"/>
    </row>
    <row r="108" spans="6:6" ht="15" customHeight="1" x14ac:dyDescent="0.25">
      <c r="F108" s="219"/>
    </row>
    <row r="109" spans="6:6" ht="15" customHeight="1" x14ac:dyDescent="0.25">
      <c r="F109" s="219"/>
    </row>
    <row r="110" spans="6:6" ht="15" customHeight="1" x14ac:dyDescent="0.25">
      <c r="F110" s="219"/>
    </row>
    <row r="111" spans="6:6" ht="15" customHeight="1" x14ac:dyDescent="0.25">
      <c r="F111" s="219"/>
    </row>
    <row r="112" spans="6:6" ht="15" customHeight="1" x14ac:dyDescent="0.25">
      <c r="F112" s="219"/>
    </row>
    <row r="113" spans="6:6" ht="15" customHeight="1" x14ac:dyDescent="0.25">
      <c r="F113" s="219"/>
    </row>
    <row r="114" spans="6:6" ht="15" customHeight="1" x14ac:dyDescent="0.25">
      <c r="F114" s="219"/>
    </row>
    <row r="115" spans="6:6" ht="15" customHeight="1" x14ac:dyDescent="0.25">
      <c r="F115" s="219"/>
    </row>
  </sheetData>
  <mergeCells count="11">
    <mergeCell ref="F81:H81"/>
    <mergeCell ref="AA7:AC7"/>
    <mergeCell ref="AE7:AG7"/>
    <mergeCell ref="C4:D4"/>
    <mergeCell ref="E4:F4"/>
    <mergeCell ref="C7:H7"/>
    <mergeCell ref="K7:M7"/>
    <mergeCell ref="O7:Q7"/>
    <mergeCell ref="S7:U7"/>
    <mergeCell ref="W7:Y7"/>
    <mergeCell ref="F80:H80"/>
  </mergeCells>
  <dataValidations count="1">
    <dataValidation allowBlank="1" showInputMessage="1" showErrorMessage="1" sqref="H4" xr:uid="{84816CC5-7898-4569-BB8A-CE2A3B932C91}"/>
  </dataValidations>
  <pageMargins left="0.7" right="0.7" top="0.75" bottom="0.75" header="0.3" footer="0.3"/>
  <pageSetup scale="36" fitToHeight="0" orientation="landscape"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FB78-1AFE-41A4-B17F-F55839773C68}">
  <sheetPr codeName="Sheet10">
    <tabColor rgb="FFC00000"/>
    <pageSetUpPr fitToPage="1"/>
  </sheetPr>
  <dimension ref="A1:J41"/>
  <sheetViews>
    <sheetView tabSelected="1" workbookViewId="0">
      <selection activeCell="G28" sqref="G28"/>
    </sheetView>
  </sheetViews>
  <sheetFormatPr defaultColWidth="9.140625" defaultRowHeight="18" x14ac:dyDescent="0.25"/>
  <cols>
    <col min="1" max="1" width="4.28515625" style="14" customWidth="1"/>
    <col min="2" max="2" width="42.7109375" style="210" customWidth="1"/>
    <col min="3" max="8" width="16.7109375" style="210" customWidth="1"/>
    <col min="9" max="9" width="2" style="210" bestFit="1" customWidth="1"/>
    <col min="10" max="10" width="13.28515625" style="210" bestFit="1" customWidth="1"/>
    <col min="11" max="16384" width="9.140625" style="210"/>
  </cols>
  <sheetData>
    <row r="1" spans="1:10" s="16" customFormat="1" ht="14.25" x14ac:dyDescent="0.2"/>
    <row r="2" spans="1:10" ht="20.25" x14ac:dyDescent="0.3">
      <c r="B2" s="18" t="str">
        <f>Inputs!B2</f>
        <v>Comparing Complex Deal Structures</v>
      </c>
      <c r="C2" s="18"/>
      <c r="D2" s="18"/>
      <c r="E2" s="18"/>
      <c r="F2" s="18"/>
      <c r="G2" s="18"/>
      <c r="H2" s="18"/>
      <c r="I2" s="18"/>
    </row>
    <row r="3" spans="1:10" s="14" customFormat="1" ht="15" customHeight="1" x14ac:dyDescent="0.25">
      <c r="B3" s="107"/>
      <c r="C3" s="109"/>
      <c r="D3" s="109"/>
      <c r="E3" s="109"/>
      <c r="G3" s="15"/>
      <c r="J3" s="15"/>
    </row>
    <row r="4" spans="1:10" ht="20.45" customHeight="1" x14ac:dyDescent="0.3">
      <c r="B4" s="128" t="s">
        <v>25</v>
      </c>
      <c r="C4" s="424" t="s">
        <v>320</v>
      </c>
      <c r="D4" s="424"/>
      <c r="E4" s="420" t="str">
        <f ca="1">Scenario!E4</f>
        <v>Best Case</v>
      </c>
      <c r="F4" s="425"/>
      <c r="G4" s="157"/>
      <c r="H4" s="129"/>
      <c r="I4" s="19"/>
    </row>
    <row r="5" spans="1:10" s="21" customFormat="1" ht="10.15" customHeight="1" x14ac:dyDescent="0.25">
      <c r="B5" s="22"/>
      <c r="C5" s="23"/>
      <c r="D5" s="23"/>
      <c r="E5" s="23"/>
      <c r="F5" s="14"/>
      <c r="G5" s="15"/>
      <c r="H5" s="14"/>
      <c r="I5" s="14"/>
      <c r="J5" s="23"/>
    </row>
    <row r="6" spans="1:10" s="21" customFormat="1" ht="10.15" customHeight="1" x14ac:dyDescent="0.25">
      <c r="B6" s="22"/>
      <c r="C6" s="23"/>
      <c r="D6" s="23"/>
      <c r="E6" s="23"/>
      <c r="F6" s="14"/>
      <c r="G6" s="15"/>
      <c r="H6" s="14"/>
      <c r="I6" s="14"/>
      <c r="J6" s="23"/>
    </row>
    <row r="7" spans="1:10" ht="15" customHeight="1" x14ac:dyDescent="0.25">
      <c r="A7" s="21"/>
      <c r="B7" s="133"/>
      <c r="C7" s="458" t="s">
        <v>23</v>
      </c>
      <c r="D7" s="458"/>
      <c r="E7" s="458"/>
      <c r="F7" s="458"/>
      <c r="G7" s="458"/>
      <c r="H7" s="458"/>
      <c r="I7" s="133"/>
    </row>
    <row r="8" spans="1:10" ht="15" customHeight="1" x14ac:dyDescent="0.25">
      <c r="A8" s="21"/>
      <c r="B8" s="133"/>
      <c r="C8" s="134">
        <f>NOI!C8</f>
        <v>2021</v>
      </c>
      <c r="D8" s="134">
        <f>NOI!D8</f>
        <v>2022</v>
      </c>
      <c r="E8" s="134">
        <f>NOI!E8</f>
        <v>2023</v>
      </c>
      <c r="F8" s="134">
        <f>NOI!F8</f>
        <v>2024</v>
      </c>
      <c r="G8" s="134">
        <f>NOI!G8</f>
        <v>2025</v>
      </c>
      <c r="H8" s="134">
        <f>NOI!H8</f>
        <v>2026</v>
      </c>
      <c r="I8" s="133"/>
    </row>
    <row r="9" spans="1:10" ht="15" customHeight="1" x14ac:dyDescent="0.25">
      <c r="A9" s="24"/>
      <c r="B9" s="220">
        <v>0</v>
      </c>
      <c r="C9" s="211">
        <v>1</v>
      </c>
      <c r="D9" s="211">
        <f>C9+1</f>
        <v>2</v>
      </c>
      <c r="E9" s="211">
        <f t="shared" ref="E9:H9" si="0">D9+1</f>
        <v>3</v>
      </c>
      <c r="F9" s="211">
        <f t="shared" si="0"/>
        <v>4</v>
      </c>
      <c r="G9" s="211">
        <f t="shared" si="0"/>
        <v>5</v>
      </c>
      <c r="H9" s="211">
        <f t="shared" si="0"/>
        <v>6</v>
      </c>
      <c r="I9" s="133"/>
    </row>
    <row r="10" spans="1:10" ht="15" customHeight="1" x14ac:dyDescent="0.25">
      <c r="B10" s="146" t="str">
        <f>NOI!B76</f>
        <v>Before Debt Service Cash Flow (BDSCF)</v>
      </c>
    </row>
    <row r="11" spans="1:10" ht="15" customHeight="1" x14ac:dyDescent="0.25">
      <c r="B11" s="168" t="s">
        <v>112</v>
      </c>
      <c r="C11" s="221">
        <f ca="1">NOI!C76</f>
        <v>2957564.7779999995</v>
      </c>
      <c r="D11" s="221">
        <f ca="1">NOI!D76</f>
        <v>3538755.790888499</v>
      </c>
      <c r="E11" s="221">
        <f ca="1">NOI!E76</f>
        <v>3772830.1595806275</v>
      </c>
      <c r="F11" s="221">
        <f ca="1">NOI!F76</f>
        <v>4115574.5719227837</v>
      </c>
      <c r="G11" s="221">
        <f ca="1">NOI!G76</f>
        <v>3902006.3845498697</v>
      </c>
      <c r="H11" s="221">
        <f ca="1">NOI!H76</f>
        <v>4077745.3255354147</v>
      </c>
      <c r="I11" s="133" t="s">
        <v>15</v>
      </c>
    </row>
    <row r="12" spans="1:10" ht="10.15" customHeight="1" x14ac:dyDescent="0.25">
      <c r="B12" s="168"/>
      <c r="C12" s="168"/>
      <c r="D12" s="168"/>
      <c r="E12" s="168"/>
      <c r="F12" s="168"/>
      <c r="G12" s="168"/>
      <c r="H12" s="168"/>
      <c r="I12" s="168"/>
      <c r="J12" s="168"/>
    </row>
    <row r="13" spans="1:10" ht="15" customHeight="1" x14ac:dyDescent="0.25">
      <c r="B13" s="133" t="s">
        <v>115</v>
      </c>
      <c r="C13" s="222"/>
      <c r="D13" s="222"/>
      <c r="E13" s="222"/>
      <c r="F13" s="222"/>
      <c r="G13" s="222"/>
      <c r="H13" s="223"/>
      <c r="I13" s="133"/>
    </row>
    <row r="14" spans="1:10" ht="15" customHeight="1" x14ac:dyDescent="0.25">
      <c r="B14" s="168" t="str">
        <f>"Hotel at "&amp;TEXT(DiscountRateHotel,"0.00%")</f>
        <v>Hotel at 10.00%</v>
      </c>
      <c r="C14" s="224">
        <f>1/(1+DiscountRateHotel)^C9</f>
        <v>0.90909090909090906</v>
      </c>
      <c r="D14" s="224">
        <f>1/(1+DiscountRateHotel)^D9</f>
        <v>0.82644628099173545</v>
      </c>
      <c r="E14" s="224">
        <f>1/(1+DiscountRateHotel)^E9</f>
        <v>0.75131480090157754</v>
      </c>
      <c r="F14" s="224">
        <f>1/(1+DiscountRateHotel)^F9</f>
        <v>0.68301345536507052</v>
      </c>
      <c r="G14" s="224">
        <f>1/(1+DiscountRateHotel)^G9</f>
        <v>0.62092132305915493</v>
      </c>
      <c r="H14" s="225"/>
      <c r="I14" s="133" t="s">
        <v>15</v>
      </c>
    </row>
    <row r="15" spans="1:10" ht="10.15" customHeight="1" x14ac:dyDescent="0.25">
      <c r="B15" s="168"/>
      <c r="C15" s="168"/>
      <c r="D15" s="168"/>
      <c r="E15" s="168"/>
      <c r="F15" s="168"/>
      <c r="G15" s="168"/>
      <c r="H15" s="225"/>
      <c r="I15" s="133"/>
    </row>
    <row r="16" spans="1:10" ht="15" customHeight="1" x14ac:dyDescent="0.25">
      <c r="B16" s="146" t="s">
        <v>9</v>
      </c>
    </row>
    <row r="17" spans="2:9" ht="15" customHeight="1" x14ac:dyDescent="0.25">
      <c r="B17" s="168" t="s">
        <v>112</v>
      </c>
      <c r="C17" s="226">
        <f ca="1">C11*C14</f>
        <v>2688695.252727272</v>
      </c>
      <c r="D17" s="226">
        <f ca="1">D11*D14</f>
        <v>2924591.5627177674</v>
      </c>
      <c r="E17" s="226">
        <f ca="1">E11*E14</f>
        <v>2834583.1401807861</v>
      </c>
      <c r="F17" s="226">
        <f ca="1">F11*F14</f>
        <v>2810992.8091816013</v>
      </c>
      <c r="G17" s="226">
        <f ca="1">G11*G14</f>
        <v>2422838.9668799746</v>
      </c>
      <c r="H17" s="223"/>
      <c r="I17" s="133" t="s">
        <v>15</v>
      </c>
    </row>
    <row r="18" spans="2:9" ht="10.15" customHeight="1" x14ac:dyDescent="0.25">
      <c r="B18" s="133"/>
      <c r="C18" s="133"/>
      <c r="D18" s="133"/>
      <c r="E18" s="133"/>
      <c r="F18" s="133"/>
      <c r="G18" s="133"/>
      <c r="H18" s="223"/>
      <c r="I18" s="133"/>
    </row>
    <row r="19" spans="2:9" ht="15" customHeight="1" x14ac:dyDescent="0.25">
      <c r="B19" s="461" t="s">
        <v>10</v>
      </c>
      <c r="C19" s="462"/>
      <c r="D19" s="133"/>
      <c r="E19" s="133"/>
      <c r="F19" s="133"/>
      <c r="G19" s="133"/>
      <c r="H19" s="223"/>
      <c r="I19" s="133"/>
    </row>
    <row r="20" spans="2:9" ht="15" customHeight="1" x14ac:dyDescent="0.25">
      <c r="B20" s="168" t="s">
        <v>364</v>
      </c>
      <c r="C20" s="133"/>
      <c r="D20" s="223"/>
      <c r="E20" s="133"/>
      <c r="F20" s="133"/>
      <c r="G20" s="226">
        <f ca="1">NOI!H76/TerminalCapRateHotel</f>
        <v>47973474.4180637</v>
      </c>
      <c r="H20" s="223"/>
      <c r="I20" s="133" t="s">
        <v>15</v>
      </c>
    </row>
    <row r="21" spans="2:9" ht="10.15" customHeight="1" x14ac:dyDescent="0.25">
      <c r="B21" s="133"/>
      <c r="C21" s="133"/>
      <c r="D21" s="223"/>
      <c r="E21" s="133"/>
      <c r="F21" s="133"/>
      <c r="G21" s="133"/>
      <c r="H21" s="223"/>
      <c r="I21" s="133"/>
    </row>
    <row r="22" spans="2:9" ht="15" customHeight="1" x14ac:dyDescent="0.25">
      <c r="B22" s="227" t="s">
        <v>5</v>
      </c>
      <c r="C22" s="228"/>
      <c r="D22" s="223"/>
      <c r="E22" s="133"/>
      <c r="F22" s="133"/>
      <c r="H22" s="223"/>
    </row>
    <row r="23" spans="2:9" ht="15" customHeight="1" x14ac:dyDescent="0.25">
      <c r="B23" s="168" t="s">
        <v>112</v>
      </c>
      <c r="C23" s="228"/>
      <c r="D23" s="223"/>
      <c r="E23" s="133"/>
      <c r="F23" s="133"/>
      <c r="G23" s="226">
        <f ca="1">G20*SellingCost</f>
        <v>1439204.2325419108</v>
      </c>
      <c r="H23" s="223"/>
      <c r="I23" s="133" t="s">
        <v>15</v>
      </c>
    </row>
    <row r="24" spans="2:9" ht="10.15" customHeight="1" x14ac:dyDescent="0.25">
      <c r="B24" s="133"/>
      <c r="C24" s="228"/>
      <c r="D24" s="223"/>
      <c r="E24" s="133"/>
      <c r="F24" s="133"/>
      <c r="G24" s="133"/>
      <c r="H24" s="223"/>
      <c r="I24" s="133"/>
    </row>
    <row r="25" spans="2:9" ht="15" customHeight="1" x14ac:dyDescent="0.25">
      <c r="B25" s="227" t="s">
        <v>12</v>
      </c>
      <c r="C25" s="229"/>
      <c r="D25" s="223"/>
      <c r="E25" s="133"/>
      <c r="F25" s="133"/>
    </row>
    <row r="26" spans="2:9" ht="15" customHeight="1" x14ac:dyDescent="0.25">
      <c r="B26" s="168" t="s">
        <v>112</v>
      </c>
      <c r="C26" s="230"/>
      <c r="D26" s="223"/>
      <c r="E26" s="133"/>
      <c r="F26" s="133"/>
      <c r="G26" s="226">
        <f ca="1">G20-G23</f>
        <v>46534270.185521789</v>
      </c>
      <c r="H26" s="133"/>
      <c r="I26" s="133" t="s">
        <v>15</v>
      </c>
    </row>
    <row r="27" spans="2:9" ht="10.15" customHeight="1" x14ac:dyDescent="0.25">
      <c r="B27" s="133"/>
      <c r="C27" s="133"/>
      <c r="D27" s="133"/>
      <c r="E27" s="133"/>
      <c r="F27" s="133"/>
      <c r="G27" s="133"/>
      <c r="H27" s="133"/>
      <c r="I27" s="133"/>
    </row>
    <row r="28" spans="2:9" ht="10.15" customHeight="1" x14ac:dyDescent="0.25">
      <c r="B28" s="133"/>
      <c r="C28" s="133"/>
      <c r="D28" s="133"/>
      <c r="E28" s="133"/>
      <c r="F28" s="133"/>
      <c r="G28" s="133"/>
      <c r="H28" s="133"/>
      <c r="I28" s="133"/>
    </row>
    <row r="29" spans="2:9" ht="15" customHeight="1" x14ac:dyDescent="0.25">
      <c r="B29" s="459" t="s">
        <v>27</v>
      </c>
      <c r="C29" s="460"/>
      <c r="E29" s="133"/>
      <c r="F29" s="133"/>
      <c r="G29" s="133"/>
      <c r="H29" s="133"/>
      <c r="I29" s="133"/>
    </row>
    <row r="30" spans="2:9" ht="15" customHeight="1" x14ac:dyDescent="0.25">
      <c r="B30" s="199" t="s">
        <v>112</v>
      </c>
      <c r="C30" s="133"/>
      <c r="D30" s="134" t="s">
        <v>13</v>
      </c>
      <c r="E30" s="133"/>
      <c r="F30" s="231"/>
      <c r="G30" s="133"/>
      <c r="H30" s="133"/>
      <c r="I30" s="133"/>
    </row>
    <row r="31" spans="2:9" ht="15" customHeight="1" x14ac:dyDescent="0.25">
      <c r="B31" s="168" t="s">
        <v>11</v>
      </c>
      <c r="C31" s="226">
        <f ca="1">SUM(C17:G17)</f>
        <v>13681701.7316874</v>
      </c>
      <c r="D31" s="232">
        <f ca="1">C31/$C$33</f>
        <v>0.32134908919680338</v>
      </c>
      <c r="E31" s="133"/>
      <c r="F31" s="231"/>
      <c r="G31" s="133"/>
      <c r="H31" s="133"/>
      <c r="I31" s="133"/>
    </row>
    <row r="32" spans="2:9" ht="15" customHeight="1" x14ac:dyDescent="0.25">
      <c r="B32" s="168" t="s">
        <v>14</v>
      </c>
      <c r="C32" s="226">
        <f ca="1">G26*G14</f>
        <v>28894120.611186378</v>
      </c>
      <c r="D32" s="232">
        <f ca="1">C32/$C$33</f>
        <v>0.67865091080319651</v>
      </c>
      <c r="E32" s="133"/>
      <c r="F32" s="231"/>
      <c r="G32" s="133"/>
      <c r="H32" s="133"/>
      <c r="I32" s="133"/>
    </row>
    <row r="33" spans="1:10" ht="15" customHeight="1" x14ac:dyDescent="0.25">
      <c r="B33" s="199" t="s">
        <v>26</v>
      </c>
      <c r="C33" s="218">
        <f ca="1">SUM(C31:C32)</f>
        <v>42575822.342873782</v>
      </c>
      <c r="D33" s="233">
        <f ca="1">SUM(D31:D32)</f>
        <v>0.99999999999999989</v>
      </c>
      <c r="E33" s="133"/>
      <c r="F33" s="231"/>
      <c r="G33" s="133"/>
      <c r="H33" s="133"/>
      <c r="I33" s="133"/>
    </row>
    <row r="34" spans="1:10" ht="15" customHeight="1" x14ac:dyDescent="0.25">
      <c r="B34" s="234" t="s">
        <v>116</v>
      </c>
      <c r="C34" s="235">
        <f ca="1">C33/NumberRooms</f>
        <v>170303.28937149514</v>
      </c>
      <c r="D34" s="133"/>
      <c r="E34" s="133"/>
      <c r="F34" s="231"/>
      <c r="G34" s="133"/>
      <c r="H34" s="133"/>
      <c r="I34" s="133"/>
    </row>
    <row r="35" spans="1:10" s="11" customFormat="1" x14ac:dyDescent="0.2">
      <c r="D35" s="330"/>
      <c r="E35" s="319"/>
      <c r="F35" s="319"/>
      <c r="G35" s="322"/>
      <c r="H35" s="323"/>
      <c r="I35" s="324"/>
      <c r="J35" s="319"/>
    </row>
    <row r="36" spans="1:10" s="11" customFormat="1" ht="10.15" customHeight="1" x14ac:dyDescent="0.25">
      <c r="C36" s="319"/>
      <c r="D36" s="319"/>
      <c r="E36" s="319"/>
      <c r="F36" s="319"/>
      <c r="G36" s="323"/>
      <c r="H36" s="323"/>
      <c r="I36" s="320"/>
      <c r="J36" s="319"/>
    </row>
    <row r="37" spans="1:10" s="11" customFormat="1" ht="15" customHeight="1" x14ac:dyDescent="0.25">
      <c r="C37" s="321"/>
      <c r="F37" s="419"/>
      <c r="G37" s="419"/>
      <c r="H37" s="419"/>
      <c r="I37" s="325"/>
      <c r="J37" s="325"/>
    </row>
    <row r="38" spans="1:10" s="11" customFormat="1" ht="15" customHeight="1" x14ac:dyDescent="0.25">
      <c r="C38" s="321"/>
      <c r="D38" s="325"/>
      <c r="F38" s="419"/>
      <c r="G38" s="419"/>
      <c r="H38" s="419"/>
      <c r="I38" s="325"/>
      <c r="J38" s="325"/>
    </row>
    <row r="39" spans="1:10" s="11" customFormat="1" ht="15" customHeight="1" x14ac:dyDescent="0.25">
      <c r="C39" s="321"/>
      <c r="F39" s="319"/>
      <c r="G39" s="323"/>
      <c r="H39" s="326"/>
      <c r="I39" s="320"/>
      <c r="J39" s="319"/>
    </row>
    <row r="40" spans="1:10" s="11" customFormat="1" x14ac:dyDescent="0.25">
      <c r="C40" s="319"/>
      <c r="F40" s="319"/>
      <c r="G40" s="319"/>
      <c r="H40" s="319"/>
      <c r="I40" s="319"/>
      <c r="J40" s="319"/>
    </row>
    <row r="41" spans="1:10" s="337" customFormat="1" x14ac:dyDescent="0.25">
      <c r="A41" s="11"/>
    </row>
  </sheetData>
  <mergeCells count="7">
    <mergeCell ref="F37:H37"/>
    <mergeCell ref="F38:H38"/>
    <mergeCell ref="C4:D4"/>
    <mergeCell ref="E4:F4"/>
    <mergeCell ref="C7:H7"/>
    <mergeCell ref="B29:C29"/>
    <mergeCell ref="B19:C19"/>
  </mergeCells>
  <dataValidations count="1">
    <dataValidation allowBlank="1" showInputMessage="1" showErrorMessage="1" sqref="H4" xr:uid="{13D0AF05-A2FA-49DF-BF2A-6945F309AAD8}"/>
  </dataValidations>
  <pageMargins left="0.7" right="0.7" top="0.75" bottom="0.75" header="0.3" footer="0.3"/>
  <pageSetup scale="61" fitToHeight="0"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12B7-A893-4D27-A274-06B1BE0D9534}">
  <sheetPr codeName="Sheet11">
    <tabColor rgb="FFC00000"/>
    <pageSetUpPr fitToPage="1"/>
  </sheetPr>
  <dimension ref="A1:CP130"/>
  <sheetViews>
    <sheetView tabSelected="1" topLeftCell="A72" zoomScale="85" zoomScaleNormal="85" workbookViewId="0">
      <selection activeCell="G28" sqref="G28"/>
    </sheetView>
  </sheetViews>
  <sheetFormatPr defaultColWidth="8.85546875" defaultRowHeight="14.25" outlineLevelRow="1" outlineLevelCol="1" x14ac:dyDescent="0.2"/>
  <cols>
    <col min="1" max="1" width="4.28515625" style="131" customWidth="1"/>
    <col min="2" max="2" width="13.7109375" style="133" hidden="1" customWidth="1" outlineLevel="1"/>
    <col min="3" max="3" width="63.5703125" style="133" hidden="1" customWidth="1" outlineLevel="1"/>
    <col min="4" max="4" width="8.85546875" style="133" hidden="1" customWidth="1" outlineLevel="1"/>
    <col min="5" max="5" width="2.5703125" style="131" hidden="1" customWidth="1" outlineLevel="1"/>
    <col min="6" max="6" width="13.7109375" style="131" customWidth="1" collapsed="1"/>
    <col min="7" max="97" width="13.7109375" style="131" customWidth="1"/>
    <col min="98" max="16384" width="8.85546875" style="131"/>
  </cols>
  <sheetData>
    <row r="1" spans="1:34" s="16" customFormat="1" x14ac:dyDescent="0.2">
      <c r="B1" s="133"/>
      <c r="C1" s="133"/>
      <c r="D1" s="133"/>
      <c r="L1" s="133"/>
      <c r="M1" s="133"/>
      <c r="N1" s="133"/>
      <c r="O1" s="133"/>
      <c r="P1" s="133"/>
      <c r="Q1" s="133"/>
      <c r="R1" s="133"/>
      <c r="S1" s="133"/>
      <c r="T1" s="133"/>
      <c r="U1" s="133"/>
      <c r="V1" s="133"/>
      <c r="W1" s="133"/>
      <c r="X1" s="133"/>
      <c r="Y1" s="133"/>
      <c r="Z1" s="133"/>
      <c r="AA1" s="133"/>
      <c r="AB1" s="133"/>
      <c r="AC1" s="133"/>
      <c r="AD1" s="133"/>
      <c r="AE1" s="133"/>
      <c r="AF1" s="133"/>
      <c r="AG1" s="133"/>
      <c r="AH1" s="133"/>
    </row>
    <row r="2" spans="1:34" s="210" customFormat="1" ht="20.25" x14ac:dyDescent="0.3">
      <c r="A2" s="17"/>
      <c r="B2" s="236"/>
      <c r="C2" s="237"/>
      <c r="D2" s="237"/>
      <c r="E2" s="18"/>
      <c r="F2" s="18" t="str">
        <f>Inputs!B2</f>
        <v>Comparing Complex Deal Structures</v>
      </c>
      <c r="G2" s="18"/>
      <c r="H2" s="18"/>
      <c r="I2" s="18"/>
      <c r="J2" s="18"/>
      <c r="L2" s="133"/>
      <c r="M2" s="133"/>
      <c r="N2" s="133"/>
      <c r="O2" s="133"/>
      <c r="P2" s="133"/>
      <c r="Q2" s="133"/>
      <c r="R2" s="133"/>
      <c r="S2" s="133"/>
      <c r="T2" s="133"/>
      <c r="U2" s="133"/>
      <c r="V2" s="133"/>
      <c r="W2" s="133"/>
      <c r="X2" s="133"/>
      <c r="Y2" s="133"/>
      <c r="Z2" s="133"/>
      <c r="AA2" s="133"/>
      <c r="AB2" s="133"/>
      <c r="AC2" s="133"/>
      <c r="AD2" s="133"/>
      <c r="AE2" s="133"/>
      <c r="AF2" s="133"/>
      <c r="AG2" s="133"/>
      <c r="AH2" s="133"/>
    </row>
    <row r="3" spans="1:34" s="14" customFormat="1" ht="15" customHeight="1" x14ac:dyDescent="0.25">
      <c r="B3" s="238"/>
      <c r="C3" s="239"/>
      <c r="D3" s="239"/>
      <c r="E3" s="109"/>
      <c r="F3" s="109"/>
      <c r="H3" s="15"/>
      <c r="K3" s="15"/>
      <c r="L3" s="25"/>
      <c r="M3" s="25"/>
      <c r="N3" s="25"/>
      <c r="O3" s="25"/>
      <c r="P3" s="25"/>
      <c r="Q3" s="25"/>
      <c r="R3" s="25"/>
      <c r="S3" s="25"/>
      <c r="T3" s="25"/>
      <c r="U3" s="25"/>
      <c r="V3" s="25"/>
      <c r="W3" s="25"/>
      <c r="X3" s="25"/>
      <c r="Y3" s="25"/>
      <c r="Z3" s="25"/>
      <c r="AA3" s="25"/>
      <c r="AB3" s="25"/>
      <c r="AC3" s="25"/>
      <c r="AD3" s="25"/>
      <c r="AE3" s="25"/>
      <c r="AF3" s="25"/>
      <c r="AG3" s="25"/>
      <c r="AH3" s="25"/>
    </row>
    <row r="4" spans="1:34" s="210" customFormat="1" ht="20.45" customHeight="1" x14ac:dyDescent="0.25">
      <c r="A4" s="20"/>
      <c r="B4" s="236"/>
      <c r="C4" s="424"/>
      <c r="D4" s="424"/>
      <c r="E4" s="240"/>
      <c r="F4" s="435" t="s">
        <v>148</v>
      </c>
      <c r="G4" s="435"/>
      <c r="H4" s="435"/>
      <c r="I4" s="424" t="s">
        <v>320</v>
      </c>
      <c r="J4" s="424"/>
      <c r="K4" s="420" t="str">
        <f ca="1">Scenario!E4</f>
        <v>Best Case</v>
      </c>
      <c r="L4" s="425"/>
      <c r="M4" s="465" t="s">
        <v>325</v>
      </c>
      <c r="N4" s="466"/>
      <c r="O4" s="420" t="s">
        <v>358</v>
      </c>
      <c r="P4" s="463"/>
      <c r="Q4" s="463"/>
      <c r="R4" s="421"/>
      <c r="S4" s="133"/>
      <c r="T4" s="133"/>
      <c r="U4" s="133"/>
      <c r="V4" s="133"/>
      <c r="W4" s="133"/>
      <c r="X4" s="133"/>
      <c r="Y4" s="133"/>
      <c r="Z4" s="133"/>
      <c r="AA4" s="133"/>
      <c r="AB4" s="133"/>
      <c r="AC4" s="133"/>
      <c r="AD4" s="133"/>
      <c r="AE4" s="133"/>
      <c r="AF4" s="133"/>
      <c r="AG4" s="133"/>
      <c r="AH4" s="133"/>
    </row>
    <row r="5" spans="1:34" s="21" customFormat="1" ht="10.15" customHeight="1" x14ac:dyDescent="0.25">
      <c r="B5" s="241"/>
      <c r="C5" s="242"/>
      <c r="D5" s="242"/>
      <c r="E5" s="23"/>
      <c r="F5" s="23"/>
      <c r="G5" s="14"/>
      <c r="H5" s="15"/>
      <c r="I5" s="14"/>
      <c r="J5" s="14"/>
      <c r="K5" s="23"/>
      <c r="L5" s="13"/>
      <c r="M5" s="13"/>
      <c r="N5" s="13"/>
      <c r="O5" s="13"/>
      <c r="P5" s="13"/>
      <c r="Q5" s="13"/>
      <c r="R5" s="13"/>
      <c r="S5" s="13"/>
      <c r="T5" s="13"/>
      <c r="U5" s="13"/>
      <c r="V5" s="13"/>
      <c r="W5" s="13"/>
      <c r="X5" s="13"/>
      <c r="Y5" s="13"/>
      <c r="Z5" s="13"/>
      <c r="AA5" s="13"/>
      <c r="AB5" s="13"/>
      <c r="AC5" s="13"/>
      <c r="AD5" s="13"/>
      <c r="AE5" s="13"/>
      <c r="AF5" s="13"/>
      <c r="AG5" s="13"/>
      <c r="AH5" s="13"/>
    </row>
    <row r="6" spans="1:34" ht="15" outlineLevel="1" x14ac:dyDescent="0.2">
      <c r="F6" s="9" t="s">
        <v>367</v>
      </c>
      <c r="O6" s="9" t="s">
        <v>368</v>
      </c>
    </row>
    <row r="7" spans="1:34" ht="15" customHeight="1" outlineLevel="1" x14ac:dyDescent="0.2"/>
    <row r="8" spans="1:34" ht="15" outlineLevel="1" x14ac:dyDescent="0.2">
      <c r="F8" s="5" t="s">
        <v>369</v>
      </c>
      <c r="G8" s="6"/>
      <c r="H8" s="6" t="s">
        <v>149</v>
      </c>
      <c r="I8" s="6" t="s">
        <v>370</v>
      </c>
      <c r="J8" s="5" t="s">
        <v>371</v>
      </c>
      <c r="K8" s="6"/>
      <c r="L8" s="6" t="s">
        <v>149</v>
      </c>
      <c r="M8" s="6" t="s">
        <v>73</v>
      </c>
      <c r="N8" s="243"/>
      <c r="O8" s="7" t="s">
        <v>372</v>
      </c>
      <c r="P8" s="8"/>
      <c r="Q8" s="8"/>
      <c r="R8" s="8"/>
      <c r="S8" s="7" t="s">
        <v>373</v>
      </c>
    </row>
    <row r="9" spans="1:34" ht="15" customHeight="1" outlineLevel="1" x14ac:dyDescent="0.2">
      <c r="F9" s="133" t="s">
        <v>151</v>
      </c>
      <c r="H9" s="138">
        <v>5000000</v>
      </c>
      <c r="I9" s="381">
        <f t="shared" ref="I9:I15" si="0">H9/NumberRooms</f>
        <v>20000</v>
      </c>
      <c r="J9" s="133" t="s">
        <v>150</v>
      </c>
      <c r="L9" s="136">
        <f>ConstLoanOBalance</f>
        <v>12500000</v>
      </c>
      <c r="M9" s="244">
        <f>L9/H15</f>
        <v>0.42165408962470191</v>
      </c>
      <c r="O9" s="133" t="s">
        <v>152</v>
      </c>
      <c r="Q9" s="243"/>
      <c r="R9" s="138">
        <v>12500000</v>
      </c>
      <c r="S9" s="133" t="s">
        <v>288</v>
      </c>
      <c r="V9" s="136">
        <f ca="1">V10/V11/V15</f>
        <v>35005242.318935432</v>
      </c>
    </row>
    <row r="10" spans="1:34" ht="15" customHeight="1" outlineLevel="1" x14ac:dyDescent="0.2">
      <c r="F10" s="133" t="s">
        <v>153</v>
      </c>
      <c r="H10" s="136">
        <f>SUM(Construction!D10:D13)+Construction!D26</f>
        <v>4600000</v>
      </c>
      <c r="I10" s="381">
        <f t="shared" si="0"/>
        <v>18400</v>
      </c>
      <c r="J10" s="133" t="s">
        <v>154</v>
      </c>
      <c r="L10" s="136">
        <f>PreferredEquityOBalance</f>
        <v>5000000</v>
      </c>
      <c r="M10" s="244">
        <f>L10/$H$15</f>
        <v>0.16866163584988075</v>
      </c>
      <c r="O10" s="133" t="s">
        <v>155</v>
      </c>
      <c r="Q10" s="243"/>
      <c r="R10" s="245">
        <v>0.01</v>
      </c>
      <c r="S10" s="133" t="s">
        <v>156</v>
      </c>
      <c r="V10" s="136">
        <f ca="1">INDEX($I$36:$CO$36,MATCH(V16,$I$28:$CO$28,FALSE))</f>
        <v>3772830.1595806279</v>
      </c>
    </row>
    <row r="11" spans="1:34" ht="15" customHeight="1" outlineLevel="1" x14ac:dyDescent="0.2">
      <c r="F11" s="133" t="s">
        <v>125</v>
      </c>
      <c r="H11" s="136">
        <f>SUM(Construction!D14:D15,Construction!D25)</f>
        <v>17570000</v>
      </c>
      <c r="I11" s="381">
        <f t="shared" si="0"/>
        <v>70280</v>
      </c>
      <c r="J11" s="133" t="s">
        <v>157</v>
      </c>
      <c r="L11" s="136">
        <f>TotalUses-SUM(L9:L10)</f>
        <v>12145153</v>
      </c>
      <c r="M11" s="244">
        <f>L11/$H$15</f>
        <v>0.40968427452541734</v>
      </c>
      <c r="O11" s="133" t="s">
        <v>158</v>
      </c>
      <c r="Q11" s="243"/>
      <c r="R11" s="245">
        <v>4.4999999999999998E-2</v>
      </c>
      <c r="S11" s="133" t="s">
        <v>159</v>
      </c>
      <c r="V11" s="246">
        <v>1.35</v>
      </c>
    </row>
    <row r="12" spans="1:34" ht="15" customHeight="1" outlineLevel="1" x14ac:dyDescent="0.2">
      <c r="F12" s="133" t="s">
        <v>160</v>
      </c>
      <c r="H12" s="136">
        <f>SUM(Construction!D29:D30)</f>
        <v>1350153</v>
      </c>
      <c r="I12" s="381">
        <f t="shared" si="0"/>
        <v>5400.6120000000001</v>
      </c>
      <c r="J12" s="168" t="s">
        <v>161</v>
      </c>
      <c r="L12" s="136">
        <f>M12*$L$11</f>
        <v>1214515.3</v>
      </c>
      <c r="M12" s="247">
        <v>0.1</v>
      </c>
      <c r="O12" s="133" t="s">
        <v>162</v>
      </c>
      <c r="Q12" s="243"/>
      <c r="R12" s="248">
        <f>H18</f>
        <v>44196</v>
      </c>
      <c r="S12" s="133" t="s">
        <v>155</v>
      </c>
      <c r="V12" s="245">
        <v>0.01</v>
      </c>
    </row>
    <row r="13" spans="1:34" ht="15" outlineLevel="1" x14ac:dyDescent="0.25">
      <c r="F13" s="133" t="s">
        <v>163</v>
      </c>
      <c r="H13" s="138">
        <v>1000000</v>
      </c>
      <c r="I13" s="381">
        <f t="shared" si="0"/>
        <v>4000</v>
      </c>
      <c r="J13" s="168" t="s">
        <v>164</v>
      </c>
      <c r="L13" s="136">
        <f>M13*$L$11</f>
        <v>10930637.700000001</v>
      </c>
      <c r="M13" s="247">
        <f>1-M12</f>
        <v>0.9</v>
      </c>
      <c r="O13" s="133" t="s">
        <v>165</v>
      </c>
      <c r="Q13" s="4">
        <v>3</v>
      </c>
      <c r="R13" s="249">
        <f>EOMONTH(R12,Q13*12)</f>
        <v>45291</v>
      </c>
      <c r="S13" s="133" t="s">
        <v>166</v>
      </c>
      <c r="V13" s="245">
        <v>7.0000000000000007E-2</v>
      </c>
    </row>
    <row r="14" spans="1:34" ht="15" customHeight="1" outlineLevel="1" x14ac:dyDescent="0.2">
      <c r="F14" s="133" t="s">
        <v>155</v>
      </c>
      <c r="H14" s="136">
        <f>R10*L9</f>
        <v>125000</v>
      </c>
      <c r="I14" s="381">
        <f t="shared" si="0"/>
        <v>500</v>
      </c>
      <c r="J14" s="133"/>
      <c r="O14" s="133" t="s">
        <v>168</v>
      </c>
      <c r="Q14" s="243"/>
      <c r="R14" s="2">
        <v>360</v>
      </c>
      <c r="S14" s="133" t="s">
        <v>169</v>
      </c>
      <c r="V14" s="138">
        <v>30</v>
      </c>
    </row>
    <row r="15" spans="1:34" ht="15" customHeight="1" outlineLevel="1" x14ac:dyDescent="0.2">
      <c r="F15" s="133" t="s">
        <v>171</v>
      </c>
      <c r="H15" s="136">
        <f>SUM(H9:H14)</f>
        <v>29645153</v>
      </c>
      <c r="I15" s="381">
        <f t="shared" si="0"/>
        <v>118580.61199999999</v>
      </c>
      <c r="J15" s="133" t="s">
        <v>172</v>
      </c>
      <c r="L15" s="136">
        <f>SUM(L9:L11)</f>
        <v>29645153</v>
      </c>
      <c r="M15" s="150">
        <f>SUM(M9:M11)</f>
        <v>1</v>
      </c>
      <c r="O15" s="133" t="s">
        <v>173</v>
      </c>
      <c r="Q15" s="243"/>
      <c r="R15" s="245">
        <v>5.0000000000000001E-3</v>
      </c>
      <c r="S15" s="133" t="s">
        <v>174</v>
      </c>
      <c r="V15" s="250">
        <f>PMT(V13/12,V14*12,-1)*12</f>
        <v>7.9836299421501972E-2</v>
      </c>
    </row>
    <row r="16" spans="1:34" ht="15" outlineLevel="1" x14ac:dyDescent="0.25">
      <c r="F16" s="133"/>
      <c r="J16" s="133"/>
      <c r="O16" s="133" t="s">
        <v>176</v>
      </c>
      <c r="Q16" s="251" t="s">
        <v>177</v>
      </c>
      <c r="R16" s="136">
        <f>($Q$13=4)*1</f>
        <v>0</v>
      </c>
      <c r="S16" s="133" t="s">
        <v>162</v>
      </c>
      <c r="V16" s="252">
        <f>R13</f>
        <v>45291</v>
      </c>
    </row>
    <row r="17" spans="2:94" ht="15" outlineLevel="1" x14ac:dyDescent="0.25">
      <c r="F17" s="9" t="s">
        <v>375</v>
      </c>
      <c r="J17" s="133" t="s">
        <v>175</v>
      </c>
      <c r="L17" s="250">
        <f ca="1">TerminalCapRateHotel</f>
        <v>8.5000000000000006E-2</v>
      </c>
      <c r="O17" s="133" t="s">
        <v>179</v>
      </c>
      <c r="Q17" s="243"/>
      <c r="R17" s="253">
        <f>EOMONTH(R13,-12)*R16</f>
        <v>0</v>
      </c>
      <c r="S17" s="133" t="s">
        <v>165</v>
      </c>
      <c r="T17" s="254" t="s">
        <v>177</v>
      </c>
      <c r="U17" s="1">
        <f>DATEDIF(R13,V17,"y")</f>
        <v>3</v>
      </c>
      <c r="V17" s="252">
        <f>ExitDate</f>
        <v>46387</v>
      </c>
    </row>
    <row r="18" spans="2:94" ht="15" outlineLevel="1" x14ac:dyDescent="0.2">
      <c r="F18" s="133" t="s">
        <v>167</v>
      </c>
      <c r="H18" s="252">
        <f>Inputs!C11-1</f>
        <v>44196</v>
      </c>
      <c r="J18" s="133" t="s">
        <v>178</v>
      </c>
      <c r="L18" s="250">
        <f>SellingCost</f>
        <v>0.03</v>
      </c>
      <c r="O18" s="7" t="s">
        <v>374</v>
      </c>
      <c r="Q18" s="243"/>
      <c r="R18" s="243"/>
      <c r="S18" s="133" t="s">
        <v>182</v>
      </c>
      <c r="V18" s="250">
        <v>0.01</v>
      </c>
    </row>
    <row r="19" spans="2:94" ht="15" customHeight="1" outlineLevel="1" x14ac:dyDescent="0.2">
      <c r="F19" s="133" t="s">
        <v>245</v>
      </c>
      <c r="H19" s="252">
        <f>EOMONTH(Construction!AC7,1)</f>
        <v>44957</v>
      </c>
      <c r="J19" s="133" t="s">
        <v>180</v>
      </c>
      <c r="L19" s="136">
        <f ca="1">SUM(I52:CO52)</f>
        <v>47973474.418063693</v>
      </c>
      <c r="O19" s="255" t="s">
        <v>184</v>
      </c>
      <c r="Q19" s="243"/>
      <c r="R19" s="138">
        <v>5000000</v>
      </c>
      <c r="S19" s="133" t="s">
        <v>185</v>
      </c>
      <c r="U19" s="133" t="s">
        <v>177</v>
      </c>
      <c r="V19" s="136">
        <f>IF(U17&lt;=2, 1, 0)</f>
        <v>0</v>
      </c>
    </row>
    <row r="20" spans="2:94" ht="15" customHeight="1" outlineLevel="1" x14ac:dyDescent="0.2">
      <c r="F20" s="133" t="s">
        <v>170</v>
      </c>
      <c r="H20" s="252">
        <f>DATE(YEAR(H18) + HoldingPeriod + 1, MONTH(H18), DAY(H18))</f>
        <v>46387</v>
      </c>
      <c r="J20" s="133" t="s">
        <v>183</v>
      </c>
      <c r="L20" s="136">
        <f ca="1">L19/NumberRooms</f>
        <v>191893.89767225477</v>
      </c>
      <c r="O20" s="133" t="s">
        <v>186</v>
      </c>
      <c r="Q20" s="243"/>
      <c r="R20" s="245">
        <v>0.09</v>
      </c>
    </row>
    <row r="21" spans="2:94" ht="15" customHeight="1" outlineLevel="1" x14ac:dyDescent="0.2">
      <c r="F21" s="133"/>
      <c r="H21" s="256"/>
      <c r="J21" s="133"/>
      <c r="L21" s="257"/>
      <c r="O21" s="133"/>
      <c r="Q21" s="243"/>
      <c r="R21" s="243"/>
    </row>
    <row r="22" spans="2:94" ht="15" customHeight="1" outlineLevel="1" x14ac:dyDescent="0.25">
      <c r="F22" s="258" t="s">
        <v>223</v>
      </c>
      <c r="H22" s="259" t="s">
        <v>321</v>
      </c>
      <c r="I22" s="259" t="s">
        <v>29</v>
      </c>
      <c r="R22" s="257"/>
    </row>
    <row r="23" spans="2:94" ht="15" customHeight="1" outlineLevel="1" x14ac:dyDescent="0.2">
      <c r="F23" s="133" t="str">
        <f>J11</f>
        <v>Common Equity</v>
      </c>
      <c r="H23" s="136">
        <v>1</v>
      </c>
      <c r="I23" s="250">
        <v>1</v>
      </c>
    </row>
    <row r="24" spans="2:94" ht="15" customHeight="1" outlineLevel="1" x14ac:dyDescent="0.2">
      <c r="F24" s="133" t="str">
        <f>J10</f>
        <v>Preferred Equity</v>
      </c>
      <c r="H24" s="136">
        <v>2</v>
      </c>
      <c r="I24" s="250">
        <v>1</v>
      </c>
    </row>
    <row r="25" spans="2:94" ht="15" customHeight="1" outlineLevel="1" x14ac:dyDescent="0.2">
      <c r="F25" s="133" t="str">
        <f>J9</f>
        <v>Construction Loan</v>
      </c>
      <c r="H25" s="136">
        <v>3</v>
      </c>
      <c r="I25" s="250">
        <v>1</v>
      </c>
    </row>
    <row r="26" spans="2:94" ht="15" customHeight="1" x14ac:dyDescent="0.2"/>
    <row r="27" spans="2:94" ht="15" x14ac:dyDescent="0.25">
      <c r="H27" s="146" t="s">
        <v>187</v>
      </c>
      <c r="I27" s="260">
        <f>YEAR(I28)</f>
        <v>2020</v>
      </c>
      <c r="J27" s="261">
        <f t="shared" ref="J27:BU27" si="1">YEAR(J28)</f>
        <v>2021</v>
      </c>
      <c r="K27" s="261">
        <f t="shared" si="1"/>
        <v>2021</v>
      </c>
      <c r="L27" s="261">
        <f t="shared" si="1"/>
        <v>2021</v>
      </c>
      <c r="M27" s="261">
        <f t="shared" si="1"/>
        <v>2021</v>
      </c>
      <c r="N27" s="261">
        <f t="shared" si="1"/>
        <v>2021</v>
      </c>
      <c r="O27" s="261">
        <f t="shared" si="1"/>
        <v>2021</v>
      </c>
      <c r="P27" s="261">
        <f t="shared" si="1"/>
        <v>2021</v>
      </c>
      <c r="Q27" s="261">
        <f t="shared" si="1"/>
        <v>2021</v>
      </c>
      <c r="R27" s="261">
        <f t="shared" si="1"/>
        <v>2021</v>
      </c>
      <c r="S27" s="261">
        <f t="shared" si="1"/>
        <v>2021</v>
      </c>
      <c r="T27" s="261">
        <f t="shared" si="1"/>
        <v>2021</v>
      </c>
      <c r="U27" s="261">
        <f t="shared" si="1"/>
        <v>2021</v>
      </c>
      <c r="V27" s="261">
        <f t="shared" si="1"/>
        <v>2022</v>
      </c>
      <c r="W27" s="261">
        <f t="shared" si="1"/>
        <v>2022</v>
      </c>
      <c r="X27" s="261">
        <f t="shared" si="1"/>
        <v>2022</v>
      </c>
      <c r="Y27" s="261">
        <f t="shared" si="1"/>
        <v>2022</v>
      </c>
      <c r="Z27" s="261">
        <f t="shared" si="1"/>
        <v>2022</v>
      </c>
      <c r="AA27" s="261">
        <f t="shared" si="1"/>
        <v>2022</v>
      </c>
      <c r="AB27" s="261">
        <f t="shared" si="1"/>
        <v>2022</v>
      </c>
      <c r="AC27" s="261">
        <f t="shared" si="1"/>
        <v>2022</v>
      </c>
      <c r="AD27" s="261">
        <f t="shared" si="1"/>
        <v>2022</v>
      </c>
      <c r="AE27" s="261">
        <f t="shared" si="1"/>
        <v>2022</v>
      </c>
      <c r="AF27" s="261">
        <f t="shared" si="1"/>
        <v>2022</v>
      </c>
      <c r="AG27" s="261">
        <f t="shared" si="1"/>
        <v>2022</v>
      </c>
      <c r="AH27" s="261">
        <f t="shared" si="1"/>
        <v>2023</v>
      </c>
      <c r="AI27" s="261">
        <f t="shared" si="1"/>
        <v>2023</v>
      </c>
      <c r="AJ27" s="261">
        <f t="shared" si="1"/>
        <v>2023</v>
      </c>
      <c r="AK27" s="261">
        <f t="shared" si="1"/>
        <v>2023</v>
      </c>
      <c r="AL27" s="261">
        <f t="shared" si="1"/>
        <v>2023</v>
      </c>
      <c r="AM27" s="261">
        <f t="shared" si="1"/>
        <v>2023</v>
      </c>
      <c r="AN27" s="261">
        <f t="shared" si="1"/>
        <v>2023</v>
      </c>
      <c r="AO27" s="261">
        <f t="shared" si="1"/>
        <v>2023</v>
      </c>
      <c r="AP27" s="261">
        <f t="shared" si="1"/>
        <v>2023</v>
      </c>
      <c r="AQ27" s="261">
        <f t="shared" si="1"/>
        <v>2023</v>
      </c>
      <c r="AR27" s="261">
        <f t="shared" si="1"/>
        <v>2023</v>
      </c>
      <c r="AS27" s="261">
        <f t="shared" si="1"/>
        <v>2023</v>
      </c>
      <c r="AT27" s="261">
        <f t="shared" si="1"/>
        <v>2024</v>
      </c>
      <c r="AU27" s="261">
        <f t="shared" si="1"/>
        <v>2024</v>
      </c>
      <c r="AV27" s="261">
        <f t="shared" si="1"/>
        <v>2024</v>
      </c>
      <c r="AW27" s="261">
        <f t="shared" si="1"/>
        <v>2024</v>
      </c>
      <c r="AX27" s="261">
        <f t="shared" si="1"/>
        <v>2024</v>
      </c>
      <c r="AY27" s="261">
        <f t="shared" si="1"/>
        <v>2024</v>
      </c>
      <c r="AZ27" s="261">
        <f t="shared" si="1"/>
        <v>2024</v>
      </c>
      <c r="BA27" s="261">
        <f t="shared" si="1"/>
        <v>2024</v>
      </c>
      <c r="BB27" s="261">
        <f t="shared" si="1"/>
        <v>2024</v>
      </c>
      <c r="BC27" s="261">
        <f t="shared" si="1"/>
        <v>2024</v>
      </c>
      <c r="BD27" s="261">
        <f t="shared" si="1"/>
        <v>2024</v>
      </c>
      <c r="BE27" s="261">
        <f t="shared" si="1"/>
        <v>2024</v>
      </c>
      <c r="BF27" s="261">
        <f t="shared" si="1"/>
        <v>2025</v>
      </c>
      <c r="BG27" s="261">
        <f t="shared" si="1"/>
        <v>2025</v>
      </c>
      <c r="BH27" s="261">
        <f t="shared" si="1"/>
        <v>2025</v>
      </c>
      <c r="BI27" s="261">
        <f t="shared" si="1"/>
        <v>2025</v>
      </c>
      <c r="BJ27" s="261">
        <f t="shared" si="1"/>
        <v>2025</v>
      </c>
      <c r="BK27" s="261">
        <f t="shared" si="1"/>
        <v>2025</v>
      </c>
      <c r="BL27" s="261">
        <f t="shared" si="1"/>
        <v>2025</v>
      </c>
      <c r="BM27" s="261">
        <f t="shared" si="1"/>
        <v>2025</v>
      </c>
      <c r="BN27" s="261">
        <f t="shared" si="1"/>
        <v>2025</v>
      </c>
      <c r="BO27" s="261">
        <f t="shared" si="1"/>
        <v>2025</v>
      </c>
      <c r="BP27" s="261">
        <f t="shared" si="1"/>
        <v>2025</v>
      </c>
      <c r="BQ27" s="261">
        <f t="shared" si="1"/>
        <v>2025</v>
      </c>
      <c r="BR27" s="261">
        <f t="shared" si="1"/>
        <v>2026</v>
      </c>
      <c r="BS27" s="261">
        <f t="shared" si="1"/>
        <v>2026</v>
      </c>
      <c r="BT27" s="261">
        <f t="shared" si="1"/>
        <v>2026</v>
      </c>
      <c r="BU27" s="261">
        <f t="shared" si="1"/>
        <v>2026</v>
      </c>
      <c r="BV27" s="261">
        <f t="shared" ref="AD27:CO27" si="2">YEAR(BV28)</f>
        <v>2026</v>
      </c>
      <c r="BW27" s="261">
        <f t="shared" si="2"/>
        <v>2026</v>
      </c>
      <c r="BX27" s="261">
        <f t="shared" si="2"/>
        <v>2026</v>
      </c>
      <c r="BY27" s="261">
        <f t="shared" si="2"/>
        <v>2026</v>
      </c>
      <c r="BZ27" s="261">
        <f t="shared" si="2"/>
        <v>2026</v>
      </c>
      <c r="CA27" s="261">
        <f t="shared" si="2"/>
        <v>2026</v>
      </c>
      <c r="CB27" s="261">
        <f t="shared" si="2"/>
        <v>2026</v>
      </c>
      <c r="CC27" s="261">
        <f t="shared" si="2"/>
        <v>2026</v>
      </c>
      <c r="CD27" s="261">
        <f t="shared" si="2"/>
        <v>2027</v>
      </c>
      <c r="CE27" s="261">
        <f t="shared" si="2"/>
        <v>2027</v>
      </c>
      <c r="CF27" s="261">
        <f t="shared" si="2"/>
        <v>2027</v>
      </c>
      <c r="CG27" s="261">
        <f t="shared" si="2"/>
        <v>2027</v>
      </c>
      <c r="CH27" s="261">
        <f t="shared" si="2"/>
        <v>2027</v>
      </c>
      <c r="CI27" s="261">
        <f t="shared" si="2"/>
        <v>2027</v>
      </c>
      <c r="CJ27" s="261">
        <f t="shared" si="2"/>
        <v>2027</v>
      </c>
      <c r="CK27" s="261">
        <f t="shared" si="2"/>
        <v>2027</v>
      </c>
      <c r="CL27" s="261">
        <f t="shared" si="2"/>
        <v>2027</v>
      </c>
      <c r="CM27" s="261">
        <f t="shared" si="2"/>
        <v>2027</v>
      </c>
      <c r="CN27" s="261">
        <f t="shared" si="2"/>
        <v>2027</v>
      </c>
      <c r="CO27" s="262">
        <f t="shared" si="2"/>
        <v>2027</v>
      </c>
      <c r="CP27" s="133" t="s">
        <v>15</v>
      </c>
    </row>
    <row r="28" spans="2:94" ht="15" x14ac:dyDescent="0.25">
      <c r="H28" s="146" t="s">
        <v>188</v>
      </c>
      <c r="I28" s="263">
        <f>H18</f>
        <v>44196</v>
      </c>
      <c r="J28" s="264">
        <f>EOMONTH(I28,1)</f>
        <v>44227</v>
      </c>
      <c r="K28" s="264">
        <f t="shared" ref="K28:BV28" si="3">EOMONTH(J28,1)</f>
        <v>44255</v>
      </c>
      <c r="L28" s="264">
        <f t="shared" si="3"/>
        <v>44286</v>
      </c>
      <c r="M28" s="264">
        <f t="shared" si="3"/>
        <v>44316</v>
      </c>
      <c r="N28" s="264">
        <f t="shared" si="3"/>
        <v>44347</v>
      </c>
      <c r="O28" s="264">
        <f t="shared" si="3"/>
        <v>44377</v>
      </c>
      <c r="P28" s="264">
        <f t="shared" si="3"/>
        <v>44408</v>
      </c>
      <c r="Q28" s="264">
        <f t="shared" si="3"/>
        <v>44439</v>
      </c>
      <c r="R28" s="264">
        <f t="shared" si="3"/>
        <v>44469</v>
      </c>
      <c r="S28" s="264">
        <f t="shared" si="3"/>
        <v>44500</v>
      </c>
      <c r="T28" s="264">
        <f t="shared" si="3"/>
        <v>44530</v>
      </c>
      <c r="U28" s="264">
        <f t="shared" si="3"/>
        <v>44561</v>
      </c>
      <c r="V28" s="264">
        <f t="shared" si="3"/>
        <v>44592</v>
      </c>
      <c r="W28" s="264">
        <f t="shared" si="3"/>
        <v>44620</v>
      </c>
      <c r="X28" s="264">
        <f t="shared" si="3"/>
        <v>44651</v>
      </c>
      <c r="Y28" s="264">
        <f t="shared" si="3"/>
        <v>44681</v>
      </c>
      <c r="Z28" s="264">
        <f t="shared" si="3"/>
        <v>44712</v>
      </c>
      <c r="AA28" s="264">
        <f t="shared" si="3"/>
        <v>44742</v>
      </c>
      <c r="AB28" s="264">
        <f t="shared" si="3"/>
        <v>44773</v>
      </c>
      <c r="AC28" s="264">
        <f t="shared" si="3"/>
        <v>44804</v>
      </c>
      <c r="AD28" s="264">
        <f t="shared" si="3"/>
        <v>44834</v>
      </c>
      <c r="AE28" s="264">
        <f t="shared" si="3"/>
        <v>44865</v>
      </c>
      <c r="AF28" s="264">
        <f t="shared" si="3"/>
        <v>44895</v>
      </c>
      <c r="AG28" s="264">
        <f t="shared" si="3"/>
        <v>44926</v>
      </c>
      <c r="AH28" s="264">
        <f t="shared" si="3"/>
        <v>44957</v>
      </c>
      <c r="AI28" s="264">
        <f t="shared" si="3"/>
        <v>44985</v>
      </c>
      <c r="AJ28" s="264">
        <f t="shared" si="3"/>
        <v>45016</v>
      </c>
      <c r="AK28" s="264">
        <f t="shared" si="3"/>
        <v>45046</v>
      </c>
      <c r="AL28" s="264">
        <f t="shared" si="3"/>
        <v>45077</v>
      </c>
      <c r="AM28" s="264">
        <f t="shared" si="3"/>
        <v>45107</v>
      </c>
      <c r="AN28" s="264">
        <f t="shared" si="3"/>
        <v>45138</v>
      </c>
      <c r="AO28" s="264">
        <f t="shared" si="3"/>
        <v>45169</v>
      </c>
      <c r="AP28" s="264">
        <f t="shared" si="3"/>
        <v>45199</v>
      </c>
      <c r="AQ28" s="264">
        <f t="shared" si="3"/>
        <v>45230</v>
      </c>
      <c r="AR28" s="264">
        <f t="shared" si="3"/>
        <v>45260</v>
      </c>
      <c r="AS28" s="264">
        <f t="shared" si="3"/>
        <v>45291</v>
      </c>
      <c r="AT28" s="264">
        <f t="shared" si="3"/>
        <v>45322</v>
      </c>
      <c r="AU28" s="264">
        <f t="shared" si="3"/>
        <v>45351</v>
      </c>
      <c r="AV28" s="264">
        <f t="shared" si="3"/>
        <v>45382</v>
      </c>
      <c r="AW28" s="264">
        <f t="shared" si="3"/>
        <v>45412</v>
      </c>
      <c r="AX28" s="264">
        <f t="shared" si="3"/>
        <v>45443</v>
      </c>
      <c r="AY28" s="264">
        <f t="shared" si="3"/>
        <v>45473</v>
      </c>
      <c r="AZ28" s="264">
        <f t="shared" si="3"/>
        <v>45504</v>
      </c>
      <c r="BA28" s="264">
        <f t="shared" si="3"/>
        <v>45535</v>
      </c>
      <c r="BB28" s="264">
        <f t="shared" si="3"/>
        <v>45565</v>
      </c>
      <c r="BC28" s="264">
        <f t="shared" si="3"/>
        <v>45596</v>
      </c>
      <c r="BD28" s="264">
        <f t="shared" si="3"/>
        <v>45626</v>
      </c>
      <c r="BE28" s="264">
        <f t="shared" si="3"/>
        <v>45657</v>
      </c>
      <c r="BF28" s="264">
        <f t="shared" si="3"/>
        <v>45688</v>
      </c>
      <c r="BG28" s="264">
        <f t="shared" si="3"/>
        <v>45716</v>
      </c>
      <c r="BH28" s="264">
        <f t="shared" si="3"/>
        <v>45747</v>
      </c>
      <c r="BI28" s="264">
        <f t="shared" si="3"/>
        <v>45777</v>
      </c>
      <c r="BJ28" s="264">
        <f t="shared" si="3"/>
        <v>45808</v>
      </c>
      <c r="BK28" s="264">
        <f t="shared" si="3"/>
        <v>45838</v>
      </c>
      <c r="BL28" s="264">
        <f t="shared" si="3"/>
        <v>45869</v>
      </c>
      <c r="BM28" s="264">
        <f t="shared" si="3"/>
        <v>45900</v>
      </c>
      <c r="BN28" s="264">
        <f t="shared" si="3"/>
        <v>45930</v>
      </c>
      <c r="BO28" s="264">
        <f t="shared" si="3"/>
        <v>45961</v>
      </c>
      <c r="BP28" s="264">
        <f t="shared" si="3"/>
        <v>45991</v>
      </c>
      <c r="BQ28" s="264">
        <f t="shared" si="3"/>
        <v>46022</v>
      </c>
      <c r="BR28" s="264">
        <f t="shared" si="3"/>
        <v>46053</v>
      </c>
      <c r="BS28" s="264">
        <f t="shared" si="3"/>
        <v>46081</v>
      </c>
      <c r="BT28" s="264">
        <f t="shared" si="3"/>
        <v>46112</v>
      </c>
      <c r="BU28" s="264">
        <f t="shared" si="3"/>
        <v>46142</v>
      </c>
      <c r="BV28" s="264">
        <f t="shared" si="3"/>
        <v>46173</v>
      </c>
      <c r="BW28" s="264">
        <f t="shared" ref="BW28:CO28" si="4">EOMONTH(BV28,1)</f>
        <v>46203</v>
      </c>
      <c r="BX28" s="264">
        <f t="shared" si="4"/>
        <v>46234</v>
      </c>
      <c r="BY28" s="264">
        <f t="shared" si="4"/>
        <v>46265</v>
      </c>
      <c r="BZ28" s="264">
        <f t="shared" si="4"/>
        <v>46295</v>
      </c>
      <c r="CA28" s="264">
        <f t="shared" si="4"/>
        <v>46326</v>
      </c>
      <c r="CB28" s="264">
        <f t="shared" si="4"/>
        <v>46356</v>
      </c>
      <c r="CC28" s="264">
        <f t="shared" si="4"/>
        <v>46387</v>
      </c>
      <c r="CD28" s="264">
        <f t="shared" si="4"/>
        <v>46418</v>
      </c>
      <c r="CE28" s="264">
        <f t="shared" si="4"/>
        <v>46446</v>
      </c>
      <c r="CF28" s="264">
        <f t="shared" si="4"/>
        <v>46477</v>
      </c>
      <c r="CG28" s="264">
        <f t="shared" si="4"/>
        <v>46507</v>
      </c>
      <c r="CH28" s="264">
        <f t="shared" si="4"/>
        <v>46538</v>
      </c>
      <c r="CI28" s="264">
        <f t="shared" si="4"/>
        <v>46568</v>
      </c>
      <c r="CJ28" s="264">
        <f t="shared" si="4"/>
        <v>46599</v>
      </c>
      <c r="CK28" s="264">
        <f t="shared" si="4"/>
        <v>46630</v>
      </c>
      <c r="CL28" s="264">
        <f t="shared" si="4"/>
        <v>46660</v>
      </c>
      <c r="CM28" s="264">
        <f t="shared" si="4"/>
        <v>46691</v>
      </c>
      <c r="CN28" s="264">
        <f t="shared" si="4"/>
        <v>46721</v>
      </c>
      <c r="CO28" s="265">
        <f t="shared" si="4"/>
        <v>46752</v>
      </c>
      <c r="CP28" s="133" t="s">
        <v>15</v>
      </c>
    </row>
    <row r="29" spans="2:94" ht="15" x14ac:dyDescent="0.25">
      <c r="B29" s="146" t="s">
        <v>189</v>
      </c>
      <c r="C29" s="146" t="s">
        <v>190</v>
      </c>
      <c r="D29" s="146" t="s">
        <v>191</v>
      </c>
      <c r="H29" s="146" t="s">
        <v>192</v>
      </c>
      <c r="I29" s="266">
        <v>31</v>
      </c>
      <c r="J29" s="267">
        <f>J28-I28</f>
        <v>31</v>
      </c>
      <c r="K29" s="267">
        <f t="shared" ref="K29:BV29" si="5">K28-J28</f>
        <v>28</v>
      </c>
      <c r="L29" s="267">
        <f t="shared" si="5"/>
        <v>31</v>
      </c>
      <c r="M29" s="267">
        <f t="shared" si="5"/>
        <v>30</v>
      </c>
      <c r="N29" s="267">
        <f t="shared" si="5"/>
        <v>31</v>
      </c>
      <c r="O29" s="267">
        <f t="shared" si="5"/>
        <v>30</v>
      </c>
      <c r="P29" s="267">
        <f t="shared" si="5"/>
        <v>31</v>
      </c>
      <c r="Q29" s="267">
        <f t="shared" si="5"/>
        <v>31</v>
      </c>
      <c r="R29" s="267">
        <f t="shared" si="5"/>
        <v>30</v>
      </c>
      <c r="S29" s="267">
        <f t="shared" si="5"/>
        <v>31</v>
      </c>
      <c r="T29" s="267">
        <f t="shared" si="5"/>
        <v>30</v>
      </c>
      <c r="U29" s="267">
        <f t="shared" si="5"/>
        <v>31</v>
      </c>
      <c r="V29" s="267">
        <f t="shared" si="5"/>
        <v>31</v>
      </c>
      <c r="W29" s="267">
        <f t="shared" si="5"/>
        <v>28</v>
      </c>
      <c r="X29" s="267">
        <f t="shared" si="5"/>
        <v>31</v>
      </c>
      <c r="Y29" s="267">
        <f t="shared" si="5"/>
        <v>30</v>
      </c>
      <c r="Z29" s="267">
        <f t="shared" si="5"/>
        <v>31</v>
      </c>
      <c r="AA29" s="267">
        <f t="shared" si="5"/>
        <v>30</v>
      </c>
      <c r="AB29" s="267">
        <f t="shared" si="5"/>
        <v>31</v>
      </c>
      <c r="AC29" s="267">
        <f t="shared" si="5"/>
        <v>31</v>
      </c>
      <c r="AD29" s="267">
        <f t="shared" si="5"/>
        <v>30</v>
      </c>
      <c r="AE29" s="267">
        <f t="shared" si="5"/>
        <v>31</v>
      </c>
      <c r="AF29" s="267">
        <f t="shared" si="5"/>
        <v>30</v>
      </c>
      <c r="AG29" s="267">
        <f t="shared" si="5"/>
        <v>31</v>
      </c>
      <c r="AH29" s="267">
        <f t="shared" si="5"/>
        <v>31</v>
      </c>
      <c r="AI29" s="267">
        <f t="shared" si="5"/>
        <v>28</v>
      </c>
      <c r="AJ29" s="267">
        <f t="shared" si="5"/>
        <v>31</v>
      </c>
      <c r="AK29" s="267">
        <f t="shared" si="5"/>
        <v>30</v>
      </c>
      <c r="AL29" s="267">
        <f t="shared" si="5"/>
        <v>31</v>
      </c>
      <c r="AM29" s="267">
        <f t="shared" si="5"/>
        <v>30</v>
      </c>
      <c r="AN29" s="267">
        <f t="shared" si="5"/>
        <v>31</v>
      </c>
      <c r="AO29" s="267">
        <f t="shared" si="5"/>
        <v>31</v>
      </c>
      <c r="AP29" s="267">
        <f t="shared" si="5"/>
        <v>30</v>
      </c>
      <c r="AQ29" s="267">
        <f t="shared" si="5"/>
        <v>31</v>
      </c>
      <c r="AR29" s="267">
        <f t="shared" si="5"/>
        <v>30</v>
      </c>
      <c r="AS29" s="267">
        <f t="shared" si="5"/>
        <v>31</v>
      </c>
      <c r="AT29" s="267">
        <f t="shared" si="5"/>
        <v>31</v>
      </c>
      <c r="AU29" s="267">
        <f t="shared" si="5"/>
        <v>29</v>
      </c>
      <c r="AV29" s="267">
        <f t="shared" si="5"/>
        <v>31</v>
      </c>
      <c r="AW29" s="267">
        <f t="shared" si="5"/>
        <v>30</v>
      </c>
      <c r="AX29" s="267">
        <f t="shared" si="5"/>
        <v>31</v>
      </c>
      <c r="AY29" s="267">
        <f t="shared" si="5"/>
        <v>30</v>
      </c>
      <c r="AZ29" s="267">
        <f t="shared" si="5"/>
        <v>31</v>
      </c>
      <c r="BA29" s="267">
        <f t="shared" si="5"/>
        <v>31</v>
      </c>
      <c r="BB29" s="267">
        <f t="shared" si="5"/>
        <v>30</v>
      </c>
      <c r="BC29" s="267">
        <f t="shared" si="5"/>
        <v>31</v>
      </c>
      <c r="BD29" s="267">
        <f t="shared" si="5"/>
        <v>30</v>
      </c>
      <c r="BE29" s="267">
        <f t="shared" si="5"/>
        <v>31</v>
      </c>
      <c r="BF29" s="267">
        <f t="shared" si="5"/>
        <v>31</v>
      </c>
      <c r="BG29" s="267">
        <f t="shared" si="5"/>
        <v>28</v>
      </c>
      <c r="BH29" s="267">
        <f t="shared" si="5"/>
        <v>31</v>
      </c>
      <c r="BI29" s="267">
        <f t="shared" si="5"/>
        <v>30</v>
      </c>
      <c r="BJ29" s="267">
        <f t="shared" si="5"/>
        <v>31</v>
      </c>
      <c r="BK29" s="267">
        <f t="shared" si="5"/>
        <v>30</v>
      </c>
      <c r="BL29" s="267">
        <f t="shared" si="5"/>
        <v>31</v>
      </c>
      <c r="BM29" s="267">
        <f t="shared" si="5"/>
        <v>31</v>
      </c>
      <c r="BN29" s="267">
        <f t="shared" si="5"/>
        <v>30</v>
      </c>
      <c r="BO29" s="267">
        <f t="shared" si="5"/>
        <v>31</v>
      </c>
      <c r="BP29" s="267">
        <f t="shared" si="5"/>
        <v>30</v>
      </c>
      <c r="BQ29" s="267">
        <f t="shared" si="5"/>
        <v>31</v>
      </c>
      <c r="BR29" s="267">
        <f t="shared" si="5"/>
        <v>31</v>
      </c>
      <c r="BS29" s="267">
        <f t="shared" si="5"/>
        <v>28</v>
      </c>
      <c r="BT29" s="267">
        <f t="shared" si="5"/>
        <v>31</v>
      </c>
      <c r="BU29" s="267">
        <f t="shared" si="5"/>
        <v>30</v>
      </c>
      <c r="BV29" s="267">
        <f t="shared" si="5"/>
        <v>31</v>
      </c>
      <c r="BW29" s="267">
        <f t="shared" ref="BW29:CO29" si="6">BW28-BV28</f>
        <v>30</v>
      </c>
      <c r="BX29" s="267">
        <f t="shared" si="6"/>
        <v>31</v>
      </c>
      <c r="BY29" s="267">
        <f t="shared" si="6"/>
        <v>31</v>
      </c>
      <c r="BZ29" s="267">
        <f t="shared" si="6"/>
        <v>30</v>
      </c>
      <c r="CA29" s="267">
        <f t="shared" si="6"/>
        <v>31</v>
      </c>
      <c r="CB29" s="267">
        <f t="shared" si="6"/>
        <v>30</v>
      </c>
      <c r="CC29" s="267">
        <f t="shared" si="6"/>
        <v>31</v>
      </c>
      <c r="CD29" s="267">
        <f t="shared" si="6"/>
        <v>31</v>
      </c>
      <c r="CE29" s="267">
        <f t="shared" si="6"/>
        <v>28</v>
      </c>
      <c r="CF29" s="267">
        <f t="shared" si="6"/>
        <v>31</v>
      </c>
      <c r="CG29" s="267">
        <f t="shared" si="6"/>
        <v>30</v>
      </c>
      <c r="CH29" s="267">
        <f t="shared" si="6"/>
        <v>31</v>
      </c>
      <c r="CI29" s="267">
        <f t="shared" si="6"/>
        <v>30</v>
      </c>
      <c r="CJ29" s="267">
        <f t="shared" si="6"/>
        <v>31</v>
      </c>
      <c r="CK29" s="267">
        <f t="shared" si="6"/>
        <v>31</v>
      </c>
      <c r="CL29" s="267">
        <f t="shared" si="6"/>
        <v>30</v>
      </c>
      <c r="CM29" s="267">
        <f t="shared" si="6"/>
        <v>31</v>
      </c>
      <c r="CN29" s="267">
        <f t="shared" si="6"/>
        <v>30</v>
      </c>
      <c r="CO29" s="268">
        <f t="shared" si="6"/>
        <v>31</v>
      </c>
      <c r="CP29" s="131" t="s">
        <v>15</v>
      </c>
    </row>
    <row r="30" spans="2:94" ht="15" customHeight="1" x14ac:dyDescent="0.2"/>
    <row r="31" spans="2:94" ht="15" customHeight="1" x14ac:dyDescent="0.25">
      <c r="F31" s="132" t="s">
        <v>193</v>
      </c>
    </row>
    <row r="32" spans="2:94" ht="15" customHeight="1" x14ac:dyDescent="0.2">
      <c r="C32" s="133" t="s">
        <v>297</v>
      </c>
    </row>
    <row r="33" spans="2:94" ht="15" customHeight="1" x14ac:dyDescent="0.2">
      <c r="C33" s="133" t="s">
        <v>195</v>
      </c>
      <c r="D33" s="259" t="s">
        <v>194</v>
      </c>
      <c r="E33" s="269"/>
      <c r="F33" s="133" t="s">
        <v>299</v>
      </c>
      <c r="I33" s="136">
        <f>IFERROR(INDEX(NOI!$C$76:$H$76,MATCH(I27,NOI!$C$8:$H$8,0))/12,0)</f>
        <v>0</v>
      </c>
      <c r="J33" s="136">
        <f ca="1">IFERROR(INDEX(NOI!$C$76:$H$76,MATCH(J27,NOI!$C$8:$H$8,0))/12,0)</f>
        <v>246463.73149999997</v>
      </c>
      <c r="K33" s="136">
        <f ca="1">IFERROR(INDEX(NOI!$C$76:$H$76,MATCH(K27,NOI!$C$8:$H$8,0))/12,0)</f>
        <v>246463.73149999997</v>
      </c>
      <c r="L33" s="136">
        <f ca="1">IFERROR(INDEX(NOI!$C$76:$H$76,MATCH(L27,NOI!$C$8:$H$8,0))/12,0)</f>
        <v>246463.73149999997</v>
      </c>
      <c r="M33" s="136">
        <f ca="1">IFERROR(INDEX(NOI!$C$76:$H$76,MATCH(M27,NOI!$C$8:$H$8,0))/12,0)</f>
        <v>246463.73149999997</v>
      </c>
      <c r="N33" s="136">
        <f ca="1">IFERROR(INDEX(NOI!$C$76:$H$76,MATCH(N27,NOI!$C$8:$H$8,0))/12,0)</f>
        <v>246463.73149999997</v>
      </c>
      <c r="O33" s="136">
        <f ca="1">IFERROR(INDEX(NOI!$C$76:$H$76,MATCH(O27,NOI!$C$8:$H$8,0))/12,0)</f>
        <v>246463.73149999997</v>
      </c>
      <c r="P33" s="136">
        <f ca="1">IFERROR(INDEX(NOI!$C$76:$H$76,MATCH(P27,NOI!$C$8:$H$8,0))/12,0)</f>
        <v>246463.73149999997</v>
      </c>
      <c r="Q33" s="136">
        <f ca="1">IFERROR(INDEX(NOI!$C$76:$H$76,MATCH(Q27,NOI!$C$8:$H$8,0))/12,0)</f>
        <v>246463.73149999997</v>
      </c>
      <c r="R33" s="136">
        <f ca="1">IFERROR(INDEX(NOI!$C$76:$H$76,MATCH(R27,NOI!$C$8:$H$8,0))/12,0)</f>
        <v>246463.73149999997</v>
      </c>
      <c r="S33" s="136">
        <f ca="1">IFERROR(INDEX(NOI!$C$76:$H$76,MATCH(S27,NOI!$C$8:$H$8,0))/12,0)</f>
        <v>246463.73149999997</v>
      </c>
      <c r="T33" s="136">
        <f ca="1">IFERROR(INDEX(NOI!$C$76:$H$76,MATCH(T27,NOI!$C$8:$H$8,0))/12,0)</f>
        <v>246463.73149999997</v>
      </c>
      <c r="U33" s="136">
        <f ca="1">IFERROR(INDEX(NOI!$C$76:$H$76,MATCH(U27,NOI!$C$8:$H$8,0))/12,0)</f>
        <v>246463.73149999997</v>
      </c>
      <c r="V33" s="136">
        <f ca="1">IFERROR(INDEX(NOI!$C$76:$H$76,MATCH(V27,NOI!$C$8:$H$8,0))/12,0)</f>
        <v>294896.3159073749</v>
      </c>
      <c r="W33" s="136">
        <f ca="1">IFERROR(INDEX(NOI!$C$76:$H$76,MATCH(W27,NOI!$C$8:$H$8,0))/12,0)</f>
        <v>294896.3159073749</v>
      </c>
      <c r="X33" s="136">
        <f ca="1">IFERROR(INDEX(NOI!$C$76:$H$76,MATCH(X27,NOI!$C$8:$H$8,0))/12,0)</f>
        <v>294896.3159073749</v>
      </c>
      <c r="Y33" s="136">
        <f ca="1">IFERROR(INDEX(NOI!$C$76:$H$76,MATCH(Y27,NOI!$C$8:$H$8,0))/12,0)</f>
        <v>294896.3159073749</v>
      </c>
      <c r="Z33" s="136">
        <f ca="1">IFERROR(INDEX(NOI!$C$76:$H$76,MATCH(Z27,NOI!$C$8:$H$8,0))/12,0)</f>
        <v>294896.3159073749</v>
      </c>
      <c r="AA33" s="136">
        <f ca="1">IFERROR(INDEX(NOI!$C$76:$H$76,MATCH(AA27,NOI!$C$8:$H$8,0))/12,0)</f>
        <v>294896.3159073749</v>
      </c>
      <c r="AB33" s="136">
        <f ca="1">IFERROR(INDEX(NOI!$C$76:$H$76,MATCH(AB27,NOI!$C$8:$H$8,0))/12,0)</f>
        <v>294896.3159073749</v>
      </c>
      <c r="AC33" s="136">
        <f ca="1">IFERROR(INDEX(NOI!$C$76:$H$76,MATCH(AC27,NOI!$C$8:$H$8,0))/12,0)</f>
        <v>294896.3159073749</v>
      </c>
      <c r="AD33" s="136">
        <f ca="1">IFERROR(INDEX(NOI!$C$76:$H$76,MATCH(AD27,NOI!$C$8:$H$8,0))/12,0)</f>
        <v>294896.3159073749</v>
      </c>
      <c r="AE33" s="136">
        <f ca="1">IFERROR(INDEX(NOI!$C$76:$H$76,MATCH(AE27,NOI!$C$8:$H$8,0))/12,0)</f>
        <v>294896.3159073749</v>
      </c>
      <c r="AF33" s="136">
        <f ca="1">IFERROR(INDEX(NOI!$C$76:$H$76,MATCH(AF27,NOI!$C$8:$H$8,0))/12,0)</f>
        <v>294896.3159073749</v>
      </c>
      <c r="AG33" s="136">
        <f ca="1">IFERROR(INDEX(NOI!$C$76:$H$76,MATCH(AG27,NOI!$C$8:$H$8,0))/12,0)</f>
        <v>294896.3159073749</v>
      </c>
      <c r="AH33" s="136">
        <f ca="1">IFERROR(INDEX(NOI!$C$76:$H$76,MATCH(AH27,NOI!$C$8:$H$8,0))/12,0)</f>
        <v>314402.5132983856</v>
      </c>
      <c r="AI33" s="136">
        <f ca="1">IFERROR(INDEX(NOI!$C$76:$H$76,MATCH(AI27,NOI!$C$8:$H$8,0))/12,0)</f>
        <v>314402.5132983856</v>
      </c>
      <c r="AJ33" s="136">
        <f ca="1">IFERROR(INDEX(NOI!$C$76:$H$76,MATCH(AJ27,NOI!$C$8:$H$8,0))/12,0)</f>
        <v>314402.5132983856</v>
      </c>
      <c r="AK33" s="136">
        <f ca="1">IFERROR(INDEX(NOI!$C$76:$H$76,MATCH(AK27,NOI!$C$8:$H$8,0))/12,0)</f>
        <v>314402.5132983856</v>
      </c>
      <c r="AL33" s="136">
        <f ca="1">IFERROR(INDEX(NOI!$C$76:$H$76,MATCH(AL27,NOI!$C$8:$H$8,0))/12,0)</f>
        <v>314402.5132983856</v>
      </c>
      <c r="AM33" s="136">
        <f ca="1">IFERROR(INDEX(NOI!$C$76:$H$76,MATCH(AM27,NOI!$C$8:$H$8,0))/12,0)</f>
        <v>314402.5132983856</v>
      </c>
      <c r="AN33" s="136">
        <f ca="1">IFERROR(INDEX(NOI!$C$76:$H$76,MATCH(AN27,NOI!$C$8:$H$8,0))/12,0)</f>
        <v>314402.5132983856</v>
      </c>
      <c r="AO33" s="136">
        <f ca="1">IFERROR(INDEX(NOI!$C$76:$H$76,MATCH(AO27,NOI!$C$8:$H$8,0))/12,0)</f>
        <v>314402.5132983856</v>
      </c>
      <c r="AP33" s="136">
        <f ca="1">IFERROR(INDEX(NOI!$C$76:$H$76,MATCH(AP27,NOI!$C$8:$H$8,0))/12,0)</f>
        <v>314402.5132983856</v>
      </c>
      <c r="AQ33" s="136">
        <f ca="1">IFERROR(INDEX(NOI!$C$76:$H$76,MATCH(AQ27,NOI!$C$8:$H$8,0))/12,0)</f>
        <v>314402.5132983856</v>
      </c>
      <c r="AR33" s="136">
        <f ca="1">IFERROR(INDEX(NOI!$C$76:$H$76,MATCH(AR27,NOI!$C$8:$H$8,0))/12,0)</f>
        <v>314402.5132983856</v>
      </c>
      <c r="AS33" s="136">
        <f ca="1">IFERROR(INDEX(NOI!$C$76:$H$76,MATCH(AS27,NOI!$C$8:$H$8,0))/12,0)</f>
        <v>314402.5132983856</v>
      </c>
      <c r="AT33" s="136">
        <f ca="1">IFERROR(INDEX(NOI!$C$76:$H$76,MATCH(AT27,NOI!$C$8:$H$8,0))/12,0)</f>
        <v>342964.547660232</v>
      </c>
      <c r="AU33" s="136">
        <f ca="1">IFERROR(INDEX(NOI!$C$76:$H$76,MATCH(AU27,NOI!$C$8:$H$8,0))/12,0)</f>
        <v>342964.547660232</v>
      </c>
      <c r="AV33" s="136">
        <f ca="1">IFERROR(INDEX(NOI!$C$76:$H$76,MATCH(AV27,NOI!$C$8:$H$8,0))/12,0)</f>
        <v>342964.547660232</v>
      </c>
      <c r="AW33" s="136">
        <f ca="1">IFERROR(INDEX(NOI!$C$76:$H$76,MATCH(AW27,NOI!$C$8:$H$8,0))/12,0)</f>
        <v>342964.547660232</v>
      </c>
      <c r="AX33" s="136">
        <f ca="1">IFERROR(INDEX(NOI!$C$76:$H$76,MATCH(AX27,NOI!$C$8:$H$8,0))/12,0)</f>
        <v>342964.547660232</v>
      </c>
      <c r="AY33" s="136">
        <f ca="1">IFERROR(INDEX(NOI!$C$76:$H$76,MATCH(AY27,NOI!$C$8:$H$8,0))/12,0)</f>
        <v>342964.547660232</v>
      </c>
      <c r="AZ33" s="136">
        <f ca="1">IFERROR(INDEX(NOI!$C$76:$H$76,MATCH(AZ27,NOI!$C$8:$H$8,0))/12,0)</f>
        <v>342964.547660232</v>
      </c>
      <c r="BA33" s="136">
        <f ca="1">IFERROR(INDEX(NOI!$C$76:$H$76,MATCH(BA27,NOI!$C$8:$H$8,0))/12,0)</f>
        <v>342964.547660232</v>
      </c>
      <c r="BB33" s="136">
        <f ca="1">IFERROR(INDEX(NOI!$C$76:$H$76,MATCH(BB27,NOI!$C$8:$H$8,0))/12,0)</f>
        <v>342964.547660232</v>
      </c>
      <c r="BC33" s="136">
        <f ca="1">IFERROR(INDEX(NOI!$C$76:$H$76,MATCH(BC27,NOI!$C$8:$H$8,0))/12,0)</f>
        <v>342964.547660232</v>
      </c>
      <c r="BD33" s="136">
        <f ca="1">IFERROR(INDEX(NOI!$C$76:$H$76,MATCH(BD27,NOI!$C$8:$H$8,0))/12,0)</f>
        <v>342964.547660232</v>
      </c>
      <c r="BE33" s="136">
        <f ca="1">IFERROR(INDEX(NOI!$C$76:$H$76,MATCH(BE27,NOI!$C$8:$H$8,0))/12,0)</f>
        <v>342964.547660232</v>
      </c>
      <c r="BF33" s="136">
        <f ca="1">IFERROR(INDEX(NOI!$C$76:$H$76,MATCH(BF27,NOI!$C$8:$H$8,0))/12,0)</f>
        <v>325167.19871248916</v>
      </c>
      <c r="BG33" s="136">
        <f ca="1">IFERROR(INDEX(NOI!$C$76:$H$76,MATCH(BG27,NOI!$C$8:$H$8,0))/12,0)</f>
        <v>325167.19871248916</v>
      </c>
      <c r="BH33" s="136">
        <f ca="1">IFERROR(INDEX(NOI!$C$76:$H$76,MATCH(BH27,NOI!$C$8:$H$8,0))/12,0)</f>
        <v>325167.19871248916</v>
      </c>
      <c r="BI33" s="136">
        <f ca="1">IFERROR(INDEX(NOI!$C$76:$H$76,MATCH(BI27,NOI!$C$8:$H$8,0))/12,0)</f>
        <v>325167.19871248916</v>
      </c>
      <c r="BJ33" s="136">
        <f ca="1">IFERROR(INDEX(NOI!$C$76:$H$76,MATCH(BJ27,NOI!$C$8:$H$8,0))/12,0)</f>
        <v>325167.19871248916</v>
      </c>
      <c r="BK33" s="136">
        <f ca="1">IFERROR(INDEX(NOI!$C$76:$H$76,MATCH(BK27,NOI!$C$8:$H$8,0))/12,0)</f>
        <v>325167.19871248916</v>
      </c>
      <c r="BL33" s="136">
        <f ca="1">IFERROR(INDEX(NOI!$C$76:$H$76,MATCH(BL27,NOI!$C$8:$H$8,0))/12,0)</f>
        <v>325167.19871248916</v>
      </c>
      <c r="BM33" s="136">
        <f ca="1">IFERROR(INDEX(NOI!$C$76:$H$76,MATCH(BM27,NOI!$C$8:$H$8,0))/12,0)</f>
        <v>325167.19871248916</v>
      </c>
      <c r="BN33" s="136">
        <f ca="1">IFERROR(INDEX(NOI!$C$76:$H$76,MATCH(BN27,NOI!$C$8:$H$8,0))/12,0)</f>
        <v>325167.19871248916</v>
      </c>
      <c r="BO33" s="136">
        <f ca="1">IFERROR(INDEX(NOI!$C$76:$H$76,MATCH(BO27,NOI!$C$8:$H$8,0))/12,0)</f>
        <v>325167.19871248916</v>
      </c>
      <c r="BP33" s="136">
        <f ca="1">IFERROR(INDEX(NOI!$C$76:$H$76,MATCH(BP27,NOI!$C$8:$H$8,0))/12,0)</f>
        <v>325167.19871248916</v>
      </c>
      <c r="BQ33" s="136">
        <f ca="1">IFERROR(INDEX(NOI!$C$76:$H$76,MATCH(BQ27,NOI!$C$8:$H$8,0))/12,0)</f>
        <v>325167.19871248916</v>
      </c>
      <c r="BR33" s="136">
        <f ca="1">IFERROR(INDEX(NOI!$C$76:$H$76,MATCH(BR27,NOI!$C$8:$H$8,0))/12,0)</f>
        <v>339812.11046128458</v>
      </c>
      <c r="BS33" s="136">
        <f ca="1">IFERROR(INDEX(NOI!$C$76:$H$76,MATCH(BS27,NOI!$C$8:$H$8,0))/12,0)</f>
        <v>339812.11046128458</v>
      </c>
      <c r="BT33" s="136">
        <f ca="1">IFERROR(INDEX(NOI!$C$76:$H$76,MATCH(BT27,NOI!$C$8:$H$8,0))/12,0)</f>
        <v>339812.11046128458</v>
      </c>
      <c r="BU33" s="136">
        <f ca="1">IFERROR(INDEX(NOI!$C$76:$H$76,MATCH(BU27,NOI!$C$8:$H$8,0))/12,0)</f>
        <v>339812.11046128458</v>
      </c>
      <c r="BV33" s="136">
        <f ca="1">IFERROR(INDEX(NOI!$C$76:$H$76,MATCH(BV27,NOI!$C$8:$H$8,0))/12,0)</f>
        <v>339812.11046128458</v>
      </c>
      <c r="BW33" s="136">
        <f ca="1">IFERROR(INDEX(NOI!$C$76:$H$76,MATCH(BW27,NOI!$C$8:$H$8,0))/12,0)</f>
        <v>339812.11046128458</v>
      </c>
      <c r="BX33" s="136">
        <f ca="1">IFERROR(INDEX(NOI!$C$76:$H$76,MATCH(BX27,NOI!$C$8:$H$8,0))/12,0)</f>
        <v>339812.11046128458</v>
      </c>
      <c r="BY33" s="136">
        <f ca="1">IFERROR(INDEX(NOI!$C$76:$H$76,MATCH(BY27,NOI!$C$8:$H$8,0))/12,0)</f>
        <v>339812.11046128458</v>
      </c>
      <c r="BZ33" s="136">
        <f ca="1">IFERROR(INDEX(NOI!$C$76:$H$76,MATCH(BZ27,NOI!$C$8:$H$8,0))/12,0)</f>
        <v>339812.11046128458</v>
      </c>
      <c r="CA33" s="136">
        <f ca="1">IFERROR(INDEX(NOI!$C$76:$H$76,MATCH(CA27,NOI!$C$8:$H$8,0))/12,0)</f>
        <v>339812.11046128458</v>
      </c>
      <c r="CB33" s="136">
        <f ca="1">IFERROR(INDEX(NOI!$C$76:$H$76,MATCH(CB27,NOI!$C$8:$H$8,0))/12,0)</f>
        <v>339812.11046128458</v>
      </c>
      <c r="CC33" s="136">
        <f ca="1">IFERROR(INDEX(NOI!$C$76:$H$76,MATCH(CC27,NOI!$C$8:$H$8,0))/12,0)</f>
        <v>339812.11046128458</v>
      </c>
      <c r="CD33" s="136">
        <f>IFERROR(INDEX(NOI!$C$76:$H$76,MATCH(CD27,NOI!$C$8:$H$8,0))/12,0)</f>
        <v>0</v>
      </c>
      <c r="CE33" s="136">
        <f>IFERROR(INDEX(NOI!$C$76:$H$76,MATCH(CE27,NOI!$C$8:$H$8,0))/12,0)</f>
        <v>0</v>
      </c>
      <c r="CF33" s="136">
        <f>IFERROR(INDEX(NOI!$C$76:$H$76,MATCH(CF27,NOI!$C$8:$H$8,0))/12,0)</f>
        <v>0</v>
      </c>
      <c r="CG33" s="136">
        <f>IFERROR(INDEX(NOI!$C$76:$H$76,MATCH(CG27,NOI!$C$8:$H$8,0))/12,0)</f>
        <v>0</v>
      </c>
      <c r="CH33" s="136">
        <f>IFERROR(INDEX(NOI!$C$76:$H$76,MATCH(CH27,NOI!$C$8:$H$8,0))/12,0)</f>
        <v>0</v>
      </c>
      <c r="CI33" s="136">
        <f>IFERROR(INDEX(NOI!$C$76:$H$76,MATCH(CI27,NOI!$C$8:$H$8,0))/12,0)</f>
        <v>0</v>
      </c>
      <c r="CJ33" s="136">
        <f>IFERROR(INDEX(NOI!$C$76:$H$76,MATCH(CJ27,NOI!$C$8:$H$8,0))/12,0)</f>
        <v>0</v>
      </c>
      <c r="CK33" s="136">
        <f>IFERROR(INDEX(NOI!$C$76:$H$76,MATCH(CK27,NOI!$C$8:$H$8,0))/12,0)</f>
        <v>0</v>
      </c>
      <c r="CL33" s="136">
        <f>IFERROR(INDEX(NOI!$C$76:$H$76,MATCH(CL27,NOI!$C$8:$H$8,0))/12,0)</f>
        <v>0</v>
      </c>
      <c r="CM33" s="136">
        <f>IFERROR(INDEX(NOI!$C$76:$H$76,MATCH(CM27,NOI!$C$8:$H$8,0))/12,0)</f>
        <v>0</v>
      </c>
      <c r="CN33" s="136">
        <f>IFERROR(INDEX(NOI!$C$76:$H$76,MATCH(CN27,NOI!$C$8:$H$8,0))/12,0)</f>
        <v>0</v>
      </c>
      <c r="CO33" s="136">
        <f>IFERROR(INDEX(NOI!$C$76:$H$76,MATCH(CO27,NOI!$C$8:$H$8,0))/12,0)</f>
        <v>0</v>
      </c>
      <c r="CP33" s="133" t="s">
        <v>15</v>
      </c>
    </row>
    <row r="34" spans="2:94" ht="15" customHeight="1" x14ac:dyDescent="0.2">
      <c r="D34" s="259"/>
      <c r="E34" s="269"/>
      <c r="F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row>
    <row r="35" spans="2:94" ht="15" customHeight="1" x14ac:dyDescent="0.2">
      <c r="D35" s="259" t="s">
        <v>194</v>
      </c>
      <c r="E35" s="269"/>
      <c r="F35" s="133" t="s">
        <v>196</v>
      </c>
      <c r="I35" s="136">
        <f t="shared" ref="I35:AN35" si="7">(Today&gt;=OpeningDate)*(Today&lt;=ExitDate)*I33</f>
        <v>0</v>
      </c>
      <c r="J35" s="136">
        <f t="shared" ca="1" si="7"/>
        <v>0</v>
      </c>
      <c r="K35" s="136">
        <f t="shared" ca="1" si="7"/>
        <v>0</v>
      </c>
      <c r="L35" s="136">
        <f t="shared" ca="1" si="7"/>
        <v>0</v>
      </c>
      <c r="M35" s="136">
        <f t="shared" ca="1" si="7"/>
        <v>0</v>
      </c>
      <c r="N35" s="136">
        <f t="shared" ca="1" si="7"/>
        <v>0</v>
      </c>
      <c r="O35" s="136">
        <f t="shared" ca="1" si="7"/>
        <v>0</v>
      </c>
      <c r="P35" s="136">
        <f t="shared" ca="1" si="7"/>
        <v>0</v>
      </c>
      <c r="Q35" s="136">
        <f t="shared" ca="1" si="7"/>
        <v>0</v>
      </c>
      <c r="R35" s="136">
        <f t="shared" ca="1" si="7"/>
        <v>0</v>
      </c>
      <c r="S35" s="136">
        <f t="shared" ca="1" si="7"/>
        <v>0</v>
      </c>
      <c r="T35" s="136">
        <f t="shared" ca="1" si="7"/>
        <v>0</v>
      </c>
      <c r="U35" s="136">
        <f t="shared" ca="1" si="7"/>
        <v>0</v>
      </c>
      <c r="V35" s="136">
        <f t="shared" ca="1" si="7"/>
        <v>0</v>
      </c>
      <c r="W35" s="136">
        <f t="shared" ca="1" si="7"/>
        <v>0</v>
      </c>
      <c r="X35" s="136">
        <f t="shared" ca="1" si="7"/>
        <v>0</v>
      </c>
      <c r="Y35" s="136">
        <f t="shared" ca="1" si="7"/>
        <v>0</v>
      </c>
      <c r="Z35" s="136">
        <f t="shared" ca="1" si="7"/>
        <v>0</v>
      </c>
      <c r="AA35" s="136">
        <f t="shared" ca="1" si="7"/>
        <v>0</v>
      </c>
      <c r="AB35" s="136">
        <f t="shared" ca="1" si="7"/>
        <v>0</v>
      </c>
      <c r="AC35" s="136">
        <f t="shared" ca="1" si="7"/>
        <v>0</v>
      </c>
      <c r="AD35" s="136">
        <f t="shared" ca="1" si="7"/>
        <v>0</v>
      </c>
      <c r="AE35" s="136">
        <f t="shared" ca="1" si="7"/>
        <v>0</v>
      </c>
      <c r="AF35" s="136">
        <f t="shared" ca="1" si="7"/>
        <v>0</v>
      </c>
      <c r="AG35" s="136">
        <f t="shared" ca="1" si="7"/>
        <v>0</v>
      </c>
      <c r="AH35" s="136">
        <f t="shared" ca="1" si="7"/>
        <v>314402.5132983856</v>
      </c>
      <c r="AI35" s="136">
        <f t="shared" ca="1" si="7"/>
        <v>314402.5132983856</v>
      </c>
      <c r="AJ35" s="136">
        <f t="shared" ca="1" si="7"/>
        <v>314402.5132983856</v>
      </c>
      <c r="AK35" s="136">
        <f t="shared" ca="1" si="7"/>
        <v>314402.5132983856</v>
      </c>
      <c r="AL35" s="136">
        <f t="shared" ca="1" si="7"/>
        <v>314402.5132983856</v>
      </c>
      <c r="AM35" s="136">
        <f t="shared" ca="1" si="7"/>
        <v>314402.5132983856</v>
      </c>
      <c r="AN35" s="136">
        <f t="shared" ca="1" si="7"/>
        <v>314402.5132983856</v>
      </c>
      <c r="AO35" s="136">
        <f t="shared" ref="AO35:BT35" ca="1" si="8">(Today&gt;=OpeningDate)*(Today&lt;=ExitDate)*AO33</f>
        <v>314402.5132983856</v>
      </c>
      <c r="AP35" s="136">
        <f t="shared" ca="1" si="8"/>
        <v>314402.5132983856</v>
      </c>
      <c r="AQ35" s="136">
        <f t="shared" ca="1" si="8"/>
        <v>314402.5132983856</v>
      </c>
      <c r="AR35" s="136">
        <f t="shared" ca="1" si="8"/>
        <v>314402.5132983856</v>
      </c>
      <c r="AS35" s="136">
        <f t="shared" ca="1" si="8"/>
        <v>314402.5132983856</v>
      </c>
      <c r="AT35" s="136">
        <f t="shared" ca="1" si="8"/>
        <v>342964.547660232</v>
      </c>
      <c r="AU35" s="136">
        <f t="shared" ca="1" si="8"/>
        <v>342964.547660232</v>
      </c>
      <c r="AV35" s="136">
        <f t="shared" ca="1" si="8"/>
        <v>342964.547660232</v>
      </c>
      <c r="AW35" s="136">
        <f t="shared" ca="1" si="8"/>
        <v>342964.547660232</v>
      </c>
      <c r="AX35" s="136">
        <f t="shared" ca="1" si="8"/>
        <v>342964.547660232</v>
      </c>
      <c r="AY35" s="136">
        <f t="shared" ca="1" si="8"/>
        <v>342964.547660232</v>
      </c>
      <c r="AZ35" s="136">
        <f t="shared" ca="1" si="8"/>
        <v>342964.547660232</v>
      </c>
      <c r="BA35" s="136">
        <f t="shared" ca="1" si="8"/>
        <v>342964.547660232</v>
      </c>
      <c r="BB35" s="136">
        <f t="shared" ca="1" si="8"/>
        <v>342964.547660232</v>
      </c>
      <c r="BC35" s="136">
        <f t="shared" ca="1" si="8"/>
        <v>342964.547660232</v>
      </c>
      <c r="BD35" s="136">
        <f t="shared" ca="1" si="8"/>
        <v>342964.547660232</v>
      </c>
      <c r="BE35" s="136">
        <f t="shared" ca="1" si="8"/>
        <v>342964.547660232</v>
      </c>
      <c r="BF35" s="136">
        <f t="shared" ca="1" si="8"/>
        <v>325167.19871248916</v>
      </c>
      <c r="BG35" s="136">
        <f t="shared" ca="1" si="8"/>
        <v>325167.19871248916</v>
      </c>
      <c r="BH35" s="136">
        <f t="shared" ca="1" si="8"/>
        <v>325167.19871248916</v>
      </c>
      <c r="BI35" s="136">
        <f t="shared" ca="1" si="8"/>
        <v>325167.19871248916</v>
      </c>
      <c r="BJ35" s="136">
        <f t="shared" ca="1" si="8"/>
        <v>325167.19871248916</v>
      </c>
      <c r="BK35" s="136">
        <f t="shared" ca="1" si="8"/>
        <v>325167.19871248916</v>
      </c>
      <c r="BL35" s="136">
        <f t="shared" ca="1" si="8"/>
        <v>325167.19871248916</v>
      </c>
      <c r="BM35" s="136">
        <f t="shared" ca="1" si="8"/>
        <v>325167.19871248916</v>
      </c>
      <c r="BN35" s="136">
        <f t="shared" ca="1" si="8"/>
        <v>325167.19871248916</v>
      </c>
      <c r="BO35" s="136">
        <f t="shared" ca="1" si="8"/>
        <v>325167.19871248916</v>
      </c>
      <c r="BP35" s="136">
        <f t="shared" ca="1" si="8"/>
        <v>325167.19871248916</v>
      </c>
      <c r="BQ35" s="136">
        <f t="shared" ca="1" si="8"/>
        <v>325167.19871248916</v>
      </c>
      <c r="BR35" s="136">
        <f t="shared" ca="1" si="8"/>
        <v>339812.11046128458</v>
      </c>
      <c r="BS35" s="136">
        <f t="shared" ca="1" si="8"/>
        <v>339812.11046128458</v>
      </c>
      <c r="BT35" s="136">
        <f t="shared" ca="1" si="8"/>
        <v>339812.11046128458</v>
      </c>
      <c r="BU35" s="136">
        <f t="shared" ref="BU35:CO35" ca="1" si="9">(Today&gt;=OpeningDate)*(Today&lt;=ExitDate)*BU33</f>
        <v>339812.11046128458</v>
      </c>
      <c r="BV35" s="136">
        <f t="shared" ca="1" si="9"/>
        <v>339812.11046128458</v>
      </c>
      <c r="BW35" s="136">
        <f t="shared" ca="1" si="9"/>
        <v>339812.11046128458</v>
      </c>
      <c r="BX35" s="136">
        <f t="shared" ca="1" si="9"/>
        <v>339812.11046128458</v>
      </c>
      <c r="BY35" s="136">
        <f t="shared" ca="1" si="9"/>
        <v>339812.11046128458</v>
      </c>
      <c r="BZ35" s="136">
        <f t="shared" ca="1" si="9"/>
        <v>339812.11046128458</v>
      </c>
      <c r="CA35" s="136">
        <f t="shared" ca="1" si="9"/>
        <v>339812.11046128458</v>
      </c>
      <c r="CB35" s="136">
        <f t="shared" ca="1" si="9"/>
        <v>339812.11046128458</v>
      </c>
      <c r="CC35" s="136">
        <f t="shared" ca="1" si="9"/>
        <v>339812.11046128458</v>
      </c>
      <c r="CD35" s="136">
        <f t="shared" si="9"/>
        <v>0</v>
      </c>
      <c r="CE35" s="136">
        <f t="shared" si="9"/>
        <v>0</v>
      </c>
      <c r="CF35" s="136">
        <f t="shared" si="9"/>
        <v>0</v>
      </c>
      <c r="CG35" s="136">
        <f t="shared" si="9"/>
        <v>0</v>
      </c>
      <c r="CH35" s="136">
        <f t="shared" si="9"/>
        <v>0</v>
      </c>
      <c r="CI35" s="136">
        <f t="shared" si="9"/>
        <v>0</v>
      </c>
      <c r="CJ35" s="136">
        <f t="shared" si="9"/>
        <v>0</v>
      </c>
      <c r="CK35" s="136">
        <f t="shared" si="9"/>
        <v>0</v>
      </c>
      <c r="CL35" s="136">
        <f t="shared" si="9"/>
        <v>0</v>
      </c>
      <c r="CM35" s="136">
        <f t="shared" si="9"/>
        <v>0</v>
      </c>
      <c r="CN35" s="136">
        <f t="shared" si="9"/>
        <v>0</v>
      </c>
      <c r="CO35" s="136">
        <f t="shared" si="9"/>
        <v>0</v>
      </c>
      <c r="CP35" s="133" t="s">
        <v>15</v>
      </c>
    </row>
    <row r="36" spans="2:94" ht="15" customHeight="1" x14ac:dyDescent="0.2">
      <c r="C36" s="133" t="s">
        <v>298</v>
      </c>
      <c r="D36" s="259" t="s">
        <v>194</v>
      </c>
      <c r="E36" s="269"/>
      <c r="F36" s="133" t="s">
        <v>197</v>
      </c>
      <c r="I36" s="136">
        <f t="shared" ref="I36:AN36" ca="1" si="10">IF(Today&lt;OpeningDate,0,SUM(OFFSET(I35,,0,1,-12)))</f>
        <v>0</v>
      </c>
      <c r="J36" s="136">
        <f t="shared" ca="1" si="10"/>
        <v>0</v>
      </c>
      <c r="K36" s="136">
        <f t="shared" ca="1" si="10"/>
        <v>0</v>
      </c>
      <c r="L36" s="136">
        <f t="shared" ca="1" si="10"/>
        <v>0</v>
      </c>
      <c r="M36" s="136">
        <f t="shared" ca="1" si="10"/>
        <v>0</v>
      </c>
      <c r="N36" s="136">
        <f t="shared" ca="1" si="10"/>
        <v>0</v>
      </c>
      <c r="O36" s="136">
        <f t="shared" ca="1" si="10"/>
        <v>0</v>
      </c>
      <c r="P36" s="136">
        <f t="shared" ca="1" si="10"/>
        <v>0</v>
      </c>
      <c r="Q36" s="136">
        <f t="shared" ca="1" si="10"/>
        <v>0</v>
      </c>
      <c r="R36" s="136">
        <f t="shared" ca="1" si="10"/>
        <v>0</v>
      </c>
      <c r="S36" s="136">
        <f t="shared" ca="1" si="10"/>
        <v>0</v>
      </c>
      <c r="T36" s="136">
        <f t="shared" ca="1" si="10"/>
        <v>0</v>
      </c>
      <c r="U36" s="136">
        <f t="shared" ca="1" si="10"/>
        <v>0</v>
      </c>
      <c r="V36" s="136">
        <f t="shared" ca="1" si="10"/>
        <v>0</v>
      </c>
      <c r="W36" s="136">
        <f t="shared" ca="1" si="10"/>
        <v>0</v>
      </c>
      <c r="X36" s="136">
        <f t="shared" ca="1" si="10"/>
        <v>0</v>
      </c>
      <c r="Y36" s="136">
        <f t="shared" ca="1" si="10"/>
        <v>0</v>
      </c>
      <c r="Z36" s="136">
        <f t="shared" ca="1" si="10"/>
        <v>0</v>
      </c>
      <c r="AA36" s="136">
        <f t="shared" ca="1" si="10"/>
        <v>0</v>
      </c>
      <c r="AB36" s="136">
        <f t="shared" ca="1" si="10"/>
        <v>0</v>
      </c>
      <c r="AC36" s="136">
        <f t="shared" ca="1" si="10"/>
        <v>0</v>
      </c>
      <c r="AD36" s="136">
        <f t="shared" ca="1" si="10"/>
        <v>0</v>
      </c>
      <c r="AE36" s="136">
        <f t="shared" ca="1" si="10"/>
        <v>0</v>
      </c>
      <c r="AF36" s="136">
        <f t="shared" ca="1" si="10"/>
        <v>0</v>
      </c>
      <c r="AG36" s="136">
        <f t="shared" ca="1" si="10"/>
        <v>0</v>
      </c>
      <c r="AH36" s="136">
        <f t="shared" ca="1" si="10"/>
        <v>314402.5132983856</v>
      </c>
      <c r="AI36" s="136">
        <f t="shared" ca="1" si="10"/>
        <v>628805.0265967712</v>
      </c>
      <c r="AJ36" s="136">
        <f t="shared" ca="1" si="10"/>
        <v>943207.53989515686</v>
      </c>
      <c r="AK36" s="136">
        <f t="shared" ca="1" si="10"/>
        <v>1257610.0531935424</v>
      </c>
      <c r="AL36" s="136">
        <f t="shared" ca="1" si="10"/>
        <v>1572012.566491928</v>
      </c>
      <c r="AM36" s="136">
        <f t="shared" ca="1" si="10"/>
        <v>1886415.0797903135</v>
      </c>
      <c r="AN36" s="136">
        <f t="shared" ca="1" si="10"/>
        <v>2200817.593088699</v>
      </c>
      <c r="AO36" s="136">
        <f t="shared" ref="AO36:BT36" ca="1" si="11">IF(Today&lt;OpeningDate,0,SUM(OFFSET(AO35,,0,1,-12)))</f>
        <v>2515220.1063870848</v>
      </c>
      <c r="AP36" s="136">
        <f t="shared" ca="1" si="11"/>
        <v>2829622.6196854706</v>
      </c>
      <c r="AQ36" s="136">
        <f t="shared" ca="1" si="11"/>
        <v>3144025.1329838564</v>
      </c>
      <c r="AR36" s="136">
        <f t="shared" ca="1" si="11"/>
        <v>3458427.6462822421</v>
      </c>
      <c r="AS36" s="136">
        <f t="shared" ca="1" si="11"/>
        <v>3772830.1595806279</v>
      </c>
      <c r="AT36" s="136">
        <f t="shared" ca="1" si="11"/>
        <v>3801392.1939424742</v>
      </c>
      <c r="AU36" s="136">
        <f t="shared" ca="1" si="11"/>
        <v>3829954.2283043205</v>
      </c>
      <c r="AV36" s="136">
        <f t="shared" ca="1" si="11"/>
        <v>3858516.2626661668</v>
      </c>
      <c r="AW36" s="136">
        <f t="shared" ca="1" si="11"/>
        <v>3887078.297028013</v>
      </c>
      <c r="AX36" s="136">
        <f t="shared" ca="1" si="11"/>
        <v>3915640.3313898593</v>
      </c>
      <c r="AY36" s="136">
        <f t="shared" ca="1" si="11"/>
        <v>3944202.3657517056</v>
      </c>
      <c r="AZ36" s="136">
        <f t="shared" ca="1" si="11"/>
        <v>3972764.4001135523</v>
      </c>
      <c r="BA36" s="136">
        <f t="shared" ca="1" si="11"/>
        <v>4001326.4344753986</v>
      </c>
      <c r="BB36" s="136">
        <f t="shared" ca="1" si="11"/>
        <v>4029888.4688372454</v>
      </c>
      <c r="BC36" s="136">
        <f t="shared" ca="1" si="11"/>
        <v>4058450.5031990916</v>
      </c>
      <c r="BD36" s="136">
        <f t="shared" ca="1" si="11"/>
        <v>4087012.5375609379</v>
      </c>
      <c r="BE36" s="136">
        <f t="shared" ca="1" si="11"/>
        <v>4115574.5719227842</v>
      </c>
      <c r="BF36" s="136">
        <f t="shared" ca="1" si="11"/>
        <v>4097777.2229750413</v>
      </c>
      <c r="BG36" s="136">
        <f t="shared" ca="1" si="11"/>
        <v>4079979.8740272983</v>
      </c>
      <c r="BH36" s="136">
        <f t="shared" ca="1" si="11"/>
        <v>4062182.5250795553</v>
      </c>
      <c r="BI36" s="136">
        <f t="shared" ca="1" si="11"/>
        <v>4044385.1761318124</v>
      </c>
      <c r="BJ36" s="136">
        <f t="shared" ca="1" si="11"/>
        <v>4026587.8271840694</v>
      </c>
      <c r="BK36" s="136">
        <f t="shared" ca="1" si="11"/>
        <v>4008790.4782363269</v>
      </c>
      <c r="BL36" s="136">
        <f t="shared" ca="1" si="11"/>
        <v>3990993.129288584</v>
      </c>
      <c r="BM36" s="136">
        <f t="shared" ca="1" si="11"/>
        <v>3973195.780340841</v>
      </c>
      <c r="BN36" s="136">
        <f t="shared" ca="1" si="11"/>
        <v>3955398.4313930981</v>
      </c>
      <c r="BO36" s="136">
        <f t="shared" ca="1" si="11"/>
        <v>3937601.0824453551</v>
      </c>
      <c r="BP36" s="136">
        <f t="shared" ca="1" si="11"/>
        <v>3919803.7334976122</v>
      </c>
      <c r="BQ36" s="136">
        <f t="shared" ca="1" si="11"/>
        <v>3902006.3845498697</v>
      </c>
      <c r="BR36" s="136">
        <f t="shared" ca="1" si="11"/>
        <v>3916651.296298665</v>
      </c>
      <c r="BS36" s="136">
        <f t="shared" ca="1" si="11"/>
        <v>3931296.2080474603</v>
      </c>
      <c r="BT36" s="136">
        <f t="shared" ca="1" si="11"/>
        <v>3945941.1197962556</v>
      </c>
      <c r="BU36" s="136">
        <f t="shared" ref="BU36:CO36" ca="1" si="12">IF(Today&lt;OpeningDate,0,SUM(OFFSET(BU35,,0,1,-12)))</f>
        <v>3960586.0315450509</v>
      </c>
      <c r="BV36" s="136">
        <f t="shared" ca="1" si="12"/>
        <v>3975230.9432938462</v>
      </c>
      <c r="BW36" s="136">
        <f t="shared" ca="1" si="12"/>
        <v>3989875.8550426415</v>
      </c>
      <c r="BX36" s="136">
        <f t="shared" ca="1" si="12"/>
        <v>4004520.7667914368</v>
      </c>
      <c r="BY36" s="136">
        <f t="shared" ca="1" si="12"/>
        <v>4019165.6785402326</v>
      </c>
      <c r="BZ36" s="136">
        <f t="shared" ca="1" si="12"/>
        <v>4033810.5902890279</v>
      </c>
      <c r="CA36" s="136">
        <f t="shared" ca="1" si="12"/>
        <v>4048455.5020378232</v>
      </c>
      <c r="CB36" s="136">
        <f t="shared" ca="1" si="12"/>
        <v>4063100.413786619</v>
      </c>
      <c r="CC36" s="136">
        <f t="shared" ca="1" si="12"/>
        <v>4077745.3255354143</v>
      </c>
      <c r="CD36" s="136">
        <f t="shared" ca="1" si="12"/>
        <v>3737933.2150741299</v>
      </c>
      <c r="CE36" s="136">
        <f t="shared" ca="1" si="12"/>
        <v>3398121.1046128455</v>
      </c>
      <c r="CF36" s="136">
        <f t="shared" ca="1" si="12"/>
        <v>3058308.9941515611</v>
      </c>
      <c r="CG36" s="136">
        <f t="shared" ca="1" si="12"/>
        <v>2718496.8836902766</v>
      </c>
      <c r="CH36" s="136">
        <f t="shared" ca="1" si="12"/>
        <v>2378684.7732289922</v>
      </c>
      <c r="CI36" s="136">
        <f t="shared" ca="1" si="12"/>
        <v>2038872.6627677076</v>
      </c>
      <c r="CJ36" s="136">
        <f t="shared" ca="1" si="12"/>
        <v>1699060.552306423</v>
      </c>
      <c r="CK36" s="136">
        <f t="shared" ca="1" si="12"/>
        <v>1359248.4418451383</v>
      </c>
      <c r="CL36" s="136">
        <f t="shared" ca="1" si="12"/>
        <v>1019436.3313838537</v>
      </c>
      <c r="CM36" s="136">
        <f t="shared" ca="1" si="12"/>
        <v>679624.22092256916</v>
      </c>
      <c r="CN36" s="136">
        <f t="shared" ca="1" si="12"/>
        <v>339812.11046128458</v>
      </c>
      <c r="CO36" s="136">
        <f t="shared" ca="1" si="12"/>
        <v>0</v>
      </c>
      <c r="CP36" s="133" t="s">
        <v>15</v>
      </c>
    </row>
    <row r="37" spans="2:94" ht="15" customHeight="1" x14ac:dyDescent="0.2">
      <c r="D37" s="259"/>
      <c r="E37" s="269"/>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row>
    <row r="38" spans="2:94" ht="15" customHeight="1" x14ac:dyDescent="0.2">
      <c r="B38" s="136">
        <f ca="1">SUM(I38:CO38)</f>
        <v>15868156.441588696</v>
      </c>
      <c r="C38" s="133" t="s">
        <v>294</v>
      </c>
      <c r="D38" s="259" t="s">
        <v>194</v>
      </c>
      <c r="E38" s="269"/>
      <c r="F38" s="133" t="s">
        <v>24</v>
      </c>
      <c r="I38" s="136">
        <f>I35</f>
        <v>0</v>
      </c>
      <c r="J38" s="136">
        <f t="shared" ref="J38:BU38" ca="1" si="13">J35</f>
        <v>0</v>
      </c>
      <c r="K38" s="136">
        <f t="shared" ca="1" si="13"/>
        <v>0</v>
      </c>
      <c r="L38" s="136">
        <f t="shared" ca="1" si="13"/>
        <v>0</v>
      </c>
      <c r="M38" s="136">
        <f t="shared" ca="1" si="13"/>
        <v>0</v>
      </c>
      <c r="N38" s="136">
        <f t="shared" ca="1" si="13"/>
        <v>0</v>
      </c>
      <c r="O38" s="136">
        <f t="shared" ca="1" si="13"/>
        <v>0</v>
      </c>
      <c r="P38" s="136">
        <f t="shared" ca="1" si="13"/>
        <v>0</v>
      </c>
      <c r="Q38" s="136">
        <f t="shared" ca="1" si="13"/>
        <v>0</v>
      </c>
      <c r="R38" s="136">
        <f t="shared" ca="1" si="13"/>
        <v>0</v>
      </c>
      <c r="S38" s="136">
        <f t="shared" ca="1" si="13"/>
        <v>0</v>
      </c>
      <c r="T38" s="136">
        <f t="shared" ca="1" si="13"/>
        <v>0</v>
      </c>
      <c r="U38" s="136">
        <f t="shared" ca="1" si="13"/>
        <v>0</v>
      </c>
      <c r="V38" s="136">
        <f t="shared" ca="1" si="13"/>
        <v>0</v>
      </c>
      <c r="W38" s="136">
        <f t="shared" ca="1" si="13"/>
        <v>0</v>
      </c>
      <c r="X38" s="136">
        <f t="shared" ca="1" si="13"/>
        <v>0</v>
      </c>
      <c r="Y38" s="136">
        <f t="shared" ca="1" si="13"/>
        <v>0</v>
      </c>
      <c r="Z38" s="136">
        <f t="shared" ca="1" si="13"/>
        <v>0</v>
      </c>
      <c r="AA38" s="136">
        <f t="shared" ca="1" si="13"/>
        <v>0</v>
      </c>
      <c r="AB38" s="136">
        <f t="shared" ca="1" si="13"/>
        <v>0</v>
      </c>
      <c r="AC38" s="136">
        <f t="shared" ca="1" si="13"/>
        <v>0</v>
      </c>
      <c r="AD38" s="136">
        <f t="shared" ca="1" si="13"/>
        <v>0</v>
      </c>
      <c r="AE38" s="136">
        <f t="shared" ca="1" si="13"/>
        <v>0</v>
      </c>
      <c r="AF38" s="136">
        <f t="shared" ca="1" si="13"/>
        <v>0</v>
      </c>
      <c r="AG38" s="136">
        <f t="shared" ca="1" si="13"/>
        <v>0</v>
      </c>
      <c r="AH38" s="136">
        <f t="shared" ca="1" si="13"/>
        <v>314402.5132983856</v>
      </c>
      <c r="AI38" s="136">
        <f t="shared" ca="1" si="13"/>
        <v>314402.5132983856</v>
      </c>
      <c r="AJ38" s="136">
        <f t="shared" ca="1" si="13"/>
        <v>314402.5132983856</v>
      </c>
      <c r="AK38" s="136">
        <f t="shared" ca="1" si="13"/>
        <v>314402.5132983856</v>
      </c>
      <c r="AL38" s="136">
        <f t="shared" ca="1" si="13"/>
        <v>314402.5132983856</v>
      </c>
      <c r="AM38" s="136">
        <f t="shared" ca="1" si="13"/>
        <v>314402.5132983856</v>
      </c>
      <c r="AN38" s="136">
        <f t="shared" ca="1" si="13"/>
        <v>314402.5132983856</v>
      </c>
      <c r="AO38" s="136">
        <f t="shared" ca="1" si="13"/>
        <v>314402.5132983856</v>
      </c>
      <c r="AP38" s="136">
        <f t="shared" ca="1" si="13"/>
        <v>314402.5132983856</v>
      </c>
      <c r="AQ38" s="136">
        <f t="shared" ca="1" si="13"/>
        <v>314402.5132983856</v>
      </c>
      <c r="AR38" s="136">
        <f t="shared" ca="1" si="13"/>
        <v>314402.5132983856</v>
      </c>
      <c r="AS38" s="136">
        <f t="shared" ca="1" si="13"/>
        <v>314402.5132983856</v>
      </c>
      <c r="AT38" s="136">
        <f t="shared" ca="1" si="13"/>
        <v>342964.547660232</v>
      </c>
      <c r="AU38" s="136">
        <f t="shared" ca="1" si="13"/>
        <v>342964.547660232</v>
      </c>
      <c r="AV38" s="136">
        <f t="shared" ca="1" si="13"/>
        <v>342964.547660232</v>
      </c>
      <c r="AW38" s="136">
        <f t="shared" ca="1" si="13"/>
        <v>342964.547660232</v>
      </c>
      <c r="AX38" s="136">
        <f t="shared" ca="1" si="13"/>
        <v>342964.547660232</v>
      </c>
      <c r="AY38" s="136">
        <f t="shared" ca="1" si="13"/>
        <v>342964.547660232</v>
      </c>
      <c r="AZ38" s="136">
        <f t="shared" ca="1" si="13"/>
        <v>342964.547660232</v>
      </c>
      <c r="BA38" s="136">
        <f t="shared" ca="1" si="13"/>
        <v>342964.547660232</v>
      </c>
      <c r="BB38" s="136">
        <f t="shared" ca="1" si="13"/>
        <v>342964.547660232</v>
      </c>
      <c r="BC38" s="136">
        <f t="shared" ca="1" si="13"/>
        <v>342964.547660232</v>
      </c>
      <c r="BD38" s="136">
        <f t="shared" ca="1" si="13"/>
        <v>342964.547660232</v>
      </c>
      <c r="BE38" s="136">
        <f t="shared" ca="1" si="13"/>
        <v>342964.547660232</v>
      </c>
      <c r="BF38" s="136">
        <f t="shared" ca="1" si="13"/>
        <v>325167.19871248916</v>
      </c>
      <c r="BG38" s="136">
        <f t="shared" ca="1" si="13"/>
        <v>325167.19871248916</v>
      </c>
      <c r="BH38" s="136">
        <f t="shared" ca="1" si="13"/>
        <v>325167.19871248916</v>
      </c>
      <c r="BI38" s="136">
        <f t="shared" ca="1" si="13"/>
        <v>325167.19871248916</v>
      </c>
      <c r="BJ38" s="136">
        <f t="shared" ca="1" si="13"/>
        <v>325167.19871248916</v>
      </c>
      <c r="BK38" s="136">
        <f t="shared" ca="1" si="13"/>
        <v>325167.19871248916</v>
      </c>
      <c r="BL38" s="136">
        <f t="shared" ca="1" si="13"/>
        <v>325167.19871248916</v>
      </c>
      <c r="BM38" s="136">
        <f t="shared" ca="1" si="13"/>
        <v>325167.19871248916</v>
      </c>
      <c r="BN38" s="136">
        <f t="shared" ca="1" si="13"/>
        <v>325167.19871248916</v>
      </c>
      <c r="BO38" s="136">
        <f t="shared" ca="1" si="13"/>
        <v>325167.19871248916</v>
      </c>
      <c r="BP38" s="136">
        <f t="shared" ca="1" si="13"/>
        <v>325167.19871248916</v>
      </c>
      <c r="BQ38" s="136">
        <f t="shared" ca="1" si="13"/>
        <v>325167.19871248916</v>
      </c>
      <c r="BR38" s="136">
        <f t="shared" ca="1" si="13"/>
        <v>339812.11046128458</v>
      </c>
      <c r="BS38" s="136">
        <f t="shared" ca="1" si="13"/>
        <v>339812.11046128458</v>
      </c>
      <c r="BT38" s="136">
        <f t="shared" ca="1" si="13"/>
        <v>339812.11046128458</v>
      </c>
      <c r="BU38" s="136">
        <f t="shared" ca="1" si="13"/>
        <v>339812.11046128458</v>
      </c>
      <c r="BV38" s="136">
        <f t="shared" ref="BV38:CO38" ca="1" si="14">BV35</f>
        <v>339812.11046128458</v>
      </c>
      <c r="BW38" s="136">
        <f t="shared" ca="1" si="14"/>
        <v>339812.11046128458</v>
      </c>
      <c r="BX38" s="136">
        <f t="shared" ca="1" si="14"/>
        <v>339812.11046128458</v>
      </c>
      <c r="BY38" s="136">
        <f t="shared" ca="1" si="14"/>
        <v>339812.11046128458</v>
      </c>
      <c r="BZ38" s="136">
        <f t="shared" ca="1" si="14"/>
        <v>339812.11046128458</v>
      </c>
      <c r="CA38" s="136">
        <f t="shared" ca="1" si="14"/>
        <v>339812.11046128458</v>
      </c>
      <c r="CB38" s="136">
        <f t="shared" ca="1" si="14"/>
        <v>339812.11046128458</v>
      </c>
      <c r="CC38" s="136">
        <f t="shared" ca="1" si="14"/>
        <v>339812.11046128458</v>
      </c>
      <c r="CD38" s="136">
        <f t="shared" si="14"/>
        <v>0</v>
      </c>
      <c r="CE38" s="136">
        <f t="shared" si="14"/>
        <v>0</v>
      </c>
      <c r="CF38" s="136">
        <f t="shared" si="14"/>
        <v>0</v>
      </c>
      <c r="CG38" s="136">
        <f t="shared" si="14"/>
        <v>0</v>
      </c>
      <c r="CH38" s="136">
        <f t="shared" si="14"/>
        <v>0</v>
      </c>
      <c r="CI38" s="136">
        <f t="shared" si="14"/>
        <v>0</v>
      </c>
      <c r="CJ38" s="136">
        <f t="shared" si="14"/>
        <v>0</v>
      </c>
      <c r="CK38" s="136">
        <f t="shared" si="14"/>
        <v>0</v>
      </c>
      <c r="CL38" s="136">
        <f t="shared" si="14"/>
        <v>0</v>
      </c>
      <c r="CM38" s="136">
        <f t="shared" si="14"/>
        <v>0</v>
      </c>
      <c r="CN38" s="136">
        <f t="shared" si="14"/>
        <v>0</v>
      </c>
      <c r="CO38" s="136">
        <f t="shared" si="14"/>
        <v>0</v>
      </c>
      <c r="CP38" s="13" t="s">
        <v>15</v>
      </c>
    </row>
    <row r="39" spans="2:94" ht="15" customHeight="1" x14ac:dyDescent="0.2">
      <c r="B39" s="136">
        <f>SUM(I39:CO39)</f>
        <v>-28520153.000000004</v>
      </c>
      <c r="C39" s="133" t="s">
        <v>198</v>
      </c>
      <c r="D39" s="259" t="s">
        <v>199</v>
      </c>
      <c r="E39" s="269"/>
      <c r="F39" s="133" t="s">
        <v>200</v>
      </c>
      <c r="I39" s="136">
        <f>-Construction!E32</f>
        <v>-8050223.9014285719</v>
      </c>
      <c r="J39" s="136">
        <f>-Construction!F32</f>
        <v>-311434.77285714279</v>
      </c>
      <c r="K39" s="136">
        <f>-Construction!G32</f>
        <v>-311434.77285714279</v>
      </c>
      <c r="L39" s="136">
        <f>-Construction!H32</f>
        <v>-334774.57285714283</v>
      </c>
      <c r="M39" s="136">
        <f>-Construction!I32</f>
        <v>-317269.7228571428</v>
      </c>
      <c r="N39" s="136">
        <f>-Construction!J32</f>
        <v>-268256.14285714284</v>
      </c>
      <c r="O39" s="136">
        <f>-Construction!K32</f>
        <v>-455644.58496240602</v>
      </c>
      <c r="P39" s="136">
        <f>-Construction!L32</f>
        <v>-697211.51496240601</v>
      </c>
      <c r="Q39" s="136">
        <f>-Construction!M32</f>
        <v>-697211.51496240601</v>
      </c>
      <c r="R39" s="136">
        <f>-Construction!N32</f>
        <v>-697211.51496240601</v>
      </c>
      <c r="S39" s="136">
        <f>-Construction!O32</f>
        <v>-697211.51496240601</v>
      </c>
      <c r="T39" s="136">
        <f>-Construction!P32</f>
        <v>-697211.51496240601</v>
      </c>
      <c r="U39" s="136">
        <f>-Construction!Q32</f>
        <v>-697211.51496240601</v>
      </c>
      <c r="V39" s="136">
        <f>-Construction!R32</f>
        <v>-1075316.2749624059</v>
      </c>
      <c r="W39" s="136">
        <f>-Construction!S32</f>
        <v>-1192015.2749624061</v>
      </c>
      <c r="X39" s="136">
        <f>-Construction!T32</f>
        <v>-970287.17496240605</v>
      </c>
      <c r="Y39" s="136">
        <f>-Construction!U32</f>
        <v>-1238694.874962406</v>
      </c>
      <c r="Z39" s="136">
        <f>-Construction!V32</f>
        <v>-1259170.2449624061</v>
      </c>
      <c r="AA39" s="136">
        <f>-Construction!W32</f>
        <v>-1259170.2449624061</v>
      </c>
      <c r="AB39" s="136">
        <f>-Construction!X32</f>
        <v>-1259170.2449624061</v>
      </c>
      <c r="AC39" s="136">
        <f>-Construction!Y32</f>
        <v>-1291845.9649624061</v>
      </c>
      <c r="AD39" s="136">
        <f>-Construction!Z32</f>
        <v>-1492356.0649624062</v>
      </c>
      <c r="AE39" s="136">
        <f>-Construction!AA32</f>
        <v>-1382022.4649624061</v>
      </c>
      <c r="AF39" s="136">
        <f>-Construction!AB32</f>
        <v>-583801.30496240593</v>
      </c>
      <c r="AG39" s="136">
        <f>-Construction!AC32</f>
        <v>-1283995.3049624062</v>
      </c>
      <c r="AH39" s="136">
        <f>-Construction!AD32</f>
        <v>0</v>
      </c>
      <c r="AI39" s="136">
        <f>-Construction!AE32</f>
        <v>0</v>
      </c>
      <c r="AJ39" s="136">
        <f>-Construction!AF32</f>
        <v>0</v>
      </c>
      <c r="AK39" s="136">
        <f>-Construction!AG32</f>
        <v>0</v>
      </c>
      <c r="AL39" s="136">
        <f>-Construction!AH32</f>
        <v>0</v>
      </c>
      <c r="AM39" s="136">
        <f>-Construction!AI32</f>
        <v>0</v>
      </c>
      <c r="AN39" s="136">
        <f>-Construction!AJ32</f>
        <v>0</v>
      </c>
      <c r="AO39" s="136">
        <f>-Construction!AK32</f>
        <v>0</v>
      </c>
      <c r="AP39" s="136">
        <f>-Construction!AL32</f>
        <v>0</v>
      </c>
      <c r="AQ39" s="136">
        <f>-Construction!AM32</f>
        <v>0</v>
      </c>
      <c r="AR39" s="136">
        <f>-Construction!AN32</f>
        <v>0</v>
      </c>
      <c r="AS39" s="136">
        <f>-Construction!AO32</f>
        <v>0</v>
      </c>
      <c r="AT39" s="136">
        <f>-Construction!AP32</f>
        <v>0</v>
      </c>
      <c r="AU39" s="136">
        <f>-Construction!AQ32</f>
        <v>0</v>
      </c>
      <c r="AV39" s="136">
        <f>-Construction!AR32</f>
        <v>0</v>
      </c>
      <c r="AW39" s="136">
        <f>-Construction!AS32</f>
        <v>0</v>
      </c>
      <c r="AX39" s="136">
        <f>-Construction!AT32</f>
        <v>0</v>
      </c>
      <c r="AY39" s="136">
        <f>-Construction!AU32</f>
        <v>0</v>
      </c>
      <c r="AZ39" s="136">
        <f>-Construction!AV32</f>
        <v>0</v>
      </c>
      <c r="BA39" s="136">
        <f>-Construction!AW32</f>
        <v>0</v>
      </c>
      <c r="BB39" s="136">
        <f>-Construction!AX32</f>
        <v>0</v>
      </c>
      <c r="BC39" s="136">
        <f>-Construction!AY32</f>
        <v>0</v>
      </c>
      <c r="BD39" s="136">
        <f>-Construction!AZ32</f>
        <v>0</v>
      </c>
      <c r="BE39" s="136">
        <f>-Construction!BA32</f>
        <v>0</v>
      </c>
      <c r="BF39" s="136">
        <f>-Construction!BB32</f>
        <v>0</v>
      </c>
      <c r="BG39" s="136">
        <f>-Construction!BC32</f>
        <v>0</v>
      </c>
      <c r="BH39" s="136">
        <f>-Construction!BD32</f>
        <v>0</v>
      </c>
      <c r="BI39" s="136">
        <f>-Construction!BE32</f>
        <v>0</v>
      </c>
      <c r="BJ39" s="136">
        <f>-Construction!BF32</f>
        <v>0</v>
      </c>
      <c r="BK39" s="136">
        <f>-Construction!BG32</f>
        <v>0</v>
      </c>
      <c r="BL39" s="136">
        <f>-Construction!BH32</f>
        <v>0</v>
      </c>
      <c r="BM39" s="136">
        <f>-Construction!BI32</f>
        <v>0</v>
      </c>
      <c r="BN39" s="136">
        <f>-Construction!BJ32</f>
        <v>0</v>
      </c>
      <c r="BO39" s="136">
        <f>-Construction!BK32</f>
        <v>0</v>
      </c>
      <c r="BP39" s="136">
        <f>-Construction!BL32</f>
        <v>0</v>
      </c>
      <c r="BQ39" s="136">
        <f>-Construction!BM32</f>
        <v>0</v>
      </c>
      <c r="BR39" s="136">
        <f>-Construction!BN32</f>
        <v>0</v>
      </c>
      <c r="BS39" s="136">
        <f>-Construction!BO32</f>
        <v>0</v>
      </c>
      <c r="BT39" s="136">
        <f>-Construction!BP32</f>
        <v>0</v>
      </c>
      <c r="BU39" s="136">
        <f>-Construction!BQ32</f>
        <v>0</v>
      </c>
      <c r="BV39" s="136">
        <f>-Construction!BR32</f>
        <v>0</v>
      </c>
      <c r="BW39" s="136">
        <f>-Construction!BS32</f>
        <v>0</v>
      </c>
      <c r="BX39" s="136">
        <f>-Construction!BT32</f>
        <v>0</v>
      </c>
      <c r="BY39" s="136">
        <f>-Construction!BU32</f>
        <v>0</v>
      </c>
      <c r="BZ39" s="136">
        <f>-Construction!BV32</f>
        <v>0</v>
      </c>
      <c r="CA39" s="136">
        <f>-Construction!BW32</f>
        <v>0</v>
      </c>
      <c r="CB39" s="136">
        <f>-Construction!BX32</f>
        <v>0</v>
      </c>
      <c r="CC39" s="136">
        <f>-Construction!BY32</f>
        <v>0</v>
      </c>
      <c r="CD39" s="136">
        <f>-Construction!BZ32</f>
        <v>0</v>
      </c>
      <c r="CE39" s="136">
        <f>-Construction!CA32</f>
        <v>0</v>
      </c>
      <c r="CF39" s="136">
        <f>-Construction!CB32</f>
        <v>0</v>
      </c>
      <c r="CG39" s="136">
        <f>-Construction!CC32</f>
        <v>0</v>
      </c>
      <c r="CH39" s="136">
        <f>-Construction!CD32</f>
        <v>0</v>
      </c>
      <c r="CI39" s="136">
        <f>-Construction!CE32</f>
        <v>0</v>
      </c>
      <c r="CJ39" s="136">
        <f>-Construction!CF32</f>
        <v>0</v>
      </c>
      <c r="CK39" s="136">
        <f>-Construction!CG32</f>
        <v>0</v>
      </c>
      <c r="CL39" s="136">
        <f>-Construction!CH32</f>
        <v>0</v>
      </c>
      <c r="CM39" s="136">
        <f>-Construction!CI32</f>
        <v>0</v>
      </c>
      <c r="CN39" s="136">
        <f>-Construction!CJ32</f>
        <v>0</v>
      </c>
      <c r="CO39" s="136">
        <f>-Construction!CK32</f>
        <v>0</v>
      </c>
      <c r="CP39" s="13" t="s">
        <v>15</v>
      </c>
    </row>
    <row r="40" spans="2:94" ht="15" customHeight="1" x14ac:dyDescent="0.2">
      <c r="B40" s="136">
        <f t="shared" ref="B40:B48" si="15">SUM(I40:CO40)</f>
        <v>-125000</v>
      </c>
      <c r="C40" s="133" t="s">
        <v>295</v>
      </c>
      <c r="D40" s="259" t="s">
        <v>199</v>
      </c>
      <c r="E40" s="269"/>
      <c r="F40" s="133" t="s">
        <v>155</v>
      </c>
      <c r="I40" s="136">
        <f t="shared" ref="I40:AN40" si="16">-ConstLoanOFees*(Today=ClosingDate)</f>
        <v>-125000</v>
      </c>
      <c r="J40" s="136">
        <f t="shared" si="16"/>
        <v>0</v>
      </c>
      <c r="K40" s="136">
        <f t="shared" si="16"/>
        <v>0</v>
      </c>
      <c r="L40" s="136">
        <f t="shared" si="16"/>
        <v>0</v>
      </c>
      <c r="M40" s="136">
        <f t="shared" si="16"/>
        <v>0</v>
      </c>
      <c r="N40" s="136">
        <f t="shared" si="16"/>
        <v>0</v>
      </c>
      <c r="O40" s="136">
        <f t="shared" si="16"/>
        <v>0</v>
      </c>
      <c r="P40" s="136">
        <f t="shared" si="16"/>
        <v>0</v>
      </c>
      <c r="Q40" s="136">
        <f t="shared" si="16"/>
        <v>0</v>
      </c>
      <c r="R40" s="136">
        <f t="shared" si="16"/>
        <v>0</v>
      </c>
      <c r="S40" s="136">
        <f t="shared" si="16"/>
        <v>0</v>
      </c>
      <c r="T40" s="136">
        <f t="shared" si="16"/>
        <v>0</v>
      </c>
      <c r="U40" s="136">
        <f t="shared" si="16"/>
        <v>0</v>
      </c>
      <c r="V40" s="136">
        <f t="shared" si="16"/>
        <v>0</v>
      </c>
      <c r="W40" s="136">
        <f t="shared" si="16"/>
        <v>0</v>
      </c>
      <c r="X40" s="136">
        <f t="shared" si="16"/>
        <v>0</v>
      </c>
      <c r="Y40" s="136">
        <f t="shared" si="16"/>
        <v>0</v>
      </c>
      <c r="Z40" s="136">
        <f t="shared" si="16"/>
        <v>0</v>
      </c>
      <c r="AA40" s="136">
        <f t="shared" si="16"/>
        <v>0</v>
      </c>
      <c r="AB40" s="136">
        <f t="shared" si="16"/>
        <v>0</v>
      </c>
      <c r="AC40" s="136">
        <f t="shared" si="16"/>
        <v>0</v>
      </c>
      <c r="AD40" s="136">
        <f t="shared" si="16"/>
        <v>0</v>
      </c>
      <c r="AE40" s="136">
        <f t="shared" si="16"/>
        <v>0</v>
      </c>
      <c r="AF40" s="136">
        <f t="shared" si="16"/>
        <v>0</v>
      </c>
      <c r="AG40" s="136">
        <f t="shared" si="16"/>
        <v>0</v>
      </c>
      <c r="AH40" s="136">
        <f t="shared" si="16"/>
        <v>0</v>
      </c>
      <c r="AI40" s="136">
        <f t="shared" si="16"/>
        <v>0</v>
      </c>
      <c r="AJ40" s="136">
        <f t="shared" si="16"/>
        <v>0</v>
      </c>
      <c r="AK40" s="136">
        <f t="shared" si="16"/>
        <v>0</v>
      </c>
      <c r="AL40" s="136">
        <f t="shared" si="16"/>
        <v>0</v>
      </c>
      <c r="AM40" s="136">
        <f t="shared" si="16"/>
        <v>0</v>
      </c>
      <c r="AN40" s="136">
        <f t="shared" si="16"/>
        <v>0</v>
      </c>
      <c r="AO40" s="136">
        <f t="shared" ref="AO40:BT40" si="17">-ConstLoanOFees*(Today=ClosingDate)</f>
        <v>0</v>
      </c>
      <c r="AP40" s="136">
        <f t="shared" si="17"/>
        <v>0</v>
      </c>
      <c r="AQ40" s="136">
        <f t="shared" si="17"/>
        <v>0</v>
      </c>
      <c r="AR40" s="136">
        <f t="shared" si="17"/>
        <v>0</v>
      </c>
      <c r="AS40" s="136">
        <f t="shared" si="17"/>
        <v>0</v>
      </c>
      <c r="AT40" s="136">
        <f t="shared" si="17"/>
        <v>0</v>
      </c>
      <c r="AU40" s="136">
        <f t="shared" si="17"/>
        <v>0</v>
      </c>
      <c r="AV40" s="136">
        <f t="shared" si="17"/>
        <v>0</v>
      </c>
      <c r="AW40" s="136">
        <f t="shared" si="17"/>
        <v>0</v>
      </c>
      <c r="AX40" s="136">
        <f t="shared" si="17"/>
        <v>0</v>
      </c>
      <c r="AY40" s="136">
        <f t="shared" si="17"/>
        <v>0</v>
      </c>
      <c r="AZ40" s="136">
        <f t="shared" si="17"/>
        <v>0</v>
      </c>
      <c r="BA40" s="136">
        <f t="shared" si="17"/>
        <v>0</v>
      </c>
      <c r="BB40" s="136">
        <f t="shared" si="17"/>
        <v>0</v>
      </c>
      <c r="BC40" s="136">
        <f t="shared" si="17"/>
        <v>0</v>
      </c>
      <c r="BD40" s="136">
        <f t="shared" si="17"/>
        <v>0</v>
      </c>
      <c r="BE40" s="136">
        <f t="shared" si="17"/>
        <v>0</v>
      </c>
      <c r="BF40" s="136">
        <f t="shared" si="17"/>
        <v>0</v>
      </c>
      <c r="BG40" s="136">
        <f t="shared" si="17"/>
        <v>0</v>
      </c>
      <c r="BH40" s="136">
        <f t="shared" si="17"/>
        <v>0</v>
      </c>
      <c r="BI40" s="136">
        <f t="shared" si="17"/>
        <v>0</v>
      </c>
      <c r="BJ40" s="136">
        <f t="shared" si="17"/>
        <v>0</v>
      </c>
      <c r="BK40" s="136">
        <f t="shared" si="17"/>
        <v>0</v>
      </c>
      <c r="BL40" s="136">
        <f t="shared" si="17"/>
        <v>0</v>
      </c>
      <c r="BM40" s="136">
        <f t="shared" si="17"/>
        <v>0</v>
      </c>
      <c r="BN40" s="136">
        <f t="shared" si="17"/>
        <v>0</v>
      </c>
      <c r="BO40" s="136">
        <f t="shared" si="17"/>
        <v>0</v>
      </c>
      <c r="BP40" s="136">
        <f t="shared" si="17"/>
        <v>0</v>
      </c>
      <c r="BQ40" s="136">
        <f t="shared" si="17"/>
        <v>0</v>
      </c>
      <c r="BR40" s="136">
        <f t="shared" si="17"/>
        <v>0</v>
      </c>
      <c r="BS40" s="136">
        <f t="shared" si="17"/>
        <v>0</v>
      </c>
      <c r="BT40" s="136">
        <f t="shared" si="17"/>
        <v>0</v>
      </c>
      <c r="BU40" s="136">
        <f t="shared" ref="AD40:CO40" si="18">-ConstLoanOFees*(Today=ClosingDate)</f>
        <v>0</v>
      </c>
      <c r="BV40" s="136">
        <f t="shared" si="18"/>
        <v>0</v>
      </c>
      <c r="BW40" s="136">
        <f t="shared" si="18"/>
        <v>0</v>
      </c>
      <c r="BX40" s="136">
        <f t="shared" si="18"/>
        <v>0</v>
      </c>
      <c r="BY40" s="136">
        <f t="shared" si="18"/>
        <v>0</v>
      </c>
      <c r="BZ40" s="136">
        <f t="shared" si="18"/>
        <v>0</v>
      </c>
      <c r="CA40" s="136">
        <f t="shared" si="18"/>
        <v>0</v>
      </c>
      <c r="CB40" s="136">
        <f t="shared" si="18"/>
        <v>0</v>
      </c>
      <c r="CC40" s="136">
        <f t="shared" si="18"/>
        <v>0</v>
      </c>
      <c r="CD40" s="136">
        <f t="shared" si="18"/>
        <v>0</v>
      </c>
      <c r="CE40" s="136">
        <f t="shared" si="18"/>
        <v>0</v>
      </c>
      <c r="CF40" s="136">
        <f t="shared" si="18"/>
        <v>0</v>
      </c>
      <c r="CG40" s="136">
        <f t="shared" si="18"/>
        <v>0</v>
      </c>
      <c r="CH40" s="136">
        <f t="shared" si="18"/>
        <v>0</v>
      </c>
      <c r="CI40" s="136">
        <f t="shared" si="18"/>
        <v>0</v>
      </c>
      <c r="CJ40" s="136">
        <f t="shared" si="18"/>
        <v>0</v>
      </c>
      <c r="CK40" s="136">
        <f t="shared" si="18"/>
        <v>0</v>
      </c>
      <c r="CL40" s="136">
        <f t="shared" si="18"/>
        <v>0</v>
      </c>
      <c r="CM40" s="136">
        <f t="shared" si="18"/>
        <v>0</v>
      </c>
      <c r="CN40" s="136">
        <f t="shared" si="18"/>
        <v>0</v>
      </c>
      <c r="CO40" s="136">
        <f t="shared" si="18"/>
        <v>0</v>
      </c>
      <c r="CP40" s="13" t="s">
        <v>15</v>
      </c>
    </row>
    <row r="41" spans="2:94" ht="15" customHeight="1" x14ac:dyDescent="0.2">
      <c r="B41" s="136">
        <f t="shared" ca="1" si="15"/>
        <v>-197955.79441323061</v>
      </c>
      <c r="D41" s="259" t="s">
        <v>199</v>
      </c>
      <c r="E41" s="269"/>
      <c r="F41" s="133" t="s">
        <v>201</v>
      </c>
      <c r="I41" s="136">
        <f>-I97</f>
        <v>0</v>
      </c>
      <c r="J41" s="136">
        <f t="shared" ref="J41:BU41" ca="1" si="19">-J97</f>
        <v>0</v>
      </c>
      <c r="K41" s="136">
        <f t="shared" ca="1" si="19"/>
        <v>0</v>
      </c>
      <c r="L41" s="136">
        <f t="shared" ca="1" si="19"/>
        <v>0</v>
      </c>
      <c r="M41" s="136">
        <f t="shared" ca="1" si="19"/>
        <v>0</v>
      </c>
      <c r="N41" s="136">
        <f t="shared" ca="1" si="19"/>
        <v>0</v>
      </c>
      <c r="O41" s="136">
        <f t="shared" ca="1" si="19"/>
        <v>0</v>
      </c>
      <c r="P41" s="136">
        <f t="shared" ca="1" si="19"/>
        <v>0</v>
      </c>
      <c r="Q41" s="136">
        <f t="shared" ca="1" si="19"/>
        <v>0</v>
      </c>
      <c r="R41" s="136">
        <f t="shared" ca="1" si="19"/>
        <v>0</v>
      </c>
      <c r="S41" s="136">
        <f t="shared" ca="1" si="19"/>
        <v>0</v>
      </c>
      <c r="T41" s="136">
        <f t="shared" ca="1" si="19"/>
        <v>0</v>
      </c>
      <c r="U41" s="136">
        <f t="shared" ca="1" si="19"/>
        <v>0</v>
      </c>
      <c r="V41" s="136">
        <f t="shared" ca="1" si="19"/>
        <v>0</v>
      </c>
      <c r="W41" s="136">
        <f t="shared" ca="1" si="19"/>
        <v>0</v>
      </c>
      <c r="X41" s="136">
        <f t="shared" ca="1" si="19"/>
        <v>0</v>
      </c>
      <c r="Y41" s="136">
        <f t="shared" ca="1" si="19"/>
        <v>-1748.5123873063865</v>
      </c>
      <c r="Z41" s="136">
        <f t="shared" ca="1" si="19"/>
        <v>-6778.3886035924443</v>
      </c>
      <c r="AA41" s="136">
        <f t="shared" ca="1" si="19"/>
        <v>-11451.001930305723</v>
      </c>
      <c r="AB41" s="136">
        <f t="shared" ca="1" si="19"/>
        <v>-16895.021205716435</v>
      </c>
      <c r="AC41" s="136">
        <f t="shared" ca="1" si="19"/>
        <v>-21969.701774748974</v>
      </c>
      <c r="AD41" s="136">
        <f t="shared" ca="1" si="19"/>
        <v>-26339.262332730814</v>
      </c>
      <c r="AE41" s="136">
        <f t="shared" ca="1" si="19"/>
        <v>-33327.373751748426</v>
      </c>
      <c r="AF41" s="136">
        <f t="shared" ca="1" si="19"/>
        <v>-37792.705912185782</v>
      </c>
      <c r="AG41" s="136">
        <f t="shared" ca="1" si="19"/>
        <v>-41653.826514895642</v>
      </c>
      <c r="AH41" s="136">
        <f t="shared" ca="1" si="19"/>
        <v>0</v>
      </c>
      <c r="AI41" s="136">
        <f t="shared" ca="1" si="19"/>
        <v>0</v>
      </c>
      <c r="AJ41" s="136">
        <f t="shared" ca="1" si="19"/>
        <v>0</v>
      </c>
      <c r="AK41" s="136">
        <f t="shared" ca="1" si="19"/>
        <v>0</v>
      </c>
      <c r="AL41" s="136">
        <f t="shared" ca="1" si="19"/>
        <v>0</v>
      </c>
      <c r="AM41" s="136">
        <f t="shared" ca="1" si="19"/>
        <v>0</v>
      </c>
      <c r="AN41" s="136">
        <f t="shared" ca="1" si="19"/>
        <v>0</v>
      </c>
      <c r="AO41" s="136">
        <f t="shared" ca="1" si="19"/>
        <v>0</v>
      </c>
      <c r="AP41" s="136">
        <f t="shared" ca="1" si="19"/>
        <v>0</v>
      </c>
      <c r="AQ41" s="136">
        <f t="shared" ca="1" si="19"/>
        <v>0</v>
      </c>
      <c r="AR41" s="136">
        <f t="shared" ca="1" si="19"/>
        <v>0</v>
      </c>
      <c r="AS41" s="136">
        <f t="shared" ca="1" si="19"/>
        <v>0</v>
      </c>
      <c r="AT41" s="136">
        <f t="shared" ca="1" si="19"/>
        <v>0</v>
      </c>
      <c r="AU41" s="136">
        <f t="shared" ca="1" si="19"/>
        <v>0</v>
      </c>
      <c r="AV41" s="136">
        <f t="shared" ca="1" si="19"/>
        <v>0</v>
      </c>
      <c r="AW41" s="136">
        <f t="shared" ca="1" si="19"/>
        <v>0</v>
      </c>
      <c r="AX41" s="136">
        <f t="shared" ca="1" si="19"/>
        <v>0</v>
      </c>
      <c r="AY41" s="136">
        <f t="shared" ca="1" si="19"/>
        <v>0</v>
      </c>
      <c r="AZ41" s="136">
        <f t="shared" ca="1" si="19"/>
        <v>0</v>
      </c>
      <c r="BA41" s="136">
        <f t="shared" ca="1" si="19"/>
        <v>0</v>
      </c>
      <c r="BB41" s="136">
        <f t="shared" ca="1" si="19"/>
        <v>0</v>
      </c>
      <c r="BC41" s="136">
        <f t="shared" ca="1" si="19"/>
        <v>0</v>
      </c>
      <c r="BD41" s="136">
        <f t="shared" ca="1" si="19"/>
        <v>0</v>
      </c>
      <c r="BE41" s="136">
        <f t="shared" ca="1" si="19"/>
        <v>0</v>
      </c>
      <c r="BF41" s="136">
        <f t="shared" ca="1" si="19"/>
        <v>0</v>
      </c>
      <c r="BG41" s="136">
        <f t="shared" ca="1" si="19"/>
        <v>0</v>
      </c>
      <c r="BH41" s="136">
        <f t="shared" ca="1" si="19"/>
        <v>0</v>
      </c>
      <c r="BI41" s="136">
        <f t="shared" ca="1" si="19"/>
        <v>0</v>
      </c>
      <c r="BJ41" s="136">
        <f t="shared" ca="1" si="19"/>
        <v>0</v>
      </c>
      <c r="BK41" s="136">
        <f t="shared" ca="1" si="19"/>
        <v>0</v>
      </c>
      <c r="BL41" s="136">
        <f t="shared" ca="1" si="19"/>
        <v>0</v>
      </c>
      <c r="BM41" s="136">
        <f t="shared" ca="1" si="19"/>
        <v>0</v>
      </c>
      <c r="BN41" s="136">
        <f t="shared" ca="1" si="19"/>
        <v>0</v>
      </c>
      <c r="BO41" s="136">
        <f t="shared" ca="1" si="19"/>
        <v>0</v>
      </c>
      <c r="BP41" s="136">
        <f t="shared" ca="1" si="19"/>
        <v>0</v>
      </c>
      <c r="BQ41" s="136">
        <f t="shared" ca="1" si="19"/>
        <v>0</v>
      </c>
      <c r="BR41" s="136">
        <f t="shared" ca="1" si="19"/>
        <v>0</v>
      </c>
      <c r="BS41" s="136">
        <f t="shared" ca="1" si="19"/>
        <v>0</v>
      </c>
      <c r="BT41" s="136">
        <f t="shared" ca="1" si="19"/>
        <v>0</v>
      </c>
      <c r="BU41" s="136">
        <f t="shared" ca="1" si="19"/>
        <v>0</v>
      </c>
      <c r="BV41" s="136">
        <f t="shared" ref="BV41:CO41" ca="1" si="20">-BV97</f>
        <v>0</v>
      </c>
      <c r="BW41" s="136">
        <f t="shared" ca="1" si="20"/>
        <v>0</v>
      </c>
      <c r="BX41" s="136">
        <f t="shared" ca="1" si="20"/>
        <v>0</v>
      </c>
      <c r="BY41" s="136">
        <f t="shared" ca="1" si="20"/>
        <v>0</v>
      </c>
      <c r="BZ41" s="136">
        <f t="shared" ca="1" si="20"/>
        <v>0</v>
      </c>
      <c r="CA41" s="136">
        <f t="shared" ca="1" si="20"/>
        <v>0</v>
      </c>
      <c r="CB41" s="136">
        <f t="shared" ca="1" si="20"/>
        <v>0</v>
      </c>
      <c r="CC41" s="136">
        <f t="shared" ca="1" si="20"/>
        <v>0</v>
      </c>
      <c r="CD41" s="136">
        <f t="shared" ca="1" si="20"/>
        <v>0</v>
      </c>
      <c r="CE41" s="136">
        <f t="shared" ca="1" si="20"/>
        <v>0</v>
      </c>
      <c r="CF41" s="136">
        <f t="shared" ca="1" si="20"/>
        <v>0</v>
      </c>
      <c r="CG41" s="136">
        <f t="shared" ca="1" si="20"/>
        <v>0</v>
      </c>
      <c r="CH41" s="136">
        <f t="shared" ca="1" si="20"/>
        <v>0</v>
      </c>
      <c r="CI41" s="136">
        <f t="shared" ca="1" si="20"/>
        <v>0</v>
      </c>
      <c r="CJ41" s="136">
        <f t="shared" ca="1" si="20"/>
        <v>0</v>
      </c>
      <c r="CK41" s="136">
        <f t="shared" ca="1" si="20"/>
        <v>0</v>
      </c>
      <c r="CL41" s="136">
        <f t="shared" ca="1" si="20"/>
        <v>0</v>
      </c>
      <c r="CM41" s="136">
        <f t="shared" ca="1" si="20"/>
        <v>0</v>
      </c>
      <c r="CN41" s="136">
        <f t="shared" ca="1" si="20"/>
        <v>0</v>
      </c>
      <c r="CO41" s="136">
        <f t="shared" ca="1" si="20"/>
        <v>0</v>
      </c>
      <c r="CP41" s="13" t="s">
        <v>15</v>
      </c>
    </row>
    <row r="42" spans="2:94" ht="15" customHeight="1" x14ac:dyDescent="0.2">
      <c r="B42" s="136">
        <f t="shared" si="15"/>
        <v>5000000</v>
      </c>
      <c r="D42" s="259" t="s">
        <v>194</v>
      </c>
      <c r="E42" s="269"/>
      <c r="F42" s="133" t="s">
        <v>202</v>
      </c>
      <c r="I42" s="136">
        <f>I82</f>
        <v>0</v>
      </c>
      <c r="J42" s="136">
        <f t="shared" ref="J42:BU42" si="21">J82</f>
        <v>0</v>
      </c>
      <c r="K42" s="136">
        <f t="shared" si="21"/>
        <v>0</v>
      </c>
      <c r="L42" s="136">
        <f t="shared" si="21"/>
        <v>0</v>
      </c>
      <c r="M42" s="136">
        <f t="shared" si="21"/>
        <v>0</v>
      </c>
      <c r="N42" s="136">
        <f t="shared" si="21"/>
        <v>0</v>
      </c>
      <c r="O42" s="136">
        <f t="shared" si="21"/>
        <v>0</v>
      </c>
      <c r="P42" s="136">
        <f t="shared" si="21"/>
        <v>0</v>
      </c>
      <c r="Q42" s="136">
        <f t="shared" si="21"/>
        <v>0</v>
      </c>
      <c r="R42" s="136">
        <f t="shared" si="21"/>
        <v>120520.01556391187</v>
      </c>
      <c r="S42" s="136">
        <f t="shared" si="21"/>
        <v>697211.51496240601</v>
      </c>
      <c r="T42" s="136">
        <f t="shared" si="21"/>
        <v>697211.51496240601</v>
      </c>
      <c r="U42" s="136">
        <f t="shared" si="21"/>
        <v>697211.51496240601</v>
      </c>
      <c r="V42" s="136">
        <f t="shared" si="21"/>
        <v>1075316.2749624059</v>
      </c>
      <c r="W42" s="136">
        <f t="shared" si="21"/>
        <v>1192015.2749624061</v>
      </c>
      <c r="X42" s="136">
        <f t="shared" si="21"/>
        <v>520513.88962405734</v>
      </c>
      <c r="Y42" s="136">
        <f t="shared" si="21"/>
        <v>0</v>
      </c>
      <c r="Z42" s="136">
        <f t="shared" si="21"/>
        <v>0</v>
      </c>
      <c r="AA42" s="136">
        <f t="shared" si="21"/>
        <v>0</v>
      </c>
      <c r="AB42" s="136">
        <f t="shared" si="21"/>
        <v>0</v>
      </c>
      <c r="AC42" s="136">
        <f t="shared" si="21"/>
        <v>0</v>
      </c>
      <c r="AD42" s="136">
        <f t="shared" si="21"/>
        <v>0</v>
      </c>
      <c r="AE42" s="136">
        <f t="shared" si="21"/>
        <v>0</v>
      </c>
      <c r="AF42" s="136">
        <f t="shared" si="21"/>
        <v>0</v>
      </c>
      <c r="AG42" s="136">
        <f t="shared" si="21"/>
        <v>0</v>
      </c>
      <c r="AH42" s="136">
        <f t="shared" si="21"/>
        <v>0</v>
      </c>
      <c r="AI42" s="136">
        <f t="shared" si="21"/>
        <v>0</v>
      </c>
      <c r="AJ42" s="136">
        <f t="shared" si="21"/>
        <v>0</v>
      </c>
      <c r="AK42" s="136">
        <f t="shared" si="21"/>
        <v>0</v>
      </c>
      <c r="AL42" s="136">
        <f t="shared" si="21"/>
        <v>0</v>
      </c>
      <c r="AM42" s="136">
        <f t="shared" si="21"/>
        <v>0</v>
      </c>
      <c r="AN42" s="136">
        <f t="shared" si="21"/>
        <v>0</v>
      </c>
      <c r="AO42" s="136">
        <f t="shared" si="21"/>
        <v>0</v>
      </c>
      <c r="AP42" s="136">
        <f t="shared" si="21"/>
        <v>0</v>
      </c>
      <c r="AQ42" s="136">
        <f t="shared" si="21"/>
        <v>0</v>
      </c>
      <c r="AR42" s="136">
        <f t="shared" si="21"/>
        <v>0</v>
      </c>
      <c r="AS42" s="136">
        <f t="shared" si="21"/>
        <v>0</v>
      </c>
      <c r="AT42" s="136">
        <f t="shared" si="21"/>
        <v>0</v>
      </c>
      <c r="AU42" s="136">
        <f t="shared" si="21"/>
        <v>0</v>
      </c>
      <c r="AV42" s="136">
        <f t="shared" si="21"/>
        <v>0</v>
      </c>
      <c r="AW42" s="136">
        <f t="shared" si="21"/>
        <v>0</v>
      </c>
      <c r="AX42" s="136">
        <f t="shared" si="21"/>
        <v>0</v>
      </c>
      <c r="AY42" s="136">
        <f t="shared" si="21"/>
        <v>0</v>
      </c>
      <c r="AZ42" s="136">
        <f t="shared" si="21"/>
        <v>0</v>
      </c>
      <c r="BA42" s="136">
        <f t="shared" si="21"/>
        <v>0</v>
      </c>
      <c r="BB42" s="136">
        <f t="shared" si="21"/>
        <v>0</v>
      </c>
      <c r="BC42" s="136">
        <f t="shared" si="21"/>
        <v>0</v>
      </c>
      <c r="BD42" s="136">
        <f t="shared" si="21"/>
        <v>0</v>
      </c>
      <c r="BE42" s="136">
        <f t="shared" si="21"/>
        <v>0</v>
      </c>
      <c r="BF42" s="136">
        <f t="shared" si="21"/>
        <v>0</v>
      </c>
      <c r="BG42" s="136">
        <f t="shared" si="21"/>
        <v>0</v>
      </c>
      <c r="BH42" s="136">
        <f t="shared" si="21"/>
        <v>0</v>
      </c>
      <c r="BI42" s="136">
        <f t="shared" si="21"/>
        <v>0</v>
      </c>
      <c r="BJ42" s="136">
        <f t="shared" si="21"/>
        <v>0</v>
      </c>
      <c r="BK42" s="136">
        <f t="shared" si="21"/>
        <v>0</v>
      </c>
      <c r="BL42" s="136">
        <f t="shared" si="21"/>
        <v>0</v>
      </c>
      <c r="BM42" s="136">
        <f t="shared" si="21"/>
        <v>0</v>
      </c>
      <c r="BN42" s="136">
        <f t="shared" si="21"/>
        <v>0</v>
      </c>
      <c r="BO42" s="136">
        <f t="shared" si="21"/>
        <v>0</v>
      </c>
      <c r="BP42" s="136">
        <f t="shared" si="21"/>
        <v>0</v>
      </c>
      <c r="BQ42" s="136">
        <f t="shared" si="21"/>
        <v>0</v>
      </c>
      <c r="BR42" s="136">
        <f t="shared" si="21"/>
        <v>0</v>
      </c>
      <c r="BS42" s="136">
        <f t="shared" si="21"/>
        <v>0</v>
      </c>
      <c r="BT42" s="136">
        <f t="shared" si="21"/>
        <v>0</v>
      </c>
      <c r="BU42" s="136">
        <f t="shared" si="21"/>
        <v>0</v>
      </c>
      <c r="BV42" s="136">
        <f t="shared" ref="BV42:CO42" si="22">BV82</f>
        <v>0</v>
      </c>
      <c r="BW42" s="136">
        <f t="shared" si="22"/>
        <v>0</v>
      </c>
      <c r="BX42" s="136">
        <f t="shared" si="22"/>
        <v>0</v>
      </c>
      <c r="BY42" s="136">
        <f t="shared" si="22"/>
        <v>0</v>
      </c>
      <c r="BZ42" s="136">
        <f t="shared" si="22"/>
        <v>0</v>
      </c>
      <c r="CA42" s="136">
        <f t="shared" si="22"/>
        <v>0</v>
      </c>
      <c r="CB42" s="136">
        <f t="shared" si="22"/>
        <v>0</v>
      </c>
      <c r="CC42" s="136">
        <f t="shared" si="22"/>
        <v>0</v>
      </c>
      <c r="CD42" s="136">
        <f t="shared" si="22"/>
        <v>0</v>
      </c>
      <c r="CE42" s="136">
        <f t="shared" si="22"/>
        <v>0</v>
      </c>
      <c r="CF42" s="136">
        <f t="shared" si="22"/>
        <v>0</v>
      </c>
      <c r="CG42" s="136">
        <f t="shared" si="22"/>
        <v>0</v>
      </c>
      <c r="CH42" s="136">
        <f t="shared" si="22"/>
        <v>0</v>
      </c>
      <c r="CI42" s="136">
        <f t="shared" si="22"/>
        <v>0</v>
      </c>
      <c r="CJ42" s="136">
        <f t="shared" si="22"/>
        <v>0</v>
      </c>
      <c r="CK42" s="136">
        <f t="shared" si="22"/>
        <v>0</v>
      </c>
      <c r="CL42" s="136">
        <f t="shared" si="22"/>
        <v>0</v>
      </c>
      <c r="CM42" s="136">
        <f t="shared" si="22"/>
        <v>0</v>
      </c>
      <c r="CN42" s="136">
        <f t="shared" si="22"/>
        <v>0</v>
      </c>
      <c r="CO42" s="136">
        <f t="shared" si="22"/>
        <v>0</v>
      </c>
      <c r="CP42" s="13" t="s">
        <v>15</v>
      </c>
    </row>
    <row r="43" spans="2:94" ht="15" customHeight="1" x14ac:dyDescent="0.2">
      <c r="B43" s="136">
        <f t="shared" ca="1" si="15"/>
        <v>11697955.794413235</v>
      </c>
      <c r="D43" s="259" t="s">
        <v>194</v>
      </c>
      <c r="E43" s="269"/>
      <c r="F43" s="133" t="s">
        <v>203</v>
      </c>
      <c r="I43" s="136">
        <f>I88</f>
        <v>0</v>
      </c>
      <c r="J43" s="136">
        <f t="shared" ref="J43:BU43" ca="1" si="23">J88</f>
        <v>0</v>
      </c>
      <c r="K43" s="136">
        <f t="shared" ca="1" si="23"/>
        <v>0</v>
      </c>
      <c r="L43" s="136">
        <f t="shared" ca="1" si="23"/>
        <v>0</v>
      </c>
      <c r="M43" s="136">
        <f t="shared" ca="1" si="23"/>
        <v>0</v>
      </c>
      <c r="N43" s="136">
        <f t="shared" ca="1" si="23"/>
        <v>0</v>
      </c>
      <c r="O43" s="136">
        <f t="shared" ca="1" si="23"/>
        <v>0</v>
      </c>
      <c r="P43" s="136">
        <f t="shared" ca="1" si="23"/>
        <v>0</v>
      </c>
      <c r="Q43" s="136">
        <f t="shared" ca="1" si="23"/>
        <v>0</v>
      </c>
      <c r="R43" s="136">
        <f t="shared" ca="1" si="23"/>
        <v>0</v>
      </c>
      <c r="S43" s="136">
        <f t="shared" ca="1" si="23"/>
        <v>0</v>
      </c>
      <c r="T43" s="136">
        <f t="shared" ca="1" si="23"/>
        <v>0</v>
      </c>
      <c r="U43" s="136">
        <f t="shared" ca="1" si="23"/>
        <v>0</v>
      </c>
      <c r="V43" s="136">
        <f t="shared" ca="1" si="23"/>
        <v>0</v>
      </c>
      <c r="W43" s="136">
        <f t="shared" ca="1" si="23"/>
        <v>0</v>
      </c>
      <c r="X43" s="136">
        <f t="shared" ca="1" si="23"/>
        <v>449773.28533834871</v>
      </c>
      <c r="Y43" s="136">
        <f t="shared" ca="1" si="23"/>
        <v>1240443.3873497124</v>
      </c>
      <c r="Z43" s="136">
        <f t="shared" ca="1" si="23"/>
        <v>1265948.6335659986</v>
      </c>
      <c r="AA43" s="136">
        <f t="shared" ca="1" si="23"/>
        <v>1270621.2468927118</v>
      </c>
      <c r="AB43" s="136">
        <f t="shared" ca="1" si="23"/>
        <v>1276065.2661681226</v>
      </c>
      <c r="AC43" s="136">
        <f t="shared" ca="1" si="23"/>
        <v>1313815.6667371551</v>
      </c>
      <c r="AD43" s="136">
        <f t="shared" ca="1" si="23"/>
        <v>1518695.3272951371</v>
      </c>
      <c r="AE43" s="136">
        <f t="shared" ca="1" si="23"/>
        <v>1415349.8387141544</v>
      </c>
      <c r="AF43" s="136">
        <f t="shared" ca="1" si="23"/>
        <v>621594.01087459177</v>
      </c>
      <c r="AG43" s="136">
        <f t="shared" ca="1" si="23"/>
        <v>1325649.1314773017</v>
      </c>
      <c r="AH43" s="136">
        <f t="shared" ca="1" si="23"/>
        <v>0</v>
      </c>
      <c r="AI43" s="136">
        <f t="shared" ca="1" si="23"/>
        <v>0</v>
      </c>
      <c r="AJ43" s="136">
        <f t="shared" ca="1" si="23"/>
        <v>0</v>
      </c>
      <c r="AK43" s="136">
        <f t="shared" ca="1" si="23"/>
        <v>0</v>
      </c>
      <c r="AL43" s="136">
        <f t="shared" ca="1" si="23"/>
        <v>0</v>
      </c>
      <c r="AM43" s="136">
        <f t="shared" ca="1" si="23"/>
        <v>0</v>
      </c>
      <c r="AN43" s="136">
        <f t="shared" ca="1" si="23"/>
        <v>0</v>
      </c>
      <c r="AO43" s="136">
        <f t="shared" ca="1" si="23"/>
        <v>0</v>
      </c>
      <c r="AP43" s="136">
        <f t="shared" ca="1" si="23"/>
        <v>0</v>
      </c>
      <c r="AQ43" s="136">
        <f t="shared" ca="1" si="23"/>
        <v>0</v>
      </c>
      <c r="AR43" s="136">
        <f t="shared" ca="1" si="23"/>
        <v>0</v>
      </c>
      <c r="AS43" s="136">
        <f t="shared" ca="1" si="23"/>
        <v>0</v>
      </c>
      <c r="AT43" s="136">
        <f t="shared" ca="1" si="23"/>
        <v>0</v>
      </c>
      <c r="AU43" s="136">
        <f t="shared" ca="1" si="23"/>
        <v>0</v>
      </c>
      <c r="AV43" s="136">
        <f t="shared" ca="1" si="23"/>
        <v>0</v>
      </c>
      <c r="AW43" s="136">
        <f t="shared" ca="1" si="23"/>
        <v>0</v>
      </c>
      <c r="AX43" s="136">
        <f t="shared" ca="1" si="23"/>
        <v>0</v>
      </c>
      <c r="AY43" s="136">
        <f t="shared" ca="1" si="23"/>
        <v>0</v>
      </c>
      <c r="AZ43" s="136">
        <f t="shared" ca="1" si="23"/>
        <v>0</v>
      </c>
      <c r="BA43" s="136">
        <f t="shared" ca="1" si="23"/>
        <v>0</v>
      </c>
      <c r="BB43" s="136">
        <f t="shared" ca="1" si="23"/>
        <v>0</v>
      </c>
      <c r="BC43" s="136">
        <f t="shared" ca="1" si="23"/>
        <v>0</v>
      </c>
      <c r="BD43" s="136">
        <f t="shared" ca="1" si="23"/>
        <v>0</v>
      </c>
      <c r="BE43" s="136">
        <f t="shared" ca="1" si="23"/>
        <v>0</v>
      </c>
      <c r="BF43" s="136">
        <f t="shared" ca="1" si="23"/>
        <v>0</v>
      </c>
      <c r="BG43" s="136">
        <f t="shared" ca="1" si="23"/>
        <v>0</v>
      </c>
      <c r="BH43" s="136">
        <f t="shared" ca="1" si="23"/>
        <v>0</v>
      </c>
      <c r="BI43" s="136">
        <f t="shared" ca="1" si="23"/>
        <v>0</v>
      </c>
      <c r="BJ43" s="136">
        <f t="shared" ca="1" si="23"/>
        <v>0</v>
      </c>
      <c r="BK43" s="136">
        <f t="shared" ca="1" si="23"/>
        <v>0</v>
      </c>
      <c r="BL43" s="136">
        <f t="shared" ca="1" si="23"/>
        <v>0</v>
      </c>
      <c r="BM43" s="136">
        <f t="shared" ca="1" si="23"/>
        <v>0</v>
      </c>
      <c r="BN43" s="136">
        <f t="shared" ca="1" si="23"/>
        <v>0</v>
      </c>
      <c r="BO43" s="136">
        <f t="shared" ca="1" si="23"/>
        <v>0</v>
      </c>
      <c r="BP43" s="136">
        <f t="shared" ca="1" si="23"/>
        <v>0</v>
      </c>
      <c r="BQ43" s="136">
        <f t="shared" ca="1" si="23"/>
        <v>0</v>
      </c>
      <c r="BR43" s="136">
        <f t="shared" ca="1" si="23"/>
        <v>0</v>
      </c>
      <c r="BS43" s="136">
        <f t="shared" ca="1" si="23"/>
        <v>0</v>
      </c>
      <c r="BT43" s="136">
        <f t="shared" ca="1" si="23"/>
        <v>0</v>
      </c>
      <c r="BU43" s="136">
        <f t="shared" ca="1" si="23"/>
        <v>0</v>
      </c>
      <c r="BV43" s="136">
        <f t="shared" ref="BV43:CO43" ca="1" si="24">BV88</f>
        <v>0</v>
      </c>
      <c r="BW43" s="136">
        <f t="shared" ca="1" si="24"/>
        <v>0</v>
      </c>
      <c r="BX43" s="136">
        <f t="shared" ca="1" si="24"/>
        <v>0</v>
      </c>
      <c r="BY43" s="136">
        <f t="shared" ca="1" si="24"/>
        <v>0</v>
      </c>
      <c r="BZ43" s="136">
        <f t="shared" ca="1" si="24"/>
        <v>0</v>
      </c>
      <c r="CA43" s="136">
        <f t="shared" ca="1" si="24"/>
        <v>0</v>
      </c>
      <c r="CB43" s="136">
        <f t="shared" ca="1" si="24"/>
        <v>0</v>
      </c>
      <c r="CC43" s="136">
        <f t="shared" ca="1" si="24"/>
        <v>0</v>
      </c>
      <c r="CD43" s="136">
        <f t="shared" ca="1" si="24"/>
        <v>0</v>
      </c>
      <c r="CE43" s="136">
        <f t="shared" ca="1" si="24"/>
        <v>0</v>
      </c>
      <c r="CF43" s="136">
        <f t="shared" ca="1" si="24"/>
        <v>0</v>
      </c>
      <c r="CG43" s="136">
        <f t="shared" ca="1" si="24"/>
        <v>0</v>
      </c>
      <c r="CH43" s="136">
        <f t="shared" ca="1" si="24"/>
        <v>0</v>
      </c>
      <c r="CI43" s="136">
        <f t="shared" ca="1" si="24"/>
        <v>0</v>
      </c>
      <c r="CJ43" s="136">
        <f t="shared" ca="1" si="24"/>
        <v>0</v>
      </c>
      <c r="CK43" s="136">
        <f t="shared" ca="1" si="24"/>
        <v>0</v>
      </c>
      <c r="CL43" s="136">
        <f t="shared" ca="1" si="24"/>
        <v>0</v>
      </c>
      <c r="CM43" s="136">
        <f t="shared" ca="1" si="24"/>
        <v>0</v>
      </c>
      <c r="CN43" s="136">
        <f t="shared" ca="1" si="24"/>
        <v>0</v>
      </c>
      <c r="CO43" s="136">
        <f t="shared" ca="1" si="24"/>
        <v>0</v>
      </c>
      <c r="CP43" s="13" t="s">
        <v>15</v>
      </c>
    </row>
    <row r="44" spans="2:94" ht="15" customHeight="1" x14ac:dyDescent="0.2">
      <c r="B44" s="136">
        <f t="shared" ca="1" si="15"/>
        <v>-564113.48250669183</v>
      </c>
      <c r="C44" s="133" t="s">
        <v>204</v>
      </c>
      <c r="D44" s="259" t="s">
        <v>199</v>
      </c>
      <c r="E44" s="269"/>
      <c r="F44" s="133" t="s">
        <v>205</v>
      </c>
      <c r="I44" s="136">
        <f>-I96+I97</f>
        <v>0</v>
      </c>
      <c r="J44" s="136">
        <f t="shared" ref="J44:BU44" ca="1" si="25">-J96+J97</f>
        <v>0</v>
      </c>
      <c r="K44" s="136">
        <f t="shared" ca="1" si="25"/>
        <v>0</v>
      </c>
      <c r="L44" s="136">
        <f t="shared" ca="1" si="25"/>
        <v>0</v>
      </c>
      <c r="M44" s="136">
        <f t="shared" ca="1" si="25"/>
        <v>0</v>
      </c>
      <c r="N44" s="136">
        <f t="shared" ca="1" si="25"/>
        <v>0</v>
      </c>
      <c r="O44" s="136">
        <f t="shared" ca="1" si="25"/>
        <v>0</v>
      </c>
      <c r="P44" s="136">
        <f t="shared" ca="1" si="25"/>
        <v>0</v>
      </c>
      <c r="Q44" s="136">
        <f t="shared" ca="1" si="25"/>
        <v>0</v>
      </c>
      <c r="R44" s="136">
        <f t="shared" ca="1" si="25"/>
        <v>0</v>
      </c>
      <c r="S44" s="136">
        <f t="shared" ca="1" si="25"/>
        <v>0</v>
      </c>
      <c r="T44" s="136">
        <f t="shared" ca="1" si="25"/>
        <v>0</v>
      </c>
      <c r="U44" s="136">
        <f t="shared" ca="1" si="25"/>
        <v>0</v>
      </c>
      <c r="V44" s="136">
        <f t="shared" ca="1" si="25"/>
        <v>0</v>
      </c>
      <c r="W44" s="136">
        <f t="shared" ca="1" si="25"/>
        <v>0</v>
      </c>
      <c r="X44" s="136">
        <f t="shared" ca="1" si="25"/>
        <v>0</v>
      </c>
      <c r="Y44" s="136">
        <f t="shared" ca="1" si="25"/>
        <v>0</v>
      </c>
      <c r="Z44" s="136">
        <f t="shared" ca="1" si="25"/>
        <v>0</v>
      </c>
      <c r="AA44" s="136">
        <f t="shared" ca="1" si="25"/>
        <v>0</v>
      </c>
      <c r="AB44" s="136">
        <f t="shared" ca="1" si="25"/>
        <v>0</v>
      </c>
      <c r="AC44" s="136">
        <f t="shared" ca="1" si="25"/>
        <v>0</v>
      </c>
      <c r="AD44" s="136">
        <f t="shared" ca="1" si="25"/>
        <v>0</v>
      </c>
      <c r="AE44" s="136">
        <f t="shared" ca="1" si="25"/>
        <v>0</v>
      </c>
      <c r="AF44" s="136">
        <f t="shared" ca="1" si="25"/>
        <v>0</v>
      </c>
      <c r="AG44" s="136">
        <f t="shared" ca="1" si="25"/>
        <v>0</v>
      </c>
      <c r="AH44" s="136">
        <f t="shared" ca="1" si="25"/>
        <v>-47135.206921701443</v>
      </c>
      <c r="AI44" s="136">
        <f t="shared" ca="1" si="25"/>
        <v>-42689.285091908911</v>
      </c>
      <c r="AJ44" s="136">
        <f t="shared" ca="1" si="25"/>
        <v>-47419.775943561377</v>
      </c>
      <c r="AK44" s="136">
        <f t="shared" ca="1" si="25"/>
        <v>-46041.496796406282</v>
      </c>
      <c r="AL44" s="136">
        <f t="shared" ca="1" si="25"/>
        <v>-47703.942035832828</v>
      </c>
      <c r="AM44" s="136">
        <f t="shared" ca="1" si="25"/>
        <v>-46295.927334934771</v>
      </c>
      <c r="AN44" s="136">
        <f t="shared" ca="1" si="25"/>
        <v>-47984.179564616665</v>
      </c>
      <c r="AO44" s="136">
        <f t="shared" ca="1" si="25"/>
        <v>-48107.677483484003</v>
      </c>
      <c r="AP44" s="136">
        <f t="shared" ca="1" si="25"/>
        <v>-46689.07613259201</v>
      </c>
      <c r="AQ44" s="136">
        <f t="shared" ca="1" si="25"/>
        <v>-48394.865547669018</v>
      </c>
      <c r="AR44" s="136">
        <f t="shared" ca="1" si="25"/>
        <v>-46967.779929393902</v>
      </c>
      <c r="AS44" s="136">
        <f t="shared" ca="1" si="25"/>
        <v>-48684.269724590631</v>
      </c>
      <c r="AT44" s="136">
        <f t="shared" ca="1" si="25"/>
        <v>0</v>
      </c>
      <c r="AU44" s="136">
        <f t="shared" ca="1" si="25"/>
        <v>0</v>
      </c>
      <c r="AV44" s="136">
        <f t="shared" ca="1" si="25"/>
        <v>0</v>
      </c>
      <c r="AW44" s="136">
        <f t="shared" ca="1" si="25"/>
        <v>0</v>
      </c>
      <c r="AX44" s="136">
        <f t="shared" ca="1" si="25"/>
        <v>0</v>
      </c>
      <c r="AY44" s="136">
        <f t="shared" ca="1" si="25"/>
        <v>0</v>
      </c>
      <c r="AZ44" s="136">
        <f t="shared" ca="1" si="25"/>
        <v>0</v>
      </c>
      <c r="BA44" s="136">
        <f t="shared" ca="1" si="25"/>
        <v>0</v>
      </c>
      <c r="BB44" s="136">
        <f t="shared" ca="1" si="25"/>
        <v>0</v>
      </c>
      <c r="BC44" s="136">
        <f t="shared" ca="1" si="25"/>
        <v>0</v>
      </c>
      <c r="BD44" s="136">
        <f t="shared" ca="1" si="25"/>
        <v>0</v>
      </c>
      <c r="BE44" s="136">
        <f t="shared" ca="1" si="25"/>
        <v>0</v>
      </c>
      <c r="BF44" s="136">
        <f t="shared" ca="1" si="25"/>
        <v>0</v>
      </c>
      <c r="BG44" s="136">
        <f t="shared" ca="1" si="25"/>
        <v>0</v>
      </c>
      <c r="BH44" s="136">
        <f t="shared" ca="1" si="25"/>
        <v>0</v>
      </c>
      <c r="BI44" s="136">
        <f t="shared" ca="1" si="25"/>
        <v>0</v>
      </c>
      <c r="BJ44" s="136">
        <f t="shared" ca="1" si="25"/>
        <v>0</v>
      </c>
      <c r="BK44" s="136">
        <f t="shared" ca="1" si="25"/>
        <v>0</v>
      </c>
      <c r="BL44" s="136">
        <f t="shared" ca="1" si="25"/>
        <v>0</v>
      </c>
      <c r="BM44" s="136">
        <f t="shared" ca="1" si="25"/>
        <v>0</v>
      </c>
      <c r="BN44" s="136">
        <f t="shared" ca="1" si="25"/>
        <v>0</v>
      </c>
      <c r="BO44" s="136">
        <f t="shared" ca="1" si="25"/>
        <v>0</v>
      </c>
      <c r="BP44" s="136">
        <f t="shared" ca="1" si="25"/>
        <v>0</v>
      </c>
      <c r="BQ44" s="136">
        <f t="shared" ca="1" si="25"/>
        <v>0</v>
      </c>
      <c r="BR44" s="136">
        <f t="shared" ca="1" si="25"/>
        <v>0</v>
      </c>
      <c r="BS44" s="136">
        <f t="shared" ca="1" si="25"/>
        <v>0</v>
      </c>
      <c r="BT44" s="136">
        <f t="shared" ca="1" si="25"/>
        <v>0</v>
      </c>
      <c r="BU44" s="136">
        <f t="shared" ca="1" si="25"/>
        <v>0</v>
      </c>
      <c r="BV44" s="136">
        <f t="shared" ref="BV44:CO44" ca="1" si="26">-BV96+BV97</f>
        <v>0</v>
      </c>
      <c r="BW44" s="136">
        <f t="shared" ca="1" si="26"/>
        <v>0</v>
      </c>
      <c r="BX44" s="136">
        <f t="shared" ca="1" si="26"/>
        <v>0</v>
      </c>
      <c r="BY44" s="136">
        <f t="shared" ca="1" si="26"/>
        <v>0</v>
      </c>
      <c r="BZ44" s="136">
        <f t="shared" ca="1" si="26"/>
        <v>0</v>
      </c>
      <c r="CA44" s="136">
        <f t="shared" ca="1" si="26"/>
        <v>0</v>
      </c>
      <c r="CB44" s="136">
        <f t="shared" ca="1" si="26"/>
        <v>0</v>
      </c>
      <c r="CC44" s="136">
        <f t="shared" ca="1" si="26"/>
        <v>0</v>
      </c>
      <c r="CD44" s="136">
        <f t="shared" ca="1" si="26"/>
        <v>0</v>
      </c>
      <c r="CE44" s="136">
        <f t="shared" ca="1" si="26"/>
        <v>0</v>
      </c>
      <c r="CF44" s="136">
        <f t="shared" ca="1" si="26"/>
        <v>0</v>
      </c>
      <c r="CG44" s="136">
        <f t="shared" ca="1" si="26"/>
        <v>0</v>
      </c>
      <c r="CH44" s="136">
        <f t="shared" ca="1" si="26"/>
        <v>0</v>
      </c>
      <c r="CI44" s="136">
        <f t="shared" ca="1" si="26"/>
        <v>0</v>
      </c>
      <c r="CJ44" s="136">
        <f t="shared" ca="1" si="26"/>
        <v>0</v>
      </c>
      <c r="CK44" s="136">
        <f t="shared" ca="1" si="26"/>
        <v>0</v>
      </c>
      <c r="CL44" s="136">
        <f t="shared" ca="1" si="26"/>
        <v>0</v>
      </c>
      <c r="CM44" s="136">
        <f t="shared" ca="1" si="26"/>
        <v>0</v>
      </c>
      <c r="CN44" s="136">
        <f t="shared" ca="1" si="26"/>
        <v>0</v>
      </c>
      <c r="CO44" s="136">
        <f t="shared" ca="1" si="26"/>
        <v>0</v>
      </c>
      <c r="CP44" s="13" t="s">
        <v>15</v>
      </c>
    </row>
    <row r="45" spans="2:94" ht="15" customHeight="1" x14ac:dyDescent="0.2">
      <c r="B45" s="136">
        <f t="shared" ca="1" si="15"/>
        <v>0</v>
      </c>
      <c r="C45" s="133" t="s">
        <v>206</v>
      </c>
      <c r="D45" s="259" t="s">
        <v>199</v>
      </c>
      <c r="E45" s="269"/>
      <c r="F45" s="133" t="s">
        <v>207</v>
      </c>
      <c r="I45" s="136">
        <f t="shared" ref="I45:AN45" si="27">-ConstLoanExtensionDummy*(ConstLoanExtensionFee*I87)*(Today=ConstLoanExtensionDate)</f>
        <v>0</v>
      </c>
      <c r="J45" s="136">
        <f t="shared" si="27"/>
        <v>0</v>
      </c>
      <c r="K45" s="136">
        <f t="shared" ca="1" si="27"/>
        <v>0</v>
      </c>
      <c r="L45" s="136">
        <f t="shared" ca="1" si="27"/>
        <v>0</v>
      </c>
      <c r="M45" s="136">
        <f t="shared" ca="1" si="27"/>
        <v>0</v>
      </c>
      <c r="N45" s="136">
        <f t="shared" ca="1" si="27"/>
        <v>0</v>
      </c>
      <c r="O45" s="136">
        <f t="shared" ca="1" si="27"/>
        <v>0</v>
      </c>
      <c r="P45" s="136">
        <f t="shared" ca="1" si="27"/>
        <v>0</v>
      </c>
      <c r="Q45" s="136">
        <f t="shared" ca="1" si="27"/>
        <v>0</v>
      </c>
      <c r="R45" s="136">
        <f t="shared" ca="1" si="27"/>
        <v>0</v>
      </c>
      <c r="S45" s="136">
        <f t="shared" ca="1" si="27"/>
        <v>0</v>
      </c>
      <c r="T45" s="136">
        <f t="shared" ca="1" si="27"/>
        <v>0</v>
      </c>
      <c r="U45" s="136">
        <f t="shared" ca="1" si="27"/>
        <v>0</v>
      </c>
      <c r="V45" s="136">
        <f t="shared" ca="1" si="27"/>
        <v>0</v>
      </c>
      <c r="W45" s="136">
        <f t="shared" ca="1" si="27"/>
        <v>0</v>
      </c>
      <c r="X45" s="136">
        <f t="shared" ca="1" si="27"/>
        <v>0</v>
      </c>
      <c r="Y45" s="136">
        <f t="shared" ca="1" si="27"/>
        <v>0</v>
      </c>
      <c r="Z45" s="136">
        <f t="shared" ca="1" si="27"/>
        <v>0</v>
      </c>
      <c r="AA45" s="136">
        <f t="shared" ca="1" si="27"/>
        <v>0</v>
      </c>
      <c r="AB45" s="136">
        <f t="shared" ca="1" si="27"/>
        <v>0</v>
      </c>
      <c r="AC45" s="136">
        <f t="shared" ca="1" si="27"/>
        <v>0</v>
      </c>
      <c r="AD45" s="136">
        <f t="shared" ca="1" si="27"/>
        <v>0</v>
      </c>
      <c r="AE45" s="136">
        <f t="shared" ca="1" si="27"/>
        <v>0</v>
      </c>
      <c r="AF45" s="136">
        <f t="shared" ca="1" si="27"/>
        <v>0</v>
      </c>
      <c r="AG45" s="136">
        <f t="shared" ca="1" si="27"/>
        <v>0</v>
      </c>
      <c r="AH45" s="136">
        <f t="shared" ca="1" si="27"/>
        <v>0</v>
      </c>
      <c r="AI45" s="136">
        <f t="shared" ca="1" si="27"/>
        <v>0</v>
      </c>
      <c r="AJ45" s="136">
        <f t="shared" ca="1" si="27"/>
        <v>0</v>
      </c>
      <c r="AK45" s="136">
        <f t="shared" ca="1" si="27"/>
        <v>0</v>
      </c>
      <c r="AL45" s="136">
        <f t="shared" ca="1" si="27"/>
        <v>0</v>
      </c>
      <c r="AM45" s="136">
        <f t="shared" ca="1" si="27"/>
        <v>0</v>
      </c>
      <c r="AN45" s="136">
        <f t="shared" ca="1" si="27"/>
        <v>0</v>
      </c>
      <c r="AO45" s="136">
        <f t="shared" ref="AO45:BT45" ca="1" si="28">-ConstLoanExtensionDummy*(ConstLoanExtensionFee*AO87)*(Today=ConstLoanExtensionDate)</f>
        <v>0</v>
      </c>
      <c r="AP45" s="136">
        <f t="shared" ca="1" si="28"/>
        <v>0</v>
      </c>
      <c r="AQ45" s="136">
        <f t="shared" ca="1" si="28"/>
        <v>0</v>
      </c>
      <c r="AR45" s="136">
        <f t="shared" ca="1" si="28"/>
        <v>0</v>
      </c>
      <c r="AS45" s="136">
        <f t="shared" ca="1" si="28"/>
        <v>0</v>
      </c>
      <c r="AT45" s="136">
        <f t="shared" ca="1" si="28"/>
        <v>0</v>
      </c>
      <c r="AU45" s="136">
        <f t="shared" ca="1" si="28"/>
        <v>0</v>
      </c>
      <c r="AV45" s="136">
        <f t="shared" ca="1" si="28"/>
        <v>0</v>
      </c>
      <c r="AW45" s="136">
        <f t="shared" ca="1" si="28"/>
        <v>0</v>
      </c>
      <c r="AX45" s="136">
        <f t="shared" ca="1" si="28"/>
        <v>0</v>
      </c>
      <c r="AY45" s="136">
        <f t="shared" ca="1" si="28"/>
        <v>0</v>
      </c>
      <c r="AZ45" s="136">
        <f t="shared" ca="1" si="28"/>
        <v>0</v>
      </c>
      <c r="BA45" s="136">
        <f t="shared" ca="1" si="28"/>
        <v>0</v>
      </c>
      <c r="BB45" s="136">
        <f t="shared" ca="1" si="28"/>
        <v>0</v>
      </c>
      <c r="BC45" s="136">
        <f t="shared" ca="1" si="28"/>
        <v>0</v>
      </c>
      <c r="BD45" s="136">
        <f t="shared" ca="1" si="28"/>
        <v>0</v>
      </c>
      <c r="BE45" s="136">
        <f t="shared" ca="1" si="28"/>
        <v>0</v>
      </c>
      <c r="BF45" s="136">
        <f t="shared" ca="1" si="28"/>
        <v>0</v>
      </c>
      <c r="BG45" s="136">
        <f t="shared" ca="1" si="28"/>
        <v>0</v>
      </c>
      <c r="BH45" s="136">
        <f t="shared" ca="1" si="28"/>
        <v>0</v>
      </c>
      <c r="BI45" s="136">
        <f t="shared" ca="1" si="28"/>
        <v>0</v>
      </c>
      <c r="BJ45" s="136">
        <f t="shared" ca="1" si="28"/>
        <v>0</v>
      </c>
      <c r="BK45" s="136">
        <f t="shared" ca="1" si="28"/>
        <v>0</v>
      </c>
      <c r="BL45" s="136">
        <f t="shared" ca="1" si="28"/>
        <v>0</v>
      </c>
      <c r="BM45" s="136">
        <f t="shared" ca="1" si="28"/>
        <v>0</v>
      </c>
      <c r="BN45" s="136">
        <f t="shared" ca="1" si="28"/>
        <v>0</v>
      </c>
      <c r="BO45" s="136">
        <f t="shared" ca="1" si="28"/>
        <v>0</v>
      </c>
      <c r="BP45" s="136">
        <f t="shared" ca="1" si="28"/>
        <v>0</v>
      </c>
      <c r="BQ45" s="136">
        <f t="shared" ca="1" si="28"/>
        <v>0</v>
      </c>
      <c r="BR45" s="136">
        <f t="shared" ca="1" si="28"/>
        <v>0</v>
      </c>
      <c r="BS45" s="136">
        <f t="shared" ca="1" si="28"/>
        <v>0</v>
      </c>
      <c r="BT45" s="136">
        <f t="shared" ca="1" si="28"/>
        <v>0</v>
      </c>
      <c r="BU45" s="136">
        <f t="shared" ref="BU45:CO45" ca="1" si="29">-ConstLoanExtensionDummy*(ConstLoanExtensionFee*BU87)*(Today=ConstLoanExtensionDate)</f>
        <v>0</v>
      </c>
      <c r="BV45" s="136">
        <f t="shared" ca="1" si="29"/>
        <v>0</v>
      </c>
      <c r="BW45" s="136">
        <f t="shared" ca="1" si="29"/>
        <v>0</v>
      </c>
      <c r="BX45" s="136">
        <f t="shared" ca="1" si="29"/>
        <v>0</v>
      </c>
      <c r="BY45" s="136">
        <f t="shared" ca="1" si="29"/>
        <v>0</v>
      </c>
      <c r="BZ45" s="136">
        <f t="shared" ca="1" si="29"/>
        <v>0</v>
      </c>
      <c r="CA45" s="136">
        <f t="shared" ca="1" si="29"/>
        <v>0</v>
      </c>
      <c r="CB45" s="136">
        <f t="shared" ca="1" si="29"/>
        <v>0</v>
      </c>
      <c r="CC45" s="136">
        <f t="shared" ca="1" si="29"/>
        <v>0</v>
      </c>
      <c r="CD45" s="136">
        <f t="shared" ca="1" si="29"/>
        <v>0</v>
      </c>
      <c r="CE45" s="136">
        <f t="shared" ca="1" si="29"/>
        <v>0</v>
      </c>
      <c r="CF45" s="136">
        <f t="shared" ca="1" si="29"/>
        <v>0</v>
      </c>
      <c r="CG45" s="136">
        <f t="shared" ca="1" si="29"/>
        <v>0</v>
      </c>
      <c r="CH45" s="136">
        <f t="shared" ca="1" si="29"/>
        <v>0</v>
      </c>
      <c r="CI45" s="136">
        <f t="shared" ca="1" si="29"/>
        <v>0</v>
      </c>
      <c r="CJ45" s="136">
        <f t="shared" ca="1" si="29"/>
        <v>0</v>
      </c>
      <c r="CK45" s="136">
        <f t="shared" ca="1" si="29"/>
        <v>0</v>
      </c>
      <c r="CL45" s="136">
        <f t="shared" ca="1" si="29"/>
        <v>0</v>
      </c>
      <c r="CM45" s="136">
        <f t="shared" ca="1" si="29"/>
        <v>0</v>
      </c>
      <c r="CN45" s="136">
        <f t="shared" ca="1" si="29"/>
        <v>0</v>
      </c>
      <c r="CO45" s="136">
        <f t="shared" ca="1" si="29"/>
        <v>0</v>
      </c>
      <c r="CP45" s="13" t="s">
        <v>15</v>
      </c>
    </row>
    <row r="46" spans="2:94" ht="15" customHeight="1" x14ac:dyDescent="0.2">
      <c r="B46" s="136">
        <f t="shared" ca="1" si="15"/>
        <v>-11697955.794413235</v>
      </c>
      <c r="D46" s="259" t="s">
        <v>199</v>
      </c>
      <c r="E46" s="269"/>
      <c r="F46" s="133" t="s">
        <v>208</v>
      </c>
      <c r="I46" s="136">
        <f t="shared" ref="I46:AN46" si="30">I89</f>
        <v>0</v>
      </c>
      <c r="J46" s="136">
        <f t="shared" ca="1" si="30"/>
        <v>0</v>
      </c>
      <c r="K46" s="136">
        <f t="shared" ca="1" si="30"/>
        <v>0</v>
      </c>
      <c r="L46" s="136">
        <f t="shared" ca="1" si="30"/>
        <v>0</v>
      </c>
      <c r="M46" s="136">
        <f t="shared" ca="1" si="30"/>
        <v>0</v>
      </c>
      <c r="N46" s="136">
        <f t="shared" ca="1" si="30"/>
        <v>0</v>
      </c>
      <c r="O46" s="136">
        <f t="shared" ca="1" si="30"/>
        <v>0</v>
      </c>
      <c r="P46" s="136">
        <f t="shared" ca="1" si="30"/>
        <v>0</v>
      </c>
      <c r="Q46" s="136">
        <f t="shared" ca="1" si="30"/>
        <v>0</v>
      </c>
      <c r="R46" s="136">
        <f t="shared" ca="1" si="30"/>
        <v>0</v>
      </c>
      <c r="S46" s="136">
        <f t="shared" ca="1" si="30"/>
        <v>0</v>
      </c>
      <c r="T46" s="136">
        <f t="shared" ca="1" si="30"/>
        <v>0</v>
      </c>
      <c r="U46" s="136">
        <f t="shared" ca="1" si="30"/>
        <v>0</v>
      </c>
      <c r="V46" s="136">
        <f t="shared" ca="1" si="30"/>
        <v>0</v>
      </c>
      <c r="W46" s="136">
        <f t="shared" ca="1" si="30"/>
        <v>0</v>
      </c>
      <c r="X46" s="136">
        <f t="shared" ca="1" si="30"/>
        <v>0</v>
      </c>
      <c r="Y46" s="136">
        <f t="shared" ca="1" si="30"/>
        <v>0</v>
      </c>
      <c r="Z46" s="136">
        <f t="shared" ca="1" si="30"/>
        <v>0</v>
      </c>
      <c r="AA46" s="136">
        <f t="shared" ca="1" si="30"/>
        <v>0</v>
      </c>
      <c r="AB46" s="136">
        <f t="shared" ca="1" si="30"/>
        <v>0</v>
      </c>
      <c r="AC46" s="136">
        <f t="shared" ca="1" si="30"/>
        <v>0</v>
      </c>
      <c r="AD46" s="136">
        <f t="shared" ca="1" si="30"/>
        <v>0</v>
      </c>
      <c r="AE46" s="136">
        <f t="shared" ca="1" si="30"/>
        <v>0</v>
      </c>
      <c r="AF46" s="136">
        <f t="shared" ca="1" si="30"/>
        <v>0</v>
      </c>
      <c r="AG46" s="136">
        <f t="shared" ca="1" si="30"/>
        <v>0</v>
      </c>
      <c r="AH46" s="136">
        <f t="shared" ca="1" si="30"/>
        <v>0</v>
      </c>
      <c r="AI46" s="136">
        <f t="shared" ca="1" si="30"/>
        <v>0</v>
      </c>
      <c r="AJ46" s="136">
        <f t="shared" ca="1" si="30"/>
        <v>0</v>
      </c>
      <c r="AK46" s="136">
        <f t="shared" ca="1" si="30"/>
        <v>0</v>
      </c>
      <c r="AL46" s="136">
        <f t="shared" ca="1" si="30"/>
        <v>0</v>
      </c>
      <c r="AM46" s="136">
        <f t="shared" ca="1" si="30"/>
        <v>0</v>
      </c>
      <c r="AN46" s="136">
        <f t="shared" ca="1" si="30"/>
        <v>0</v>
      </c>
      <c r="AO46" s="136">
        <f t="shared" ref="AO46:BT46" ca="1" si="31">AO89</f>
        <v>0</v>
      </c>
      <c r="AP46" s="136">
        <f t="shared" ca="1" si="31"/>
        <v>0</v>
      </c>
      <c r="AQ46" s="136">
        <f t="shared" ca="1" si="31"/>
        <v>0</v>
      </c>
      <c r="AR46" s="136">
        <f t="shared" ca="1" si="31"/>
        <v>0</v>
      </c>
      <c r="AS46" s="136">
        <f t="shared" ca="1" si="31"/>
        <v>-11697955.794413235</v>
      </c>
      <c r="AT46" s="136">
        <f t="shared" ca="1" si="31"/>
        <v>0</v>
      </c>
      <c r="AU46" s="136">
        <f t="shared" ca="1" si="31"/>
        <v>0</v>
      </c>
      <c r="AV46" s="136">
        <f t="shared" ca="1" si="31"/>
        <v>0</v>
      </c>
      <c r="AW46" s="136">
        <f t="shared" ca="1" si="31"/>
        <v>0</v>
      </c>
      <c r="AX46" s="136">
        <f t="shared" ca="1" si="31"/>
        <v>0</v>
      </c>
      <c r="AY46" s="136">
        <f t="shared" ca="1" si="31"/>
        <v>0</v>
      </c>
      <c r="AZ46" s="136">
        <f t="shared" ca="1" si="31"/>
        <v>0</v>
      </c>
      <c r="BA46" s="136">
        <f t="shared" ca="1" si="31"/>
        <v>0</v>
      </c>
      <c r="BB46" s="136">
        <f t="shared" ca="1" si="31"/>
        <v>0</v>
      </c>
      <c r="BC46" s="136">
        <f t="shared" ca="1" si="31"/>
        <v>0</v>
      </c>
      <c r="BD46" s="136">
        <f t="shared" ca="1" si="31"/>
        <v>0</v>
      </c>
      <c r="BE46" s="136">
        <f t="shared" ca="1" si="31"/>
        <v>0</v>
      </c>
      <c r="BF46" s="136">
        <f t="shared" ca="1" si="31"/>
        <v>0</v>
      </c>
      <c r="BG46" s="136">
        <f t="shared" ca="1" si="31"/>
        <v>0</v>
      </c>
      <c r="BH46" s="136">
        <f t="shared" ca="1" si="31"/>
        <v>0</v>
      </c>
      <c r="BI46" s="136">
        <f t="shared" ca="1" si="31"/>
        <v>0</v>
      </c>
      <c r="BJ46" s="136">
        <f t="shared" ca="1" si="31"/>
        <v>0</v>
      </c>
      <c r="BK46" s="136">
        <f t="shared" ca="1" si="31"/>
        <v>0</v>
      </c>
      <c r="BL46" s="136">
        <f t="shared" ca="1" si="31"/>
        <v>0</v>
      </c>
      <c r="BM46" s="136">
        <f t="shared" ca="1" si="31"/>
        <v>0</v>
      </c>
      <c r="BN46" s="136">
        <f t="shared" ca="1" si="31"/>
        <v>0</v>
      </c>
      <c r="BO46" s="136">
        <f t="shared" ca="1" si="31"/>
        <v>0</v>
      </c>
      <c r="BP46" s="136">
        <f t="shared" ca="1" si="31"/>
        <v>0</v>
      </c>
      <c r="BQ46" s="136">
        <f t="shared" ca="1" si="31"/>
        <v>0</v>
      </c>
      <c r="BR46" s="136">
        <f t="shared" ca="1" si="31"/>
        <v>0</v>
      </c>
      <c r="BS46" s="136">
        <f t="shared" ca="1" si="31"/>
        <v>0</v>
      </c>
      <c r="BT46" s="136">
        <f t="shared" ca="1" si="31"/>
        <v>0</v>
      </c>
      <c r="BU46" s="136">
        <f t="shared" ref="BU46:CO46" ca="1" si="32">BU89</f>
        <v>0</v>
      </c>
      <c r="BV46" s="136">
        <f t="shared" ca="1" si="32"/>
        <v>0</v>
      </c>
      <c r="BW46" s="136">
        <f t="shared" ca="1" si="32"/>
        <v>0</v>
      </c>
      <c r="BX46" s="136">
        <f t="shared" ca="1" si="32"/>
        <v>0</v>
      </c>
      <c r="BY46" s="136">
        <f t="shared" ca="1" si="32"/>
        <v>0</v>
      </c>
      <c r="BZ46" s="136">
        <f t="shared" ca="1" si="32"/>
        <v>0</v>
      </c>
      <c r="CA46" s="136">
        <f t="shared" ca="1" si="32"/>
        <v>0</v>
      </c>
      <c r="CB46" s="136">
        <f t="shared" ca="1" si="32"/>
        <v>0</v>
      </c>
      <c r="CC46" s="136">
        <f t="shared" ca="1" si="32"/>
        <v>0</v>
      </c>
      <c r="CD46" s="136">
        <f t="shared" ca="1" si="32"/>
        <v>0</v>
      </c>
      <c r="CE46" s="136">
        <f t="shared" ca="1" si="32"/>
        <v>0</v>
      </c>
      <c r="CF46" s="136">
        <f t="shared" ca="1" si="32"/>
        <v>0</v>
      </c>
      <c r="CG46" s="136">
        <f t="shared" ca="1" si="32"/>
        <v>0</v>
      </c>
      <c r="CH46" s="136">
        <f t="shared" ca="1" si="32"/>
        <v>0</v>
      </c>
      <c r="CI46" s="136">
        <f t="shared" ca="1" si="32"/>
        <v>0</v>
      </c>
      <c r="CJ46" s="136">
        <f t="shared" ca="1" si="32"/>
        <v>0</v>
      </c>
      <c r="CK46" s="136">
        <f t="shared" ca="1" si="32"/>
        <v>0</v>
      </c>
      <c r="CL46" s="136">
        <f t="shared" ca="1" si="32"/>
        <v>0</v>
      </c>
      <c r="CM46" s="136">
        <f t="shared" ca="1" si="32"/>
        <v>0</v>
      </c>
      <c r="CN46" s="136">
        <f t="shared" ca="1" si="32"/>
        <v>0</v>
      </c>
      <c r="CO46" s="136">
        <f t="shared" ca="1" si="32"/>
        <v>0</v>
      </c>
      <c r="CP46" s="13" t="s">
        <v>15</v>
      </c>
    </row>
    <row r="47" spans="2:94" ht="15" customHeight="1" x14ac:dyDescent="0.2">
      <c r="B47" s="136">
        <f t="shared" ca="1" si="15"/>
        <v>35005242.318935432</v>
      </c>
      <c r="D47" s="259" t="s">
        <v>194</v>
      </c>
      <c r="E47" s="269"/>
      <c r="F47" s="133" t="s">
        <v>288</v>
      </c>
      <c r="I47" s="136">
        <f t="shared" ref="I47:AN47" ca="1" si="33">I101</f>
        <v>0</v>
      </c>
      <c r="J47" s="136">
        <f t="shared" ca="1" si="33"/>
        <v>0</v>
      </c>
      <c r="K47" s="136">
        <f t="shared" ca="1" si="33"/>
        <v>0</v>
      </c>
      <c r="L47" s="136">
        <f t="shared" ca="1" si="33"/>
        <v>0</v>
      </c>
      <c r="M47" s="136">
        <f t="shared" ca="1" si="33"/>
        <v>0</v>
      </c>
      <c r="N47" s="136">
        <f t="shared" ca="1" si="33"/>
        <v>0</v>
      </c>
      <c r="O47" s="136">
        <f t="shared" ca="1" si="33"/>
        <v>0</v>
      </c>
      <c r="P47" s="136">
        <f t="shared" ca="1" si="33"/>
        <v>0</v>
      </c>
      <c r="Q47" s="136">
        <f t="shared" ca="1" si="33"/>
        <v>0</v>
      </c>
      <c r="R47" s="136">
        <f t="shared" ca="1" si="33"/>
        <v>0</v>
      </c>
      <c r="S47" s="136">
        <f t="shared" ca="1" si="33"/>
        <v>0</v>
      </c>
      <c r="T47" s="136">
        <f t="shared" ca="1" si="33"/>
        <v>0</v>
      </c>
      <c r="U47" s="136">
        <f t="shared" ca="1" si="33"/>
        <v>0</v>
      </c>
      <c r="V47" s="136">
        <f t="shared" ca="1" si="33"/>
        <v>0</v>
      </c>
      <c r="W47" s="136">
        <f t="shared" ca="1" si="33"/>
        <v>0</v>
      </c>
      <c r="X47" s="136">
        <f t="shared" ca="1" si="33"/>
        <v>0</v>
      </c>
      <c r="Y47" s="136">
        <f t="shared" ca="1" si="33"/>
        <v>0</v>
      </c>
      <c r="Z47" s="136">
        <f t="shared" ca="1" si="33"/>
        <v>0</v>
      </c>
      <c r="AA47" s="136">
        <f t="shared" ca="1" si="33"/>
        <v>0</v>
      </c>
      <c r="AB47" s="136">
        <f t="shared" ca="1" si="33"/>
        <v>0</v>
      </c>
      <c r="AC47" s="136">
        <f t="shared" ca="1" si="33"/>
        <v>0</v>
      </c>
      <c r="AD47" s="136">
        <f t="shared" ca="1" si="33"/>
        <v>0</v>
      </c>
      <c r="AE47" s="136">
        <f t="shared" ca="1" si="33"/>
        <v>0</v>
      </c>
      <c r="AF47" s="136">
        <f t="shared" ca="1" si="33"/>
        <v>0</v>
      </c>
      <c r="AG47" s="136">
        <f t="shared" ca="1" si="33"/>
        <v>0</v>
      </c>
      <c r="AH47" s="136">
        <f t="shared" ca="1" si="33"/>
        <v>0</v>
      </c>
      <c r="AI47" s="136">
        <f t="shared" ca="1" si="33"/>
        <v>0</v>
      </c>
      <c r="AJ47" s="136">
        <f t="shared" ca="1" si="33"/>
        <v>0</v>
      </c>
      <c r="AK47" s="136">
        <f t="shared" ca="1" si="33"/>
        <v>0</v>
      </c>
      <c r="AL47" s="136">
        <f t="shared" ca="1" si="33"/>
        <v>0</v>
      </c>
      <c r="AM47" s="136">
        <f t="shared" ca="1" si="33"/>
        <v>0</v>
      </c>
      <c r="AN47" s="136">
        <f t="shared" ca="1" si="33"/>
        <v>0</v>
      </c>
      <c r="AO47" s="136">
        <f t="shared" ref="AO47:BT47" ca="1" si="34">AO101</f>
        <v>0</v>
      </c>
      <c r="AP47" s="136">
        <f t="shared" ca="1" si="34"/>
        <v>0</v>
      </c>
      <c r="AQ47" s="136">
        <f t="shared" ca="1" si="34"/>
        <v>0</v>
      </c>
      <c r="AR47" s="136">
        <f t="shared" ca="1" si="34"/>
        <v>0</v>
      </c>
      <c r="AS47" s="136">
        <f t="shared" ca="1" si="34"/>
        <v>35005242.318935432</v>
      </c>
      <c r="AT47" s="136">
        <f t="shared" ca="1" si="34"/>
        <v>0</v>
      </c>
      <c r="AU47" s="136">
        <f t="shared" ca="1" si="34"/>
        <v>0</v>
      </c>
      <c r="AV47" s="136">
        <f t="shared" ca="1" si="34"/>
        <v>0</v>
      </c>
      <c r="AW47" s="136">
        <f t="shared" ca="1" si="34"/>
        <v>0</v>
      </c>
      <c r="AX47" s="136">
        <f t="shared" ca="1" si="34"/>
        <v>0</v>
      </c>
      <c r="AY47" s="136">
        <f t="shared" ca="1" si="34"/>
        <v>0</v>
      </c>
      <c r="AZ47" s="136">
        <f t="shared" ca="1" si="34"/>
        <v>0</v>
      </c>
      <c r="BA47" s="136">
        <f t="shared" ca="1" si="34"/>
        <v>0</v>
      </c>
      <c r="BB47" s="136">
        <f t="shared" ca="1" si="34"/>
        <v>0</v>
      </c>
      <c r="BC47" s="136">
        <f t="shared" ca="1" si="34"/>
        <v>0</v>
      </c>
      <c r="BD47" s="136">
        <f t="shared" ca="1" si="34"/>
        <v>0</v>
      </c>
      <c r="BE47" s="136">
        <f t="shared" ca="1" si="34"/>
        <v>0</v>
      </c>
      <c r="BF47" s="136">
        <f t="shared" ca="1" si="34"/>
        <v>0</v>
      </c>
      <c r="BG47" s="136">
        <f t="shared" ca="1" si="34"/>
        <v>0</v>
      </c>
      <c r="BH47" s="136">
        <f t="shared" ca="1" si="34"/>
        <v>0</v>
      </c>
      <c r="BI47" s="136">
        <f t="shared" ca="1" si="34"/>
        <v>0</v>
      </c>
      <c r="BJ47" s="136">
        <f t="shared" ca="1" si="34"/>
        <v>0</v>
      </c>
      <c r="BK47" s="136">
        <f t="shared" ca="1" si="34"/>
        <v>0</v>
      </c>
      <c r="BL47" s="136">
        <f t="shared" ca="1" si="34"/>
        <v>0</v>
      </c>
      <c r="BM47" s="136">
        <f t="shared" ca="1" si="34"/>
        <v>0</v>
      </c>
      <c r="BN47" s="136">
        <f t="shared" ca="1" si="34"/>
        <v>0</v>
      </c>
      <c r="BO47" s="136">
        <f t="shared" ca="1" si="34"/>
        <v>0</v>
      </c>
      <c r="BP47" s="136">
        <f t="shared" ca="1" si="34"/>
        <v>0</v>
      </c>
      <c r="BQ47" s="136">
        <f t="shared" ca="1" si="34"/>
        <v>0</v>
      </c>
      <c r="BR47" s="136">
        <f t="shared" ca="1" si="34"/>
        <v>0</v>
      </c>
      <c r="BS47" s="136">
        <f t="shared" ca="1" si="34"/>
        <v>0</v>
      </c>
      <c r="BT47" s="136">
        <f t="shared" ca="1" si="34"/>
        <v>0</v>
      </c>
      <c r="BU47" s="136">
        <f t="shared" ref="BU47:CO47" ca="1" si="35">BU101</f>
        <v>0</v>
      </c>
      <c r="BV47" s="136">
        <f t="shared" ca="1" si="35"/>
        <v>0</v>
      </c>
      <c r="BW47" s="136">
        <f t="shared" ca="1" si="35"/>
        <v>0</v>
      </c>
      <c r="BX47" s="136">
        <f t="shared" ca="1" si="35"/>
        <v>0</v>
      </c>
      <c r="BY47" s="136">
        <f t="shared" ca="1" si="35"/>
        <v>0</v>
      </c>
      <c r="BZ47" s="136">
        <f t="shared" ca="1" si="35"/>
        <v>0</v>
      </c>
      <c r="CA47" s="136">
        <f t="shared" ca="1" si="35"/>
        <v>0</v>
      </c>
      <c r="CB47" s="136">
        <f t="shared" ca="1" si="35"/>
        <v>0</v>
      </c>
      <c r="CC47" s="136">
        <f t="shared" ca="1" si="35"/>
        <v>0</v>
      </c>
      <c r="CD47" s="136">
        <f t="shared" ca="1" si="35"/>
        <v>0</v>
      </c>
      <c r="CE47" s="136">
        <f t="shared" ca="1" si="35"/>
        <v>0</v>
      </c>
      <c r="CF47" s="136">
        <f t="shared" ca="1" si="35"/>
        <v>0</v>
      </c>
      <c r="CG47" s="136">
        <f t="shared" ca="1" si="35"/>
        <v>0</v>
      </c>
      <c r="CH47" s="136">
        <f t="shared" ca="1" si="35"/>
        <v>0</v>
      </c>
      <c r="CI47" s="136">
        <f t="shared" ca="1" si="35"/>
        <v>0</v>
      </c>
      <c r="CJ47" s="136">
        <f t="shared" ca="1" si="35"/>
        <v>0</v>
      </c>
      <c r="CK47" s="136">
        <f t="shared" ca="1" si="35"/>
        <v>0</v>
      </c>
      <c r="CL47" s="136">
        <f t="shared" ca="1" si="35"/>
        <v>0</v>
      </c>
      <c r="CM47" s="136">
        <f t="shared" ca="1" si="35"/>
        <v>0</v>
      </c>
      <c r="CN47" s="136">
        <f t="shared" ca="1" si="35"/>
        <v>0</v>
      </c>
      <c r="CO47" s="136">
        <f t="shared" ca="1" si="35"/>
        <v>0</v>
      </c>
      <c r="CP47" s="13" t="s">
        <v>15</v>
      </c>
    </row>
    <row r="48" spans="2:94" ht="15" customHeight="1" x14ac:dyDescent="0.2">
      <c r="B48" s="136">
        <f t="shared" ca="1" si="15"/>
        <v>-350052.4231893543</v>
      </c>
      <c r="C48" s="133" t="s">
        <v>209</v>
      </c>
      <c r="D48" s="259" t="s">
        <v>199</v>
      </c>
      <c r="E48" s="269"/>
      <c r="F48" s="133" t="s">
        <v>289</v>
      </c>
      <c r="I48" s="136">
        <f t="shared" ref="I48:AN48" ca="1" si="36">-I47*PermanentLoanPoints</f>
        <v>0</v>
      </c>
      <c r="J48" s="136">
        <f t="shared" ca="1" si="36"/>
        <v>0</v>
      </c>
      <c r="K48" s="136">
        <f t="shared" ca="1" si="36"/>
        <v>0</v>
      </c>
      <c r="L48" s="136">
        <f t="shared" ca="1" si="36"/>
        <v>0</v>
      </c>
      <c r="M48" s="136">
        <f t="shared" ca="1" si="36"/>
        <v>0</v>
      </c>
      <c r="N48" s="136">
        <f t="shared" ca="1" si="36"/>
        <v>0</v>
      </c>
      <c r="O48" s="136">
        <f t="shared" ca="1" si="36"/>
        <v>0</v>
      </c>
      <c r="P48" s="136">
        <f t="shared" ca="1" si="36"/>
        <v>0</v>
      </c>
      <c r="Q48" s="136">
        <f t="shared" ca="1" si="36"/>
        <v>0</v>
      </c>
      <c r="R48" s="136">
        <f t="shared" ca="1" si="36"/>
        <v>0</v>
      </c>
      <c r="S48" s="136">
        <f t="shared" ca="1" si="36"/>
        <v>0</v>
      </c>
      <c r="T48" s="136">
        <f t="shared" ca="1" si="36"/>
        <v>0</v>
      </c>
      <c r="U48" s="136">
        <f t="shared" ca="1" si="36"/>
        <v>0</v>
      </c>
      <c r="V48" s="136">
        <f t="shared" ca="1" si="36"/>
        <v>0</v>
      </c>
      <c r="W48" s="136">
        <f t="shared" ca="1" si="36"/>
        <v>0</v>
      </c>
      <c r="X48" s="136">
        <f t="shared" ca="1" si="36"/>
        <v>0</v>
      </c>
      <c r="Y48" s="136">
        <f t="shared" ca="1" si="36"/>
        <v>0</v>
      </c>
      <c r="Z48" s="136">
        <f t="shared" ca="1" si="36"/>
        <v>0</v>
      </c>
      <c r="AA48" s="136">
        <f t="shared" ca="1" si="36"/>
        <v>0</v>
      </c>
      <c r="AB48" s="136">
        <f t="shared" ca="1" si="36"/>
        <v>0</v>
      </c>
      <c r="AC48" s="136">
        <f t="shared" ca="1" si="36"/>
        <v>0</v>
      </c>
      <c r="AD48" s="136">
        <f t="shared" ca="1" si="36"/>
        <v>0</v>
      </c>
      <c r="AE48" s="136">
        <f t="shared" ca="1" si="36"/>
        <v>0</v>
      </c>
      <c r="AF48" s="136">
        <f t="shared" ca="1" si="36"/>
        <v>0</v>
      </c>
      <c r="AG48" s="136">
        <f t="shared" ca="1" si="36"/>
        <v>0</v>
      </c>
      <c r="AH48" s="136">
        <f t="shared" ca="1" si="36"/>
        <v>0</v>
      </c>
      <c r="AI48" s="136">
        <f t="shared" ca="1" si="36"/>
        <v>0</v>
      </c>
      <c r="AJ48" s="136">
        <f t="shared" ca="1" si="36"/>
        <v>0</v>
      </c>
      <c r="AK48" s="136">
        <f t="shared" ca="1" si="36"/>
        <v>0</v>
      </c>
      <c r="AL48" s="136">
        <f t="shared" ca="1" si="36"/>
        <v>0</v>
      </c>
      <c r="AM48" s="136">
        <f t="shared" ca="1" si="36"/>
        <v>0</v>
      </c>
      <c r="AN48" s="136">
        <f t="shared" ca="1" si="36"/>
        <v>0</v>
      </c>
      <c r="AO48" s="136">
        <f t="shared" ref="AO48:BT48" ca="1" si="37">-AO47*PermanentLoanPoints</f>
        <v>0</v>
      </c>
      <c r="AP48" s="136">
        <f t="shared" ca="1" si="37"/>
        <v>0</v>
      </c>
      <c r="AQ48" s="136">
        <f t="shared" ca="1" si="37"/>
        <v>0</v>
      </c>
      <c r="AR48" s="136">
        <f t="shared" ca="1" si="37"/>
        <v>0</v>
      </c>
      <c r="AS48" s="136">
        <f t="shared" ca="1" si="37"/>
        <v>-350052.4231893543</v>
      </c>
      <c r="AT48" s="136">
        <f t="shared" ca="1" si="37"/>
        <v>0</v>
      </c>
      <c r="AU48" s="136">
        <f t="shared" ca="1" si="37"/>
        <v>0</v>
      </c>
      <c r="AV48" s="136">
        <f t="shared" ca="1" si="37"/>
        <v>0</v>
      </c>
      <c r="AW48" s="136">
        <f t="shared" ca="1" si="37"/>
        <v>0</v>
      </c>
      <c r="AX48" s="136">
        <f t="shared" ca="1" si="37"/>
        <v>0</v>
      </c>
      <c r="AY48" s="136">
        <f t="shared" ca="1" si="37"/>
        <v>0</v>
      </c>
      <c r="AZ48" s="136">
        <f t="shared" ca="1" si="37"/>
        <v>0</v>
      </c>
      <c r="BA48" s="136">
        <f t="shared" ca="1" si="37"/>
        <v>0</v>
      </c>
      <c r="BB48" s="136">
        <f t="shared" ca="1" si="37"/>
        <v>0</v>
      </c>
      <c r="BC48" s="136">
        <f t="shared" ca="1" si="37"/>
        <v>0</v>
      </c>
      <c r="BD48" s="136">
        <f t="shared" ca="1" si="37"/>
        <v>0</v>
      </c>
      <c r="BE48" s="136">
        <f t="shared" ca="1" si="37"/>
        <v>0</v>
      </c>
      <c r="BF48" s="136">
        <f t="shared" ca="1" si="37"/>
        <v>0</v>
      </c>
      <c r="BG48" s="136">
        <f t="shared" ca="1" si="37"/>
        <v>0</v>
      </c>
      <c r="BH48" s="136">
        <f t="shared" ca="1" si="37"/>
        <v>0</v>
      </c>
      <c r="BI48" s="136">
        <f t="shared" ca="1" si="37"/>
        <v>0</v>
      </c>
      <c r="BJ48" s="136">
        <f t="shared" ca="1" si="37"/>
        <v>0</v>
      </c>
      <c r="BK48" s="136">
        <f t="shared" ca="1" si="37"/>
        <v>0</v>
      </c>
      <c r="BL48" s="136">
        <f t="shared" ca="1" si="37"/>
        <v>0</v>
      </c>
      <c r="BM48" s="136">
        <f t="shared" ca="1" si="37"/>
        <v>0</v>
      </c>
      <c r="BN48" s="136">
        <f t="shared" ca="1" si="37"/>
        <v>0</v>
      </c>
      <c r="BO48" s="136">
        <f t="shared" ca="1" si="37"/>
        <v>0</v>
      </c>
      <c r="BP48" s="136">
        <f t="shared" ca="1" si="37"/>
        <v>0</v>
      </c>
      <c r="BQ48" s="136">
        <f t="shared" ca="1" si="37"/>
        <v>0</v>
      </c>
      <c r="BR48" s="136">
        <f t="shared" ca="1" si="37"/>
        <v>0</v>
      </c>
      <c r="BS48" s="136">
        <f t="shared" ca="1" si="37"/>
        <v>0</v>
      </c>
      <c r="BT48" s="136">
        <f t="shared" ca="1" si="37"/>
        <v>0</v>
      </c>
      <c r="BU48" s="136">
        <f t="shared" ref="BU48:CO48" ca="1" si="38">-BU47*PermanentLoanPoints</f>
        <v>0</v>
      </c>
      <c r="BV48" s="136">
        <f t="shared" ca="1" si="38"/>
        <v>0</v>
      </c>
      <c r="BW48" s="136">
        <f t="shared" ca="1" si="38"/>
        <v>0</v>
      </c>
      <c r="BX48" s="136">
        <f t="shared" ca="1" si="38"/>
        <v>0</v>
      </c>
      <c r="BY48" s="136">
        <f t="shared" ca="1" si="38"/>
        <v>0</v>
      </c>
      <c r="BZ48" s="136">
        <f t="shared" ca="1" si="38"/>
        <v>0</v>
      </c>
      <c r="CA48" s="136">
        <f t="shared" ca="1" si="38"/>
        <v>0</v>
      </c>
      <c r="CB48" s="136">
        <f t="shared" ca="1" si="38"/>
        <v>0</v>
      </c>
      <c r="CC48" s="136">
        <f t="shared" ca="1" si="38"/>
        <v>0</v>
      </c>
      <c r="CD48" s="136">
        <f t="shared" ca="1" si="38"/>
        <v>0</v>
      </c>
      <c r="CE48" s="136">
        <f t="shared" ca="1" si="38"/>
        <v>0</v>
      </c>
      <c r="CF48" s="136">
        <f t="shared" ca="1" si="38"/>
        <v>0</v>
      </c>
      <c r="CG48" s="136">
        <f t="shared" ca="1" si="38"/>
        <v>0</v>
      </c>
      <c r="CH48" s="136">
        <f t="shared" ca="1" si="38"/>
        <v>0</v>
      </c>
      <c r="CI48" s="136">
        <f t="shared" ca="1" si="38"/>
        <v>0</v>
      </c>
      <c r="CJ48" s="136">
        <f t="shared" ca="1" si="38"/>
        <v>0</v>
      </c>
      <c r="CK48" s="136">
        <f t="shared" ca="1" si="38"/>
        <v>0</v>
      </c>
      <c r="CL48" s="136">
        <f t="shared" ca="1" si="38"/>
        <v>0</v>
      </c>
      <c r="CM48" s="136">
        <f t="shared" ca="1" si="38"/>
        <v>0</v>
      </c>
      <c r="CN48" s="136">
        <f t="shared" ca="1" si="38"/>
        <v>0</v>
      </c>
      <c r="CO48" s="136">
        <f t="shared" ca="1" si="38"/>
        <v>0</v>
      </c>
      <c r="CP48" s="13" t="s">
        <v>15</v>
      </c>
    </row>
    <row r="49" spans="2:94" ht="15" customHeight="1" x14ac:dyDescent="0.2">
      <c r="D49" s="259"/>
      <c r="E49" s="269"/>
      <c r="F49" s="133" t="s">
        <v>290</v>
      </c>
      <c r="I49" s="136">
        <f t="shared" ref="I49:AN49" ca="1" si="39">-I109</f>
        <v>0</v>
      </c>
      <c r="J49" s="136">
        <f t="shared" ca="1" si="39"/>
        <v>0</v>
      </c>
      <c r="K49" s="136">
        <f t="shared" ca="1" si="39"/>
        <v>0</v>
      </c>
      <c r="L49" s="136">
        <f t="shared" ca="1" si="39"/>
        <v>0</v>
      </c>
      <c r="M49" s="136">
        <f t="shared" ca="1" si="39"/>
        <v>0</v>
      </c>
      <c r="N49" s="136">
        <f t="shared" ca="1" si="39"/>
        <v>0</v>
      </c>
      <c r="O49" s="136">
        <f t="shared" ca="1" si="39"/>
        <v>0</v>
      </c>
      <c r="P49" s="136">
        <f t="shared" ca="1" si="39"/>
        <v>0</v>
      </c>
      <c r="Q49" s="136">
        <f t="shared" ca="1" si="39"/>
        <v>0</v>
      </c>
      <c r="R49" s="136">
        <f t="shared" ca="1" si="39"/>
        <v>0</v>
      </c>
      <c r="S49" s="136">
        <f t="shared" ca="1" si="39"/>
        <v>0</v>
      </c>
      <c r="T49" s="136">
        <f t="shared" ca="1" si="39"/>
        <v>0</v>
      </c>
      <c r="U49" s="136">
        <f t="shared" ca="1" si="39"/>
        <v>0</v>
      </c>
      <c r="V49" s="136">
        <f t="shared" ca="1" si="39"/>
        <v>0</v>
      </c>
      <c r="W49" s="136">
        <f t="shared" ca="1" si="39"/>
        <v>0</v>
      </c>
      <c r="X49" s="136">
        <f t="shared" ca="1" si="39"/>
        <v>0</v>
      </c>
      <c r="Y49" s="136">
        <f t="shared" ca="1" si="39"/>
        <v>0</v>
      </c>
      <c r="Z49" s="136">
        <f t="shared" ca="1" si="39"/>
        <v>0</v>
      </c>
      <c r="AA49" s="136">
        <f t="shared" ca="1" si="39"/>
        <v>0</v>
      </c>
      <c r="AB49" s="136">
        <f t="shared" ca="1" si="39"/>
        <v>0</v>
      </c>
      <c r="AC49" s="136">
        <f t="shared" ca="1" si="39"/>
        <v>0</v>
      </c>
      <c r="AD49" s="136">
        <f t="shared" ca="1" si="39"/>
        <v>0</v>
      </c>
      <c r="AE49" s="136">
        <f t="shared" ca="1" si="39"/>
        <v>0</v>
      </c>
      <c r="AF49" s="136">
        <f t="shared" ca="1" si="39"/>
        <v>0</v>
      </c>
      <c r="AG49" s="136">
        <f t="shared" ca="1" si="39"/>
        <v>0</v>
      </c>
      <c r="AH49" s="136">
        <f t="shared" ca="1" si="39"/>
        <v>0</v>
      </c>
      <c r="AI49" s="136">
        <f t="shared" ca="1" si="39"/>
        <v>0</v>
      </c>
      <c r="AJ49" s="136">
        <f t="shared" ca="1" si="39"/>
        <v>0</v>
      </c>
      <c r="AK49" s="136">
        <f t="shared" ca="1" si="39"/>
        <v>0</v>
      </c>
      <c r="AL49" s="136">
        <f t="shared" ca="1" si="39"/>
        <v>0</v>
      </c>
      <c r="AM49" s="136">
        <f t="shared" ca="1" si="39"/>
        <v>0</v>
      </c>
      <c r="AN49" s="136">
        <f t="shared" ca="1" si="39"/>
        <v>0</v>
      </c>
      <c r="AO49" s="136">
        <f t="shared" ref="AO49:BT49" ca="1" si="40">-AO109</f>
        <v>0</v>
      </c>
      <c r="AP49" s="136">
        <f t="shared" ca="1" si="40"/>
        <v>0</v>
      </c>
      <c r="AQ49" s="136">
        <f t="shared" ca="1" si="40"/>
        <v>0</v>
      </c>
      <c r="AR49" s="136">
        <f t="shared" ca="1" si="40"/>
        <v>0</v>
      </c>
      <c r="AS49" s="136">
        <f t="shared" ca="1" si="40"/>
        <v>0</v>
      </c>
      <c r="AT49" s="136">
        <f t="shared" ca="1" si="40"/>
        <v>-232890.75059139673</v>
      </c>
      <c r="AU49" s="136">
        <f t="shared" ca="1" si="40"/>
        <v>-232890.75059139673</v>
      </c>
      <c r="AV49" s="136">
        <f t="shared" ca="1" si="40"/>
        <v>-232890.75059139673</v>
      </c>
      <c r="AW49" s="136">
        <f t="shared" ca="1" si="40"/>
        <v>-232890.75059139673</v>
      </c>
      <c r="AX49" s="136">
        <f t="shared" ca="1" si="40"/>
        <v>-232890.75059139673</v>
      </c>
      <c r="AY49" s="136">
        <f t="shared" ca="1" si="40"/>
        <v>-232890.75059139673</v>
      </c>
      <c r="AZ49" s="136">
        <f t="shared" ca="1" si="40"/>
        <v>-232890.75059139673</v>
      </c>
      <c r="BA49" s="136">
        <f t="shared" ca="1" si="40"/>
        <v>-232890.75059139673</v>
      </c>
      <c r="BB49" s="136">
        <f t="shared" ca="1" si="40"/>
        <v>-232890.75059139673</v>
      </c>
      <c r="BC49" s="136">
        <f t="shared" ca="1" si="40"/>
        <v>-232890.75059139673</v>
      </c>
      <c r="BD49" s="136">
        <f t="shared" ca="1" si="40"/>
        <v>-232890.75059139673</v>
      </c>
      <c r="BE49" s="136">
        <f t="shared" ca="1" si="40"/>
        <v>-232890.75059139673</v>
      </c>
      <c r="BF49" s="136">
        <f t="shared" ca="1" si="40"/>
        <v>-232890.75059139673</v>
      </c>
      <c r="BG49" s="136">
        <f t="shared" ca="1" si="40"/>
        <v>-232890.75059139673</v>
      </c>
      <c r="BH49" s="136">
        <f t="shared" ca="1" si="40"/>
        <v>-232890.75059139673</v>
      </c>
      <c r="BI49" s="136">
        <f t="shared" ca="1" si="40"/>
        <v>-232890.75059139673</v>
      </c>
      <c r="BJ49" s="136">
        <f t="shared" ca="1" si="40"/>
        <v>-232890.75059139673</v>
      </c>
      <c r="BK49" s="136">
        <f t="shared" ca="1" si="40"/>
        <v>-232890.75059139673</v>
      </c>
      <c r="BL49" s="136">
        <f t="shared" ca="1" si="40"/>
        <v>-232890.75059139673</v>
      </c>
      <c r="BM49" s="136">
        <f t="shared" ca="1" si="40"/>
        <v>-232890.75059139673</v>
      </c>
      <c r="BN49" s="136">
        <f t="shared" ca="1" si="40"/>
        <v>-232890.75059139673</v>
      </c>
      <c r="BO49" s="136">
        <f t="shared" ca="1" si="40"/>
        <v>-232890.75059139673</v>
      </c>
      <c r="BP49" s="136">
        <f t="shared" ca="1" si="40"/>
        <v>-232890.75059139673</v>
      </c>
      <c r="BQ49" s="136">
        <f t="shared" ca="1" si="40"/>
        <v>-232890.75059139673</v>
      </c>
      <c r="BR49" s="136">
        <f t="shared" ca="1" si="40"/>
        <v>-232890.75059139673</v>
      </c>
      <c r="BS49" s="136">
        <f t="shared" ca="1" si="40"/>
        <v>-232890.75059139673</v>
      </c>
      <c r="BT49" s="136">
        <f t="shared" ca="1" si="40"/>
        <v>-232890.75059139673</v>
      </c>
      <c r="BU49" s="136">
        <f t="shared" ref="BU49:CO49" ca="1" si="41">-BU109</f>
        <v>-232890.75059139673</v>
      </c>
      <c r="BV49" s="136">
        <f t="shared" ca="1" si="41"/>
        <v>-232890.75059139673</v>
      </c>
      <c r="BW49" s="136">
        <f t="shared" ca="1" si="41"/>
        <v>-232890.75059139673</v>
      </c>
      <c r="BX49" s="136">
        <f t="shared" ca="1" si="41"/>
        <v>-232890.75059139673</v>
      </c>
      <c r="BY49" s="136">
        <f t="shared" ca="1" si="41"/>
        <v>-232890.75059139673</v>
      </c>
      <c r="BZ49" s="136">
        <f t="shared" ca="1" si="41"/>
        <v>-232890.75059139673</v>
      </c>
      <c r="CA49" s="136">
        <f t="shared" ca="1" si="41"/>
        <v>-232890.75059139673</v>
      </c>
      <c r="CB49" s="136">
        <f t="shared" ca="1" si="41"/>
        <v>-232890.75059139673</v>
      </c>
      <c r="CC49" s="136">
        <f t="shared" ca="1" si="41"/>
        <v>-232890.75059139673</v>
      </c>
      <c r="CD49" s="136">
        <f t="shared" ca="1" si="41"/>
        <v>0</v>
      </c>
      <c r="CE49" s="136">
        <f t="shared" ca="1" si="41"/>
        <v>0</v>
      </c>
      <c r="CF49" s="136">
        <f t="shared" ca="1" si="41"/>
        <v>0</v>
      </c>
      <c r="CG49" s="136">
        <f t="shared" ca="1" si="41"/>
        <v>0</v>
      </c>
      <c r="CH49" s="136">
        <f t="shared" ca="1" si="41"/>
        <v>0</v>
      </c>
      <c r="CI49" s="136">
        <f t="shared" ca="1" si="41"/>
        <v>0</v>
      </c>
      <c r="CJ49" s="136">
        <f t="shared" ca="1" si="41"/>
        <v>0</v>
      </c>
      <c r="CK49" s="136">
        <f t="shared" ca="1" si="41"/>
        <v>0</v>
      </c>
      <c r="CL49" s="136">
        <f t="shared" ca="1" si="41"/>
        <v>0</v>
      </c>
      <c r="CM49" s="136">
        <f t="shared" ca="1" si="41"/>
        <v>0</v>
      </c>
      <c r="CN49" s="136">
        <f t="shared" ca="1" si="41"/>
        <v>0</v>
      </c>
      <c r="CO49" s="136">
        <f t="shared" ca="1" si="41"/>
        <v>0</v>
      </c>
      <c r="CP49" s="13" t="s">
        <v>15</v>
      </c>
    </row>
    <row r="50" spans="2:94" ht="15" customHeight="1" x14ac:dyDescent="0.2">
      <c r="B50" s="136">
        <f t="shared" ref="B50:B55" ca="1" si="42">SUM(I50:CO50)</f>
        <v>-33859507.825226754</v>
      </c>
      <c r="D50" s="259" t="s">
        <v>199</v>
      </c>
      <c r="E50" s="269"/>
      <c r="F50" s="133" t="s">
        <v>291</v>
      </c>
      <c r="I50" s="136">
        <f t="shared" ref="I50:AN50" ca="1" si="43">I103</f>
        <v>0</v>
      </c>
      <c r="J50" s="136">
        <f t="shared" ca="1" si="43"/>
        <v>0</v>
      </c>
      <c r="K50" s="136">
        <f t="shared" ca="1" si="43"/>
        <v>0</v>
      </c>
      <c r="L50" s="136">
        <f t="shared" ca="1" si="43"/>
        <v>0</v>
      </c>
      <c r="M50" s="136">
        <f t="shared" ca="1" si="43"/>
        <v>0</v>
      </c>
      <c r="N50" s="136">
        <f t="shared" ca="1" si="43"/>
        <v>0</v>
      </c>
      <c r="O50" s="136">
        <f t="shared" ca="1" si="43"/>
        <v>0</v>
      </c>
      <c r="P50" s="136">
        <f t="shared" ca="1" si="43"/>
        <v>0</v>
      </c>
      <c r="Q50" s="136">
        <f t="shared" ca="1" si="43"/>
        <v>0</v>
      </c>
      <c r="R50" s="136">
        <f t="shared" ca="1" si="43"/>
        <v>0</v>
      </c>
      <c r="S50" s="136">
        <f t="shared" ca="1" si="43"/>
        <v>0</v>
      </c>
      <c r="T50" s="136">
        <f t="shared" ca="1" si="43"/>
        <v>0</v>
      </c>
      <c r="U50" s="136">
        <f t="shared" ca="1" si="43"/>
        <v>0</v>
      </c>
      <c r="V50" s="136">
        <f t="shared" ca="1" si="43"/>
        <v>0</v>
      </c>
      <c r="W50" s="136">
        <f t="shared" ca="1" si="43"/>
        <v>0</v>
      </c>
      <c r="X50" s="136">
        <f t="shared" ca="1" si="43"/>
        <v>0</v>
      </c>
      <c r="Y50" s="136">
        <f t="shared" ca="1" si="43"/>
        <v>0</v>
      </c>
      <c r="Z50" s="136">
        <f t="shared" ca="1" si="43"/>
        <v>0</v>
      </c>
      <c r="AA50" s="136">
        <f t="shared" ca="1" si="43"/>
        <v>0</v>
      </c>
      <c r="AB50" s="136">
        <f t="shared" ca="1" si="43"/>
        <v>0</v>
      </c>
      <c r="AC50" s="136">
        <f t="shared" ca="1" si="43"/>
        <v>0</v>
      </c>
      <c r="AD50" s="136">
        <f t="shared" ca="1" si="43"/>
        <v>0</v>
      </c>
      <c r="AE50" s="136">
        <f t="shared" ca="1" si="43"/>
        <v>0</v>
      </c>
      <c r="AF50" s="136">
        <f t="shared" ca="1" si="43"/>
        <v>0</v>
      </c>
      <c r="AG50" s="136">
        <f t="shared" ca="1" si="43"/>
        <v>0</v>
      </c>
      <c r="AH50" s="136">
        <f t="shared" ca="1" si="43"/>
        <v>0</v>
      </c>
      <c r="AI50" s="136">
        <f t="shared" ca="1" si="43"/>
        <v>0</v>
      </c>
      <c r="AJ50" s="136">
        <f t="shared" ca="1" si="43"/>
        <v>0</v>
      </c>
      <c r="AK50" s="136">
        <f t="shared" ca="1" si="43"/>
        <v>0</v>
      </c>
      <c r="AL50" s="136">
        <f t="shared" ca="1" si="43"/>
        <v>0</v>
      </c>
      <c r="AM50" s="136">
        <f t="shared" ca="1" si="43"/>
        <v>0</v>
      </c>
      <c r="AN50" s="136">
        <f t="shared" ca="1" si="43"/>
        <v>0</v>
      </c>
      <c r="AO50" s="136">
        <f t="shared" ref="AO50:BT50" ca="1" si="44">AO103</f>
        <v>0</v>
      </c>
      <c r="AP50" s="136">
        <f t="shared" ca="1" si="44"/>
        <v>0</v>
      </c>
      <c r="AQ50" s="136">
        <f t="shared" ca="1" si="44"/>
        <v>0</v>
      </c>
      <c r="AR50" s="136">
        <f t="shared" ca="1" si="44"/>
        <v>0</v>
      </c>
      <c r="AS50" s="136">
        <f t="shared" ca="1" si="44"/>
        <v>0</v>
      </c>
      <c r="AT50" s="136">
        <f t="shared" ca="1" si="44"/>
        <v>0</v>
      </c>
      <c r="AU50" s="136">
        <f t="shared" ca="1" si="44"/>
        <v>0</v>
      </c>
      <c r="AV50" s="136">
        <f t="shared" ca="1" si="44"/>
        <v>0</v>
      </c>
      <c r="AW50" s="136">
        <f t="shared" ca="1" si="44"/>
        <v>0</v>
      </c>
      <c r="AX50" s="136">
        <f t="shared" ca="1" si="44"/>
        <v>0</v>
      </c>
      <c r="AY50" s="136">
        <f t="shared" ca="1" si="44"/>
        <v>0</v>
      </c>
      <c r="AZ50" s="136">
        <f t="shared" ca="1" si="44"/>
        <v>0</v>
      </c>
      <c r="BA50" s="136">
        <f t="shared" ca="1" si="44"/>
        <v>0</v>
      </c>
      <c r="BB50" s="136">
        <f t="shared" ca="1" si="44"/>
        <v>0</v>
      </c>
      <c r="BC50" s="136">
        <f t="shared" ca="1" si="44"/>
        <v>0</v>
      </c>
      <c r="BD50" s="136">
        <f t="shared" ca="1" si="44"/>
        <v>0</v>
      </c>
      <c r="BE50" s="136">
        <f t="shared" ca="1" si="44"/>
        <v>0</v>
      </c>
      <c r="BF50" s="136">
        <f t="shared" ca="1" si="44"/>
        <v>0</v>
      </c>
      <c r="BG50" s="136">
        <f t="shared" ca="1" si="44"/>
        <v>0</v>
      </c>
      <c r="BH50" s="136">
        <f t="shared" ca="1" si="44"/>
        <v>0</v>
      </c>
      <c r="BI50" s="136">
        <f t="shared" ca="1" si="44"/>
        <v>0</v>
      </c>
      <c r="BJ50" s="136">
        <f t="shared" ca="1" si="44"/>
        <v>0</v>
      </c>
      <c r="BK50" s="136">
        <f t="shared" ca="1" si="44"/>
        <v>0</v>
      </c>
      <c r="BL50" s="136">
        <f t="shared" ca="1" si="44"/>
        <v>0</v>
      </c>
      <c r="BM50" s="136">
        <f t="shared" ca="1" si="44"/>
        <v>0</v>
      </c>
      <c r="BN50" s="136">
        <f t="shared" ca="1" si="44"/>
        <v>0</v>
      </c>
      <c r="BO50" s="136">
        <f t="shared" ca="1" si="44"/>
        <v>0</v>
      </c>
      <c r="BP50" s="136">
        <f t="shared" ca="1" si="44"/>
        <v>0</v>
      </c>
      <c r="BQ50" s="136">
        <f t="shared" ca="1" si="44"/>
        <v>0</v>
      </c>
      <c r="BR50" s="136">
        <f t="shared" ca="1" si="44"/>
        <v>0</v>
      </c>
      <c r="BS50" s="136">
        <f t="shared" ca="1" si="44"/>
        <v>0</v>
      </c>
      <c r="BT50" s="136">
        <f t="shared" ca="1" si="44"/>
        <v>0</v>
      </c>
      <c r="BU50" s="136">
        <f t="shared" ref="BU50:CO50" ca="1" si="45">BU103</f>
        <v>0</v>
      </c>
      <c r="BV50" s="136">
        <f t="shared" ca="1" si="45"/>
        <v>0</v>
      </c>
      <c r="BW50" s="136">
        <f t="shared" ca="1" si="45"/>
        <v>0</v>
      </c>
      <c r="BX50" s="136">
        <f t="shared" ca="1" si="45"/>
        <v>0</v>
      </c>
      <c r="BY50" s="136">
        <f t="shared" ca="1" si="45"/>
        <v>0</v>
      </c>
      <c r="BZ50" s="136">
        <f t="shared" ca="1" si="45"/>
        <v>0</v>
      </c>
      <c r="CA50" s="136">
        <f t="shared" ca="1" si="45"/>
        <v>0</v>
      </c>
      <c r="CB50" s="136">
        <f t="shared" ca="1" si="45"/>
        <v>0</v>
      </c>
      <c r="CC50" s="136">
        <f t="shared" ca="1" si="45"/>
        <v>-33859507.825226754</v>
      </c>
      <c r="CD50" s="136">
        <f t="shared" ca="1" si="45"/>
        <v>0</v>
      </c>
      <c r="CE50" s="136">
        <f t="shared" ca="1" si="45"/>
        <v>0</v>
      </c>
      <c r="CF50" s="136">
        <f t="shared" ca="1" si="45"/>
        <v>0</v>
      </c>
      <c r="CG50" s="136">
        <f t="shared" ca="1" si="45"/>
        <v>0</v>
      </c>
      <c r="CH50" s="136">
        <f t="shared" ca="1" si="45"/>
        <v>0</v>
      </c>
      <c r="CI50" s="136">
        <f t="shared" ca="1" si="45"/>
        <v>0</v>
      </c>
      <c r="CJ50" s="136">
        <f t="shared" ca="1" si="45"/>
        <v>0</v>
      </c>
      <c r="CK50" s="136">
        <f t="shared" ca="1" si="45"/>
        <v>0</v>
      </c>
      <c r="CL50" s="136">
        <f t="shared" ca="1" si="45"/>
        <v>0</v>
      </c>
      <c r="CM50" s="136">
        <f t="shared" ca="1" si="45"/>
        <v>0</v>
      </c>
      <c r="CN50" s="136">
        <f t="shared" ca="1" si="45"/>
        <v>0</v>
      </c>
      <c r="CO50" s="136">
        <f t="shared" ca="1" si="45"/>
        <v>0</v>
      </c>
      <c r="CP50" s="13" t="s">
        <v>15</v>
      </c>
    </row>
    <row r="51" spans="2:94" ht="15" customHeight="1" x14ac:dyDescent="0.2">
      <c r="B51" s="136">
        <f t="shared" ca="1" si="42"/>
        <v>0</v>
      </c>
      <c r="C51" s="133" t="s">
        <v>206</v>
      </c>
      <c r="D51" s="259" t="s">
        <v>199</v>
      </c>
      <c r="E51" s="269"/>
      <c r="F51" s="133" t="s">
        <v>292</v>
      </c>
      <c r="I51" s="136">
        <f t="shared" ref="I51:AN51" ca="1" si="46">I50*PermanentLoanPPMTFee*PermanentLoanPPMTDummy</f>
        <v>0</v>
      </c>
      <c r="J51" s="136">
        <f t="shared" ca="1" si="46"/>
        <v>0</v>
      </c>
      <c r="K51" s="136">
        <f t="shared" ca="1" si="46"/>
        <v>0</v>
      </c>
      <c r="L51" s="136">
        <f t="shared" ca="1" si="46"/>
        <v>0</v>
      </c>
      <c r="M51" s="136">
        <f t="shared" ca="1" si="46"/>
        <v>0</v>
      </c>
      <c r="N51" s="136">
        <f t="shared" ca="1" si="46"/>
        <v>0</v>
      </c>
      <c r="O51" s="136">
        <f t="shared" ca="1" si="46"/>
        <v>0</v>
      </c>
      <c r="P51" s="136">
        <f t="shared" ca="1" si="46"/>
        <v>0</v>
      </c>
      <c r="Q51" s="136">
        <f t="shared" ca="1" si="46"/>
        <v>0</v>
      </c>
      <c r="R51" s="136">
        <f t="shared" ca="1" si="46"/>
        <v>0</v>
      </c>
      <c r="S51" s="136">
        <f t="shared" ca="1" si="46"/>
        <v>0</v>
      </c>
      <c r="T51" s="136">
        <f t="shared" ca="1" si="46"/>
        <v>0</v>
      </c>
      <c r="U51" s="136">
        <f t="shared" ca="1" si="46"/>
        <v>0</v>
      </c>
      <c r="V51" s="136">
        <f t="shared" ca="1" si="46"/>
        <v>0</v>
      </c>
      <c r="W51" s="136">
        <f t="shared" ca="1" si="46"/>
        <v>0</v>
      </c>
      <c r="X51" s="136">
        <f t="shared" ca="1" si="46"/>
        <v>0</v>
      </c>
      <c r="Y51" s="136">
        <f t="shared" ca="1" si="46"/>
        <v>0</v>
      </c>
      <c r="Z51" s="136">
        <f t="shared" ca="1" si="46"/>
        <v>0</v>
      </c>
      <c r="AA51" s="136">
        <f t="shared" ca="1" si="46"/>
        <v>0</v>
      </c>
      <c r="AB51" s="136">
        <f t="shared" ca="1" si="46"/>
        <v>0</v>
      </c>
      <c r="AC51" s="136">
        <f t="shared" ca="1" si="46"/>
        <v>0</v>
      </c>
      <c r="AD51" s="136">
        <f t="shared" ca="1" si="46"/>
        <v>0</v>
      </c>
      <c r="AE51" s="136">
        <f t="shared" ca="1" si="46"/>
        <v>0</v>
      </c>
      <c r="AF51" s="136">
        <f t="shared" ca="1" si="46"/>
        <v>0</v>
      </c>
      <c r="AG51" s="136">
        <f t="shared" ca="1" si="46"/>
        <v>0</v>
      </c>
      <c r="AH51" s="136">
        <f t="shared" ca="1" si="46"/>
        <v>0</v>
      </c>
      <c r="AI51" s="136">
        <f t="shared" ca="1" si="46"/>
        <v>0</v>
      </c>
      <c r="AJ51" s="136">
        <f t="shared" ca="1" si="46"/>
        <v>0</v>
      </c>
      <c r="AK51" s="136">
        <f t="shared" ca="1" si="46"/>
        <v>0</v>
      </c>
      <c r="AL51" s="136">
        <f t="shared" ca="1" si="46"/>
        <v>0</v>
      </c>
      <c r="AM51" s="136">
        <f t="shared" ca="1" si="46"/>
        <v>0</v>
      </c>
      <c r="AN51" s="136">
        <f t="shared" ca="1" si="46"/>
        <v>0</v>
      </c>
      <c r="AO51" s="136">
        <f t="shared" ref="AO51:BT51" ca="1" si="47">AO50*PermanentLoanPPMTFee*PermanentLoanPPMTDummy</f>
        <v>0</v>
      </c>
      <c r="AP51" s="136">
        <f t="shared" ca="1" si="47"/>
        <v>0</v>
      </c>
      <c r="AQ51" s="136">
        <f t="shared" ca="1" si="47"/>
        <v>0</v>
      </c>
      <c r="AR51" s="136">
        <f t="shared" ca="1" si="47"/>
        <v>0</v>
      </c>
      <c r="AS51" s="136">
        <f t="shared" ca="1" si="47"/>
        <v>0</v>
      </c>
      <c r="AT51" s="136">
        <f t="shared" ca="1" si="47"/>
        <v>0</v>
      </c>
      <c r="AU51" s="136">
        <f t="shared" ca="1" si="47"/>
        <v>0</v>
      </c>
      <c r="AV51" s="136">
        <f t="shared" ca="1" si="47"/>
        <v>0</v>
      </c>
      <c r="AW51" s="136">
        <f t="shared" ca="1" si="47"/>
        <v>0</v>
      </c>
      <c r="AX51" s="136">
        <f t="shared" ca="1" si="47"/>
        <v>0</v>
      </c>
      <c r="AY51" s="136">
        <f t="shared" ca="1" si="47"/>
        <v>0</v>
      </c>
      <c r="AZ51" s="136">
        <f t="shared" ca="1" si="47"/>
        <v>0</v>
      </c>
      <c r="BA51" s="136">
        <f t="shared" ca="1" si="47"/>
        <v>0</v>
      </c>
      <c r="BB51" s="136">
        <f t="shared" ca="1" si="47"/>
        <v>0</v>
      </c>
      <c r="BC51" s="136">
        <f t="shared" ca="1" si="47"/>
        <v>0</v>
      </c>
      <c r="BD51" s="136">
        <f t="shared" ca="1" si="47"/>
        <v>0</v>
      </c>
      <c r="BE51" s="136">
        <f t="shared" ca="1" si="47"/>
        <v>0</v>
      </c>
      <c r="BF51" s="136">
        <f t="shared" ca="1" si="47"/>
        <v>0</v>
      </c>
      <c r="BG51" s="136">
        <f t="shared" ca="1" si="47"/>
        <v>0</v>
      </c>
      <c r="BH51" s="136">
        <f t="shared" ca="1" si="47"/>
        <v>0</v>
      </c>
      <c r="BI51" s="136">
        <f t="shared" ca="1" si="47"/>
        <v>0</v>
      </c>
      <c r="BJ51" s="136">
        <f t="shared" ca="1" si="47"/>
        <v>0</v>
      </c>
      <c r="BK51" s="136">
        <f t="shared" ca="1" si="47"/>
        <v>0</v>
      </c>
      <c r="BL51" s="136">
        <f t="shared" ca="1" si="47"/>
        <v>0</v>
      </c>
      <c r="BM51" s="136">
        <f t="shared" ca="1" si="47"/>
        <v>0</v>
      </c>
      <c r="BN51" s="136">
        <f t="shared" ca="1" si="47"/>
        <v>0</v>
      </c>
      <c r="BO51" s="136">
        <f t="shared" ca="1" si="47"/>
        <v>0</v>
      </c>
      <c r="BP51" s="136">
        <f t="shared" ca="1" si="47"/>
        <v>0</v>
      </c>
      <c r="BQ51" s="136">
        <f t="shared" ca="1" si="47"/>
        <v>0</v>
      </c>
      <c r="BR51" s="136">
        <f t="shared" ca="1" si="47"/>
        <v>0</v>
      </c>
      <c r="BS51" s="136">
        <f t="shared" ca="1" si="47"/>
        <v>0</v>
      </c>
      <c r="BT51" s="136">
        <f t="shared" ca="1" si="47"/>
        <v>0</v>
      </c>
      <c r="BU51" s="136">
        <f t="shared" ref="BU51:CO51" ca="1" si="48">BU50*PermanentLoanPPMTFee*PermanentLoanPPMTDummy</f>
        <v>0</v>
      </c>
      <c r="BV51" s="136">
        <f t="shared" ca="1" si="48"/>
        <v>0</v>
      </c>
      <c r="BW51" s="136">
        <f t="shared" ca="1" si="48"/>
        <v>0</v>
      </c>
      <c r="BX51" s="136">
        <f t="shared" ca="1" si="48"/>
        <v>0</v>
      </c>
      <c r="BY51" s="136">
        <f t="shared" ca="1" si="48"/>
        <v>0</v>
      </c>
      <c r="BZ51" s="136">
        <f t="shared" ca="1" si="48"/>
        <v>0</v>
      </c>
      <c r="CA51" s="136">
        <f t="shared" ca="1" si="48"/>
        <v>0</v>
      </c>
      <c r="CB51" s="136">
        <f t="shared" ca="1" si="48"/>
        <v>0</v>
      </c>
      <c r="CC51" s="136">
        <f t="shared" ca="1" si="48"/>
        <v>0</v>
      </c>
      <c r="CD51" s="136">
        <f t="shared" ca="1" si="48"/>
        <v>0</v>
      </c>
      <c r="CE51" s="136">
        <f t="shared" ca="1" si="48"/>
        <v>0</v>
      </c>
      <c r="CF51" s="136">
        <f t="shared" ca="1" si="48"/>
        <v>0</v>
      </c>
      <c r="CG51" s="136">
        <f t="shared" ca="1" si="48"/>
        <v>0</v>
      </c>
      <c r="CH51" s="136">
        <f t="shared" ca="1" si="48"/>
        <v>0</v>
      </c>
      <c r="CI51" s="136">
        <f t="shared" ca="1" si="48"/>
        <v>0</v>
      </c>
      <c r="CJ51" s="136">
        <f t="shared" ca="1" si="48"/>
        <v>0</v>
      </c>
      <c r="CK51" s="136">
        <f t="shared" ca="1" si="48"/>
        <v>0</v>
      </c>
      <c r="CL51" s="136">
        <f t="shared" ca="1" si="48"/>
        <v>0</v>
      </c>
      <c r="CM51" s="136">
        <f t="shared" ca="1" si="48"/>
        <v>0</v>
      </c>
      <c r="CN51" s="136">
        <f t="shared" ca="1" si="48"/>
        <v>0</v>
      </c>
      <c r="CO51" s="136">
        <f t="shared" ca="1" si="48"/>
        <v>0</v>
      </c>
      <c r="CP51" s="13" t="s">
        <v>15</v>
      </c>
    </row>
    <row r="52" spans="2:94" ht="15" customHeight="1" x14ac:dyDescent="0.2">
      <c r="B52" s="136">
        <f t="shared" ca="1" si="42"/>
        <v>47973474.418063693</v>
      </c>
      <c r="D52" s="259" t="s">
        <v>194</v>
      </c>
      <c r="E52" s="269"/>
      <c r="F52" s="133" t="s">
        <v>180</v>
      </c>
      <c r="I52" s="136">
        <f t="shared" ref="I52:AN52" ca="1" si="49">I36/TerminalCapRateHotel*(Today=ExitDate)</f>
        <v>0</v>
      </c>
      <c r="J52" s="136">
        <f t="shared" ca="1" si="49"/>
        <v>0</v>
      </c>
      <c r="K52" s="136">
        <f t="shared" ca="1" si="49"/>
        <v>0</v>
      </c>
      <c r="L52" s="136">
        <f t="shared" ca="1" si="49"/>
        <v>0</v>
      </c>
      <c r="M52" s="136">
        <f t="shared" ca="1" si="49"/>
        <v>0</v>
      </c>
      <c r="N52" s="136">
        <f t="shared" ca="1" si="49"/>
        <v>0</v>
      </c>
      <c r="O52" s="136">
        <f t="shared" ca="1" si="49"/>
        <v>0</v>
      </c>
      <c r="P52" s="136">
        <f t="shared" ca="1" si="49"/>
        <v>0</v>
      </c>
      <c r="Q52" s="136">
        <f t="shared" ca="1" si="49"/>
        <v>0</v>
      </c>
      <c r="R52" s="136">
        <f t="shared" ca="1" si="49"/>
        <v>0</v>
      </c>
      <c r="S52" s="136">
        <f t="shared" ca="1" si="49"/>
        <v>0</v>
      </c>
      <c r="T52" s="136">
        <f t="shared" ca="1" si="49"/>
        <v>0</v>
      </c>
      <c r="U52" s="136">
        <f t="shared" ca="1" si="49"/>
        <v>0</v>
      </c>
      <c r="V52" s="136">
        <f t="shared" ca="1" si="49"/>
        <v>0</v>
      </c>
      <c r="W52" s="136">
        <f t="shared" ca="1" si="49"/>
        <v>0</v>
      </c>
      <c r="X52" s="136">
        <f t="shared" ca="1" si="49"/>
        <v>0</v>
      </c>
      <c r="Y52" s="136">
        <f t="shared" ca="1" si="49"/>
        <v>0</v>
      </c>
      <c r="Z52" s="136">
        <f t="shared" ca="1" si="49"/>
        <v>0</v>
      </c>
      <c r="AA52" s="136">
        <f t="shared" ca="1" si="49"/>
        <v>0</v>
      </c>
      <c r="AB52" s="136">
        <f t="shared" ca="1" si="49"/>
        <v>0</v>
      </c>
      <c r="AC52" s="136">
        <f t="shared" ca="1" si="49"/>
        <v>0</v>
      </c>
      <c r="AD52" s="136">
        <f t="shared" ca="1" si="49"/>
        <v>0</v>
      </c>
      <c r="AE52" s="136">
        <f t="shared" ca="1" si="49"/>
        <v>0</v>
      </c>
      <c r="AF52" s="136">
        <f t="shared" ca="1" si="49"/>
        <v>0</v>
      </c>
      <c r="AG52" s="136">
        <f t="shared" ca="1" si="49"/>
        <v>0</v>
      </c>
      <c r="AH52" s="136">
        <f t="shared" ca="1" si="49"/>
        <v>0</v>
      </c>
      <c r="AI52" s="136">
        <f t="shared" ca="1" si="49"/>
        <v>0</v>
      </c>
      <c r="AJ52" s="136">
        <f t="shared" ca="1" si="49"/>
        <v>0</v>
      </c>
      <c r="AK52" s="136">
        <f t="shared" ca="1" si="49"/>
        <v>0</v>
      </c>
      <c r="AL52" s="136">
        <f t="shared" ca="1" si="49"/>
        <v>0</v>
      </c>
      <c r="AM52" s="136">
        <f t="shared" ca="1" si="49"/>
        <v>0</v>
      </c>
      <c r="AN52" s="136">
        <f t="shared" ca="1" si="49"/>
        <v>0</v>
      </c>
      <c r="AO52" s="136">
        <f t="shared" ref="AO52:BT52" ca="1" si="50">AO36/TerminalCapRateHotel*(Today=ExitDate)</f>
        <v>0</v>
      </c>
      <c r="AP52" s="136">
        <f t="shared" ca="1" si="50"/>
        <v>0</v>
      </c>
      <c r="AQ52" s="136">
        <f t="shared" ca="1" si="50"/>
        <v>0</v>
      </c>
      <c r="AR52" s="136">
        <f t="shared" ca="1" si="50"/>
        <v>0</v>
      </c>
      <c r="AS52" s="136">
        <f t="shared" ca="1" si="50"/>
        <v>0</v>
      </c>
      <c r="AT52" s="136">
        <f t="shared" ca="1" si="50"/>
        <v>0</v>
      </c>
      <c r="AU52" s="136">
        <f t="shared" ca="1" si="50"/>
        <v>0</v>
      </c>
      <c r="AV52" s="136">
        <f t="shared" ca="1" si="50"/>
        <v>0</v>
      </c>
      <c r="AW52" s="136">
        <f t="shared" ca="1" si="50"/>
        <v>0</v>
      </c>
      <c r="AX52" s="136">
        <f t="shared" ca="1" si="50"/>
        <v>0</v>
      </c>
      <c r="AY52" s="136">
        <f t="shared" ca="1" si="50"/>
        <v>0</v>
      </c>
      <c r="AZ52" s="136">
        <f t="shared" ca="1" si="50"/>
        <v>0</v>
      </c>
      <c r="BA52" s="136">
        <f t="shared" ca="1" si="50"/>
        <v>0</v>
      </c>
      <c r="BB52" s="136">
        <f t="shared" ca="1" si="50"/>
        <v>0</v>
      </c>
      <c r="BC52" s="136">
        <f t="shared" ca="1" si="50"/>
        <v>0</v>
      </c>
      <c r="BD52" s="136">
        <f t="shared" ca="1" si="50"/>
        <v>0</v>
      </c>
      <c r="BE52" s="136">
        <f t="shared" ca="1" si="50"/>
        <v>0</v>
      </c>
      <c r="BF52" s="136">
        <f t="shared" ca="1" si="50"/>
        <v>0</v>
      </c>
      <c r="BG52" s="136">
        <f t="shared" ca="1" si="50"/>
        <v>0</v>
      </c>
      <c r="BH52" s="136">
        <f t="shared" ca="1" si="50"/>
        <v>0</v>
      </c>
      <c r="BI52" s="136">
        <f t="shared" ca="1" si="50"/>
        <v>0</v>
      </c>
      <c r="BJ52" s="136">
        <f t="shared" ca="1" si="50"/>
        <v>0</v>
      </c>
      <c r="BK52" s="136">
        <f t="shared" ca="1" si="50"/>
        <v>0</v>
      </c>
      <c r="BL52" s="136">
        <f t="shared" ca="1" si="50"/>
        <v>0</v>
      </c>
      <c r="BM52" s="136">
        <f t="shared" ca="1" si="50"/>
        <v>0</v>
      </c>
      <c r="BN52" s="136">
        <f t="shared" ca="1" si="50"/>
        <v>0</v>
      </c>
      <c r="BO52" s="136">
        <f t="shared" ca="1" si="50"/>
        <v>0</v>
      </c>
      <c r="BP52" s="136">
        <f t="shared" ca="1" si="50"/>
        <v>0</v>
      </c>
      <c r="BQ52" s="136">
        <f t="shared" ca="1" si="50"/>
        <v>0</v>
      </c>
      <c r="BR52" s="136">
        <f t="shared" ca="1" si="50"/>
        <v>0</v>
      </c>
      <c r="BS52" s="136">
        <f t="shared" ca="1" si="50"/>
        <v>0</v>
      </c>
      <c r="BT52" s="136">
        <f t="shared" ca="1" si="50"/>
        <v>0</v>
      </c>
      <c r="BU52" s="136">
        <f t="shared" ref="BU52:CO52" ca="1" si="51">BU36/TerminalCapRateHotel*(Today=ExitDate)</f>
        <v>0</v>
      </c>
      <c r="BV52" s="136">
        <f t="shared" ca="1" si="51"/>
        <v>0</v>
      </c>
      <c r="BW52" s="136">
        <f t="shared" ca="1" si="51"/>
        <v>0</v>
      </c>
      <c r="BX52" s="136">
        <f t="shared" ca="1" si="51"/>
        <v>0</v>
      </c>
      <c r="BY52" s="136">
        <f t="shared" ca="1" si="51"/>
        <v>0</v>
      </c>
      <c r="BZ52" s="136">
        <f t="shared" ca="1" si="51"/>
        <v>0</v>
      </c>
      <c r="CA52" s="136">
        <f t="shared" ca="1" si="51"/>
        <v>0</v>
      </c>
      <c r="CB52" s="136">
        <f t="shared" ca="1" si="51"/>
        <v>0</v>
      </c>
      <c r="CC52" s="136">
        <f t="shared" ca="1" si="51"/>
        <v>47973474.418063693</v>
      </c>
      <c r="CD52" s="136">
        <f t="shared" ca="1" si="51"/>
        <v>0</v>
      </c>
      <c r="CE52" s="136">
        <f t="shared" ca="1" si="51"/>
        <v>0</v>
      </c>
      <c r="CF52" s="136">
        <f t="shared" ca="1" si="51"/>
        <v>0</v>
      </c>
      <c r="CG52" s="136">
        <f t="shared" ca="1" si="51"/>
        <v>0</v>
      </c>
      <c r="CH52" s="136">
        <f t="shared" ca="1" si="51"/>
        <v>0</v>
      </c>
      <c r="CI52" s="136">
        <f t="shared" ca="1" si="51"/>
        <v>0</v>
      </c>
      <c r="CJ52" s="136">
        <f t="shared" ca="1" si="51"/>
        <v>0</v>
      </c>
      <c r="CK52" s="136">
        <f t="shared" ca="1" si="51"/>
        <v>0</v>
      </c>
      <c r="CL52" s="136">
        <f t="shared" ca="1" si="51"/>
        <v>0</v>
      </c>
      <c r="CM52" s="136">
        <f t="shared" ca="1" si="51"/>
        <v>0</v>
      </c>
      <c r="CN52" s="136">
        <f t="shared" ca="1" si="51"/>
        <v>0</v>
      </c>
      <c r="CO52" s="136">
        <f t="shared" ca="1" si="51"/>
        <v>0</v>
      </c>
      <c r="CP52" s="13" t="s">
        <v>15</v>
      </c>
    </row>
    <row r="53" spans="2:94" ht="15" customHeight="1" x14ac:dyDescent="0.2">
      <c r="B53" s="136">
        <f t="shared" ca="1" si="42"/>
        <v>-1439204.2325419108</v>
      </c>
      <c r="D53" s="259" t="s">
        <v>199</v>
      </c>
      <c r="E53" s="269"/>
      <c r="F53" s="133" t="s">
        <v>178</v>
      </c>
      <c r="I53" s="136">
        <f t="shared" ref="I53:AN53" ca="1" si="52">-SellingCost*I52</f>
        <v>0</v>
      </c>
      <c r="J53" s="136">
        <f t="shared" ca="1" si="52"/>
        <v>0</v>
      </c>
      <c r="K53" s="136">
        <f t="shared" ca="1" si="52"/>
        <v>0</v>
      </c>
      <c r="L53" s="136">
        <f t="shared" ca="1" si="52"/>
        <v>0</v>
      </c>
      <c r="M53" s="136">
        <f t="shared" ca="1" si="52"/>
        <v>0</v>
      </c>
      <c r="N53" s="136">
        <f t="shared" ca="1" si="52"/>
        <v>0</v>
      </c>
      <c r="O53" s="136">
        <f t="shared" ca="1" si="52"/>
        <v>0</v>
      </c>
      <c r="P53" s="136">
        <f t="shared" ca="1" si="52"/>
        <v>0</v>
      </c>
      <c r="Q53" s="136">
        <f t="shared" ca="1" si="52"/>
        <v>0</v>
      </c>
      <c r="R53" s="136">
        <f t="shared" ca="1" si="52"/>
        <v>0</v>
      </c>
      <c r="S53" s="136">
        <f t="shared" ca="1" si="52"/>
        <v>0</v>
      </c>
      <c r="T53" s="136">
        <f t="shared" ca="1" si="52"/>
        <v>0</v>
      </c>
      <c r="U53" s="136">
        <f t="shared" ca="1" si="52"/>
        <v>0</v>
      </c>
      <c r="V53" s="136">
        <f t="shared" ca="1" si="52"/>
        <v>0</v>
      </c>
      <c r="W53" s="136">
        <f t="shared" ca="1" si="52"/>
        <v>0</v>
      </c>
      <c r="X53" s="136">
        <f t="shared" ca="1" si="52"/>
        <v>0</v>
      </c>
      <c r="Y53" s="136">
        <f t="shared" ca="1" si="52"/>
        <v>0</v>
      </c>
      <c r="Z53" s="136">
        <f t="shared" ca="1" si="52"/>
        <v>0</v>
      </c>
      <c r="AA53" s="136">
        <f t="shared" ca="1" si="52"/>
        <v>0</v>
      </c>
      <c r="AB53" s="136">
        <f t="shared" ca="1" si="52"/>
        <v>0</v>
      </c>
      <c r="AC53" s="136">
        <f t="shared" ca="1" si="52"/>
        <v>0</v>
      </c>
      <c r="AD53" s="136">
        <f t="shared" ca="1" si="52"/>
        <v>0</v>
      </c>
      <c r="AE53" s="136">
        <f t="shared" ca="1" si="52"/>
        <v>0</v>
      </c>
      <c r="AF53" s="136">
        <f t="shared" ca="1" si="52"/>
        <v>0</v>
      </c>
      <c r="AG53" s="136">
        <f t="shared" ca="1" si="52"/>
        <v>0</v>
      </c>
      <c r="AH53" s="136">
        <f t="shared" ca="1" si="52"/>
        <v>0</v>
      </c>
      <c r="AI53" s="136">
        <f t="shared" ca="1" si="52"/>
        <v>0</v>
      </c>
      <c r="AJ53" s="136">
        <f t="shared" ca="1" si="52"/>
        <v>0</v>
      </c>
      <c r="AK53" s="136">
        <f t="shared" ca="1" si="52"/>
        <v>0</v>
      </c>
      <c r="AL53" s="136">
        <f t="shared" ca="1" si="52"/>
        <v>0</v>
      </c>
      <c r="AM53" s="136">
        <f t="shared" ca="1" si="52"/>
        <v>0</v>
      </c>
      <c r="AN53" s="136">
        <f t="shared" ca="1" si="52"/>
        <v>0</v>
      </c>
      <c r="AO53" s="136">
        <f t="shared" ref="AO53:BT53" ca="1" si="53">-SellingCost*AO52</f>
        <v>0</v>
      </c>
      <c r="AP53" s="136">
        <f t="shared" ca="1" si="53"/>
        <v>0</v>
      </c>
      <c r="AQ53" s="136">
        <f t="shared" ca="1" si="53"/>
        <v>0</v>
      </c>
      <c r="AR53" s="136">
        <f t="shared" ca="1" si="53"/>
        <v>0</v>
      </c>
      <c r="AS53" s="136">
        <f t="shared" ca="1" si="53"/>
        <v>0</v>
      </c>
      <c r="AT53" s="136">
        <f t="shared" ca="1" si="53"/>
        <v>0</v>
      </c>
      <c r="AU53" s="136">
        <f t="shared" ca="1" si="53"/>
        <v>0</v>
      </c>
      <c r="AV53" s="136">
        <f t="shared" ca="1" si="53"/>
        <v>0</v>
      </c>
      <c r="AW53" s="136">
        <f t="shared" ca="1" si="53"/>
        <v>0</v>
      </c>
      <c r="AX53" s="136">
        <f t="shared" ca="1" si="53"/>
        <v>0</v>
      </c>
      <c r="AY53" s="136">
        <f t="shared" ca="1" si="53"/>
        <v>0</v>
      </c>
      <c r="AZ53" s="136">
        <f t="shared" ca="1" si="53"/>
        <v>0</v>
      </c>
      <c r="BA53" s="136">
        <f t="shared" ca="1" si="53"/>
        <v>0</v>
      </c>
      <c r="BB53" s="136">
        <f t="shared" ca="1" si="53"/>
        <v>0</v>
      </c>
      <c r="BC53" s="136">
        <f t="shared" ca="1" si="53"/>
        <v>0</v>
      </c>
      <c r="BD53" s="136">
        <f t="shared" ca="1" si="53"/>
        <v>0</v>
      </c>
      <c r="BE53" s="136">
        <f t="shared" ca="1" si="53"/>
        <v>0</v>
      </c>
      <c r="BF53" s="136">
        <f t="shared" ca="1" si="53"/>
        <v>0</v>
      </c>
      <c r="BG53" s="136">
        <f t="shared" ca="1" si="53"/>
        <v>0</v>
      </c>
      <c r="BH53" s="136">
        <f t="shared" ca="1" si="53"/>
        <v>0</v>
      </c>
      <c r="BI53" s="136">
        <f t="shared" ca="1" si="53"/>
        <v>0</v>
      </c>
      <c r="BJ53" s="136">
        <f t="shared" ca="1" si="53"/>
        <v>0</v>
      </c>
      <c r="BK53" s="136">
        <f t="shared" ca="1" si="53"/>
        <v>0</v>
      </c>
      <c r="BL53" s="136">
        <f t="shared" ca="1" si="53"/>
        <v>0</v>
      </c>
      <c r="BM53" s="136">
        <f t="shared" ca="1" si="53"/>
        <v>0</v>
      </c>
      <c r="BN53" s="136">
        <f t="shared" ca="1" si="53"/>
        <v>0</v>
      </c>
      <c r="BO53" s="136">
        <f t="shared" ca="1" si="53"/>
        <v>0</v>
      </c>
      <c r="BP53" s="136">
        <f t="shared" ca="1" si="53"/>
        <v>0</v>
      </c>
      <c r="BQ53" s="136">
        <f t="shared" ca="1" si="53"/>
        <v>0</v>
      </c>
      <c r="BR53" s="136">
        <f t="shared" ca="1" si="53"/>
        <v>0</v>
      </c>
      <c r="BS53" s="136">
        <f t="shared" ca="1" si="53"/>
        <v>0</v>
      </c>
      <c r="BT53" s="136">
        <f t="shared" ca="1" si="53"/>
        <v>0</v>
      </c>
      <c r="BU53" s="136">
        <f t="shared" ref="BU53:CO53" ca="1" si="54">-SellingCost*BU52</f>
        <v>0</v>
      </c>
      <c r="BV53" s="136">
        <f t="shared" ca="1" si="54"/>
        <v>0</v>
      </c>
      <c r="BW53" s="136">
        <f t="shared" ca="1" si="54"/>
        <v>0</v>
      </c>
      <c r="BX53" s="136">
        <f t="shared" ca="1" si="54"/>
        <v>0</v>
      </c>
      <c r="BY53" s="136">
        <f t="shared" ca="1" si="54"/>
        <v>0</v>
      </c>
      <c r="BZ53" s="136">
        <f t="shared" ca="1" si="54"/>
        <v>0</v>
      </c>
      <c r="CA53" s="136">
        <f t="shared" ca="1" si="54"/>
        <v>0</v>
      </c>
      <c r="CB53" s="136">
        <f t="shared" ca="1" si="54"/>
        <v>0</v>
      </c>
      <c r="CC53" s="136">
        <f t="shared" ca="1" si="54"/>
        <v>-1439204.2325419108</v>
      </c>
      <c r="CD53" s="136">
        <f t="shared" ca="1" si="54"/>
        <v>0</v>
      </c>
      <c r="CE53" s="136">
        <f t="shared" ca="1" si="54"/>
        <v>0</v>
      </c>
      <c r="CF53" s="136">
        <f t="shared" ca="1" si="54"/>
        <v>0</v>
      </c>
      <c r="CG53" s="136">
        <f t="shared" ca="1" si="54"/>
        <v>0</v>
      </c>
      <c r="CH53" s="136">
        <f t="shared" ca="1" si="54"/>
        <v>0</v>
      </c>
      <c r="CI53" s="136">
        <f t="shared" ca="1" si="54"/>
        <v>0</v>
      </c>
      <c r="CJ53" s="136">
        <f t="shared" ca="1" si="54"/>
        <v>0</v>
      </c>
      <c r="CK53" s="136">
        <f t="shared" ca="1" si="54"/>
        <v>0</v>
      </c>
      <c r="CL53" s="136">
        <f t="shared" ca="1" si="54"/>
        <v>0</v>
      </c>
      <c r="CM53" s="136">
        <f t="shared" ca="1" si="54"/>
        <v>0</v>
      </c>
      <c r="CN53" s="136">
        <f t="shared" ca="1" si="54"/>
        <v>0</v>
      </c>
      <c r="CO53" s="136">
        <f t="shared" ca="1" si="54"/>
        <v>0</v>
      </c>
      <c r="CP53" s="13" t="s">
        <v>15</v>
      </c>
    </row>
    <row r="54" spans="2:94" ht="15" customHeight="1" x14ac:dyDescent="0.2">
      <c r="B54" s="136">
        <f t="shared" ca="1" si="42"/>
        <v>-5788496.4232246187</v>
      </c>
      <c r="D54" s="259" t="s">
        <v>199</v>
      </c>
      <c r="E54" s="269"/>
      <c r="F54" s="133" t="s">
        <v>210</v>
      </c>
      <c r="I54" s="136">
        <f t="shared" ref="I54:AN54" ca="1" si="55">I83</f>
        <v>0</v>
      </c>
      <c r="J54" s="136">
        <f t="shared" ca="1" si="55"/>
        <v>0</v>
      </c>
      <c r="K54" s="136">
        <f t="shared" ca="1" si="55"/>
        <v>0</v>
      </c>
      <c r="L54" s="136">
        <f t="shared" ca="1" si="55"/>
        <v>0</v>
      </c>
      <c r="M54" s="136">
        <f t="shared" ca="1" si="55"/>
        <v>0</v>
      </c>
      <c r="N54" s="136">
        <f t="shared" ca="1" si="55"/>
        <v>0</v>
      </c>
      <c r="O54" s="136">
        <f t="shared" ca="1" si="55"/>
        <v>0</v>
      </c>
      <c r="P54" s="136">
        <f t="shared" ca="1" si="55"/>
        <v>0</v>
      </c>
      <c r="Q54" s="136">
        <f t="shared" ca="1" si="55"/>
        <v>0</v>
      </c>
      <c r="R54" s="136">
        <f t="shared" ca="1" si="55"/>
        <v>0</v>
      </c>
      <c r="S54" s="136">
        <f t="shared" ca="1" si="55"/>
        <v>0</v>
      </c>
      <c r="T54" s="136">
        <f t="shared" ca="1" si="55"/>
        <v>0</v>
      </c>
      <c r="U54" s="136">
        <f t="shared" ca="1" si="55"/>
        <v>0</v>
      </c>
      <c r="V54" s="136">
        <f t="shared" ca="1" si="55"/>
        <v>0</v>
      </c>
      <c r="W54" s="136">
        <f t="shared" ca="1" si="55"/>
        <v>0</v>
      </c>
      <c r="X54" s="136">
        <f t="shared" ca="1" si="55"/>
        <v>0</v>
      </c>
      <c r="Y54" s="136">
        <f t="shared" ca="1" si="55"/>
        <v>0</v>
      </c>
      <c r="Z54" s="136">
        <f t="shared" ca="1" si="55"/>
        <v>0</v>
      </c>
      <c r="AA54" s="136">
        <f t="shared" ca="1" si="55"/>
        <v>0</v>
      </c>
      <c r="AB54" s="136">
        <f t="shared" ca="1" si="55"/>
        <v>0</v>
      </c>
      <c r="AC54" s="136">
        <f t="shared" ca="1" si="55"/>
        <v>0</v>
      </c>
      <c r="AD54" s="136">
        <f t="shared" ca="1" si="55"/>
        <v>0</v>
      </c>
      <c r="AE54" s="136">
        <f t="shared" ca="1" si="55"/>
        <v>0</v>
      </c>
      <c r="AF54" s="136">
        <f t="shared" ca="1" si="55"/>
        <v>0</v>
      </c>
      <c r="AG54" s="136">
        <f t="shared" ca="1" si="55"/>
        <v>0</v>
      </c>
      <c r="AH54" s="136">
        <f t="shared" ca="1" si="55"/>
        <v>-267267.30637668417</v>
      </c>
      <c r="AI54" s="136">
        <f t="shared" ca="1" si="55"/>
        <v>-271713.22820647666</v>
      </c>
      <c r="AJ54" s="136">
        <f t="shared" ca="1" si="55"/>
        <v>-266982.7373548242</v>
      </c>
      <c r="AK54" s="136">
        <f t="shared" ca="1" si="55"/>
        <v>-268361.01650197932</v>
      </c>
      <c r="AL54" s="136">
        <f t="shared" ca="1" si="55"/>
        <v>-266698.57126255275</v>
      </c>
      <c r="AM54" s="136">
        <f t="shared" ca="1" si="55"/>
        <v>-268106.58596345084</v>
      </c>
      <c r="AN54" s="136">
        <f t="shared" ca="1" si="55"/>
        <v>-266418.33373376896</v>
      </c>
      <c r="AO54" s="136">
        <f t="shared" ref="AO54:BT54" ca="1" si="56">AO83</f>
        <v>-266294.83581490163</v>
      </c>
      <c r="AP54" s="136">
        <f t="shared" ca="1" si="56"/>
        <v>-267713.43716579361</v>
      </c>
      <c r="AQ54" s="136">
        <f t="shared" ca="1" si="56"/>
        <v>-266007.6477507166</v>
      </c>
      <c r="AR54" s="136">
        <f t="shared" ca="1" si="56"/>
        <v>-267434.7333689917</v>
      </c>
      <c r="AS54" s="136">
        <f t="shared" ca="1" si="56"/>
        <v>-2845497.9897244778</v>
      </c>
      <c r="AT54" s="136">
        <f t="shared" ca="1" si="56"/>
        <v>0</v>
      </c>
      <c r="AU54" s="136">
        <f t="shared" ca="1" si="56"/>
        <v>0</v>
      </c>
      <c r="AV54" s="136">
        <f t="shared" ca="1" si="56"/>
        <v>0</v>
      </c>
      <c r="AW54" s="136">
        <f t="shared" ca="1" si="56"/>
        <v>0</v>
      </c>
      <c r="AX54" s="136">
        <f t="shared" ca="1" si="56"/>
        <v>0</v>
      </c>
      <c r="AY54" s="136">
        <f t="shared" ca="1" si="56"/>
        <v>0</v>
      </c>
      <c r="AZ54" s="136">
        <f t="shared" ca="1" si="56"/>
        <v>0</v>
      </c>
      <c r="BA54" s="136">
        <f t="shared" ca="1" si="56"/>
        <v>0</v>
      </c>
      <c r="BB54" s="136">
        <f t="shared" ca="1" si="56"/>
        <v>0</v>
      </c>
      <c r="BC54" s="136">
        <f t="shared" ca="1" si="56"/>
        <v>0</v>
      </c>
      <c r="BD54" s="136">
        <f t="shared" ca="1" si="56"/>
        <v>0</v>
      </c>
      <c r="BE54" s="136">
        <f t="shared" ca="1" si="56"/>
        <v>0</v>
      </c>
      <c r="BF54" s="136">
        <f t="shared" ca="1" si="56"/>
        <v>0</v>
      </c>
      <c r="BG54" s="136">
        <f t="shared" ca="1" si="56"/>
        <v>0</v>
      </c>
      <c r="BH54" s="136">
        <f t="shared" ca="1" si="56"/>
        <v>0</v>
      </c>
      <c r="BI54" s="136">
        <f t="shared" ca="1" si="56"/>
        <v>0</v>
      </c>
      <c r="BJ54" s="136">
        <f t="shared" ca="1" si="56"/>
        <v>0</v>
      </c>
      <c r="BK54" s="136">
        <f t="shared" ca="1" si="56"/>
        <v>0</v>
      </c>
      <c r="BL54" s="136">
        <f t="shared" ca="1" si="56"/>
        <v>0</v>
      </c>
      <c r="BM54" s="136">
        <f t="shared" ca="1" si="56"/>
        <v>0</v>
      </c>
      <c r="BN54" s="136">
        <f t="shared" ca="1" si="56"/>
        <v>0</v>
      </c>
      <c r="BO54" s="136">
        <f t="shared" ca="1" si="56"/>
        <v>0</v>
      </c>
      <c r="BP54" s="136">
        <f t="shared" ca="1" si="56"/>
        <v>0</v>
      </c>
      <c r="BQ54" s="136">
        <f t="shared" ca="1" si="56"/>
        <v>0</v>
      </c>
      <c r="BR54" s="136">
        <f t="shared" ca="1" si="56"/>
        <v>0</v>
      </c>
      <c r="BS54" s="136">
        <f t="shared" ca="1" si="56"/>
        <v>0</v>
      </c>
      <c r="BT54" s="136">
        <f t="shared" ca="1" si="56"/>
        <v>0</v>
      </c>
      <c r="BU54" s="136">
        <f t="shared" ref="BU54:CO54" ca="1" si="57">BU83</f>
        <v>0</v>
      </c>
      <c r="BV54" s="136">
        <f t="shared" ca="1" si="57"/>
        <v>0</v>
      </c>
      <c r="BW54" s="136">
        <f t="shared" ca="1" si="57"/>
        <v>0</v>
      </c>
      <c r="BX54" s="136">
        <f t="shared" ca="1" si="57"/>
        <v>0</v>
      </c>
      <c r="BY54" s="136">
        <f t="shared" ca="1" si="57"/>
        <v>0</v>
      </c>
      <c r="BZ54" s="136">
        <f t="shared" ca="1" si="57"/>
        <v>0</v>
      </c>
      <c r="CA54" s="136">
        <f t="shared" ca="1" si="57"/>
        <v>0</v>
      </c>
      <c r="CB54" s="136">
        <f t="shared" ca="1" si="57"/>
        <v>0</v>
      </c>
      <c r="CC54" s="136">
        <f t="shared" ca="1" si="57"/>
        <v>0</v>
      </c>
      <c r="CD54" s="136">
        <f t="shared" ca="1" si="57"/>
        <v>0</v>
      </c>
      <c r="CE54" s="136">
        <f t="shared" ca="1" si="57"/>
        <v>0</v>
      </c>
      <c r="CF54" s="136">
        <f t="shared" ca="1" si="57"/>
        <v>0</v>
      </c>
      <c r="CG54" s="136">
        <f t="shared" ca="1" si="57"/>
        <v>0</v>
      </c>
      <c r="CH54" s="136">
        <f t="shared" ca="1" si="57"/>
        <v>0</v>
      </c>
      <c r="CI54" s="136">
        <f t="shared" ca="1" si="57"/>
        <v>0</v>
      </c>
      <c r="CJ54" s="136">
        <f t="shared" ca="1" si="57"/>
        <v>0</v>
      </c>
      <c r="CK54" s="136">
        <f t="shared" ca="1" si="57"/>
        <v>0</v>
      </c>
      <c r="CL54" s="136">
        <f t="shared" ca="1" si="57"/>
        <v>0</v>
      </c>
      <c r="CM54" s="136">
        <f t="shared" ca="1" si="57"/>
        <v>0</v>
      </c>
      <c r="CN54" s="136">
        <f t="shared" ca="1" si="57"/>
        <v>0</v>
      </c>
      <c r="CO54" s="136">
        <f t="shared" ca="1" si="57"/>
        <v>0</v>
      </c>
      <c r="CP54" s="13" t="s">
        <v>15</v>
      </c>
    </row>
    <row r="55" spans="2:94" ht="15" customHeight="1" x14ac:dyDescent="0.2">
      <c r="B55" s="136">
        <f t="shared" ca="1" si="42"/>
        <v>24618322.976195</v>
      </c>
      <c r="D55" s="259" t="s">
        <v>194</v>
      </c>
      <c r="E55" s="269"/>
      <c r="F55" s="133" t="s">
        <v>211</v>
      </c>
      <c r="I55" s="136">
        <f ca="1">SUM(I38:I54)</f>
        <v>-8175223.9014285719</v>
      </c>
      <c r="J55" s="136">
        <f t="shared" ref="J55:AN55" ca="1" si="58">SUM(J38:J54)</f>
        <v>-311434.77285714279</v>
      </c>
      <c r="K55" s="136">
        <f t="shared" ca="1" si="58"/>
        <v>-311434.77285714279</v>
      </c>
      <c r="L55" s="136">
        <f t="shared" ca="1" si="58"/>
        <v>-334774.57285714283</v>
      </c>
      <c r="M55" s="136">
        <f t="shared" ca="1" si="58"/>
        <v>-317269.7228571428</v>
      </c>
      <c r="N55" s="136">
        <f t="shared" ca="1" si="58"/>
        <v>-268256.14285714284</v>
      </c>
      <c r="O55" s="136">
        <f t="shared" ca="1" si="58"/>
        <v>-455644.58496240602</v>
      </c>
      <c r="P55" s="136">
        <f t="shared" ca="1" si="58"/>
        <v>-697211.51496240601</v>
      </c>
      <c r="Q55" s="136">
        <f t="shared" ca="1" si="58"/>
        <v>-697211.51496240601</v>
      </c>
      <c r="R55" s="136">
        <f t="shared" ca="1" si="58"/>
        <v>-576691.49939849414</v>
      </c>
      <c r="S55" s="136">
        <f t="shared" ca="1" si="58"/>
        <v>0</v>
      </c>
      <c r="T55" s="136">
        <f t="shared" ca="1" si="58"/>
        <v>0</v>
      </c>
      <c r="U55" s="136">
        <f t="shared" ca="1" si="58"/>
        <v>0</v>
      </c>
      <c r="V55" s="136">
        <f t="shared" ca="1" si="58"/>
        <v>0</v>
      </c>
      <c r="W55" s="136">
        <f t="shared" ca="1" si="58"/>
        <v>0</v>
      </c>
      <c r="X55" s="136">
        <f t="shared" ca="1" si="58"/>
        <v>0</v>
      </c>
      <c r="Y55" s="136">
        <f t="shared" ca="1" si="58"/>
        <v>0</v>
      </c>
      <c r="Z55" s="136">
        <f t="shared" ca="1" si="58"/>
        <v>0</v>
      </c>
      <c r="AA55" s="136">
        <f t="shared" ca="1" si="58"/>
        <v>0</v>
      </c>
      <c r="AB55" s="136">
        <f t="shared" ca="1" si="58"/>
        <v>0</v>
      </c>
      <c r="AC55" s="136">
        <f t="shared" ca="1" si="58"/>
        <v>0</v>
      </c>
      <c r="AD55" s="136">
        <f t="shared" ca="1" si="58"/>
        <v>0</v>
      </c>
      <c r="AE55" s="136">
        <f t="shared" ca="1" si="58"/>
        <v>0</v>
      </c>
      <c r="AF55" s="136">
        <f t="shared" ca="1" si="58"/>
        <v>0</v>
      </c>
      <c r="AG55" s="136">
        <f t="shared" ca="1" si="58"/>
        <v>0</v>
      </c>
      <c r="AH55" s="136">
        <f t="shared" ca="1" si="58"/>
        <v>0</v>
      </c>
      <c r="AI55" s="136">
        <f t="shared" ca="1" si="58"/>
        <v>0</v>
      </c>
      <c r="AJ55" s="136">
        <f t="shared" ca="1" si="58"/>
        <v>0</v>
      </c>
      <c r="AK55" s="136">
        <f t="shared" ca="1" si="58"/>
        <v>0</v>
      </c>
      <c r="AL55" s="136">
        <f t="shared" ca="1" si="58"/>
        <v>0</v>
      </c>
      <c r="AM55" s="136">
        <f t="shared" ca="1" si="58"/>
        <v>0</v>
      </c>
      <c r="AN55" s="136">
        <f t="shared" ca="1" si="58"/>
        <v>0</v>
      </c>
      <c r="AO55" s="136">
        <f t="shared" ref="AO55:CO55" ca="1" si="59">SUM(AO38:AO54)</f>
        <v>0</v>
      </c>
      <c r="AP55" s="136">
        <f t="shared" ca="1" si="59"/>
        <v>0</v>
      </c>
      <c r="AQ55" s="136">
        <f t="shared" ca="1" si="59"/>
        <v>0</v>
      </c>
      <c r="AR55" s="136">
        <f t="shared" ca="1" si="59"/>
        <v>0</v>
      </c>
      <c r="AS55" s="136">
        <f t="shared" ca="1" si="59"/>
        <v>20377454.355182163</v>
      </c>
      <c r="AT55" s="136">
        <f t="shared" ca="1" si="59"/>
        <v>110073.79706883527</v>
      </c>
      <c r="AU55" s="136">
        <f t="shared" ca="1" si="59"/>
        <v>110073.79706883527</v>
      </c>
      <c r="AV55" s="136">
        <f t="shared" ca="1" si="59"/>
        <v>110073.79706883527</v>
      </c>
      <c r="AW55" s="136">
        <f t="shared" ca="1" si="59"/>
        <v>110073.79706883527</v>
      </c>
      <c r="AX55" s="136">
        <f t="shared" ca="1" si="59"/>
        <v>110073.79706883527</v>
      </c>
      <c r="AY55" s="136">
        <f t="shared" ca="1" si="59"/>
        <v>110073.79706883527</v>
      </c>
      <c r="AZ55" s="136">
        <f t="shared" ca="1" si="59"/>
        <v>110073.79706883527</v>
      </c>
      <c r="BA55" s="136">
        <f t="shared" ca="1" si="59"/>
        <v>110073.79706883527</v>
      </c>
      <c r="BB55" s="136">
        <f t="shared" ca="1" si="59"/>
        <v>110073.79706883527</v>
      </c>
      <c r="BC55" s="136">
        <f t="shared" ca="1" si="59"/>
        <v>110073.79706883527</v>
      </c>
      <c r="BD55" s="136">
        <f t="shared" ca="1" si="59"/>
        <v>110073.79706883527</v>
      </c>
      <c r="BE55" s="136">
        <f t="shared" ca="1" si="59"/>
        <v>110073.79706883527</v>
      </c>
      <c r="BF55" s="136">
        <f t="shared" ca="1" si="59"/>
        <v>92276.448121092428</v>
      </c>
      <c r="BG55" s="136">
        <f t="shared" ca="1" si="59"/>
        <v>92276.448121092428</v>
      </c>
      <c r="BH55" s="136">
        <f t="shared" ca="1" si="59"/>
        <v>92276.448121092428</v>
      </c>
      <c r="BI55" s="136">
        <f t="shared" ca="1" si="59"/>
        <v>92276.448121092428</v>
      </c>
      <c r="BJ55" s="136">
        <f t="shared" ca="1" si="59"/>
        <v>92276.448121092428</v>
      </c>
      <c r="BK55" s="136">
        <f t="shared" ca="1" si="59"/>
        <v>92276.448121092428</v>
      </c>
      <c r="BL55" s="136">
        <f t="shared" ca="1" si="59"/>
        <v>92276.448121092428</v>
      </c>
      <c r="BM55" s="136">
        <f t="shared" ca="1" si="59"/>
        <v>92276.448121092428</v>
      </c>
      <c r="BN55" s="136">
        <f t="shared" ca="1" si="59"/>
        <v>92276.448121092428</v>
      </c>
      <c r="BO55" s="136">
        <f t="shared" ca="1" si="59"/>
        <v>92276.448121092428</v>
      </c>
      <c r="BP55" s="136">
        <f t="shared" ca="1" si="59"/>
        <v>92276.448121092428</v>
      </c>
      <c r="BQ55" s="136">
        <f t="shared" ca="1" si="59"/>
        <v>92276.448121092428</v>
      </c>
      <c r="BR55" s="136">
        <f t="shared" ca="1" si="59"/>
        <v>106921.35986988785</v>
      </c>
      <c r="BS55" s="136">
        <f t="shared" ca="1" si="59"/>
        <v>106921.35986988785</v>
      </c>
      <c r="BT55" s="136">
        <f t="shared" ca="1" si="59"/>
        <v>106921.35986988785</v>
      </c>
      <c r="BU55" s="136">
        <f t="shared" ca="1" si="59"/>
        <v>106921.35986988785</v>
      </c>
      <c r="BV55" s="136">
        <f t="shared" ca="1" si="59"/>
        <v>106921.35986988785</v>
      </c>
      <c r="BW55" s="136">
        <f t="shared" ca="1" si="59"/>
        <v>106921.35986988785</v>
      </c>
      <c r="BX55" s="136">
        <f t="shared" ca="1" si="59"/>
        <v>106921.35986988785</v>
      </c>
      <c r="BY55" s="136">
        <f t="shared" ca="1" si="59"/>
        <v>106921.35986988785</v>
      </c>
      <c r="BZ55" s="136">
        <f t="shared" ca="1" si="59"/>
        <v>106921.35986988785</v>
      </c>
      <c r="CA55" s="136">
        <f t="shared" ca="1" si="59"/>
        <v>106921.35986988785</v>
      </c>
      <c r="CB55" s="136">
        <f t="shared" ca="1" si="59"/>
        <v>106921.35986988785</v>
      </c>
      <c r="CC55" s="136">
        <f ca="1">SUM(CC38:CC54)</f>
        <v>12781683.720164917</v>
      </c>
      <c r="CD55" s="136">
        <f t="shared" ca="1" si="59"/>
        <v>0</v>
      </c>
      <c r="CE55" s="136">
        <f t="shared" ca="1" si="59"/>
        <v>0</v>
      </c>
      <c r="CF55" s="136">
        <f t="shared" ca="1" si="59"/>
        <v>0</v>
      </c>
      <c r="CG55" s="136">
        <f t="shared" ca="1" si="59"/>
        <v>0</v>
      </c>
      <c r="CH55" s="136">
        <f t="shared" ca="1" si="59"/>
        <v>0</v>
      </c>
      <c r="CI55" s="136">
        <f t="shared" ca="1" si="59"/>
        <v>0</v>
      </c>
      <c r="CJ55" s="136">
        <f t="shared" ca="1" si="59"/>
        <v>0</v>
      </c>
      <c r="CK55" s="136">
        <f t="shared" ca="1" si="59"/>
        <v>0</v>
      </c>
      <c r="CL55" s="136">
        <f t="shared" ca="1" si="59"/>
        <v>0</v>
      </c>
      <c r="CM55" s="136">
        <f t="shared" ca="1" si="59"/>
        <v>0</v>
      </c>
      <c r="CN55" s="136">
        <f t="shared" ca="1" si="59"/>
        <v>0</v>
      </c>
      <c r="CO55" s="136">
        <f t="shared" ca="1" si="59"/>
        <v>0</v>
      </c>
      <c r="CP55" s="13" t="s">
        <v>15</v>
      </c>
    </row>
    <row r="56" spans="2:94" ht="15" customHeight="1" x14ac:dyDescent="0.2">
      <c r="C56" s="133" t="s">
        <v>212</v>
      </c>
      <c r="D56" s="259" t="s">
        <v>194</v>
      </c>
      <c r="E56" s="269"/>
      <c r="F56" s="270" t="s">
        <v>247</v>
      </c>
      <c r="G56" s="271"/>
      <c r="H56" s="271"/>
      <c r="I56" s="216">
        <f ca="1">MAX(H56-I55,0)</f>
        <v>8175223.9014285719</v>
      </c>
      <c r="J56" s="216">
        <f t="shared" ref="J56:BU56" ca="1" si="60">MAX(I56-J55,0)</f>
        <v>8486658.6742857154</v>
      </c>
      <c r="K56" s="216">
        <f t="shared" ca="1" si="60"/>
        <v>8798093.4471428581</v>
      </c>
      <c r="L56" s="216">
        <f t="shared" ca="1" si="60"/>
        <v>9132868.0200000014</v>
      </c>
      <c r="M56" s="216">
        <f t="shared" ca="1" si="60"/>
        <v>9450137.7428571433</v>
      </c>
      <c r="N56" s="216">
        <f t="shared" ca="1" si="60"/>
        <v>9718393.8857142869</v>
      </c>
      <c r="O56" s="216">
        <f t="shared" ca="1" si="60"/>
        <v>10174038.470676692</v>
      </c>
      <c r="P56" s="216">
        <f t="shared" ca="1" si="60"/>
        <v>10871249.985639099</v>
      </c>
      <c r="Q56" s="216">
        <f t="shared" ca="1" si="60"/>
        <v>11568461.500601506</v>
      </c>
      <c r="R56" s="216">
        <f t="shared" ca="1" si="60"/>
        <v>12145153</v>
      </c>
      <c r="S56" s="216">
        <f t="shared" ca="1" si="60"/>
        <v>12145153</v>
      </c>
      <c r="T56" s="216">
        <f t="shared" ca="1" si="60"/>
        <v>12145153</v>
      </c>
      <c r="U56" s="216">
        <f t="shared" ca="1" si="60"/>
        <v>12145153</v>
      </c>
      <c r="V56" s="216">
        <f t="shared" ca="1" si="60"/>
        <v>12145153</v>
      </c>
      <c r="W56" s="216">
        <f t="shared" ca="1" si="60"/>
        <v>12145153</v>
      </c>
      <c r="X56" s="216">
        <f t="shared" ca="1" si="60"/>
        <v>12145153</v>
      </c>
      <c r="Y56" s="216">
        <f t="shared" ca="1" si="60"/>
        <v>12145153</v>
      </c>
      <c r="Z56" s="216">
        <f t="shared" ca="1" si="60"/>
        <v>12145153</v>
      </c>
      <c r="AA56" s="216">
        <f t="shared" ca="1" si="60"/>
        <v>12145153</v>
      </c>
      <c r="AB56" s="216">
        <f t="shared" ca="1" si="60"/>
        <v>12145153</v>
      </c>
      <c r="AC56" s="216">
        <f t="shared" ca="1" si="60"/>
        <v>12145153</v>
      </c>
      <c r="AD56" s="216">
        <f t="shared" ca="1" si="60"/>
        <v>12145153</v>
      </c>
      <c r="AE56" s="216">
        <f t="shared" ca="1" si="60"/>
        <v>12145153</v>
      </c>
      <c r="AF56" s="216">
        <f t="shared" ca="1" si="60"/>
        <v>12145153</v>
      </c>
      <c r="AG56" s="216">
        <f t="shared" ca="1" si="60"/>
        <v>12145153</v>
      </c>
      <c r="AH56" s="216">
        <f t="shared" ca="1" si="60"/>
        <v>12145153</v>
      </c>
      <c r="AI56" s="216">
        <f t="shared" ca="1" si="60"/>
        <v>12145153</v>
      </c>
      <c r="AJ56" s="216">
        <f t="shared" ca="1" si="60"/>
        <v>12145153</v>
      </c>
      <c r="AK56" s="216">
        <f t="shared" ca="1" si="60"/>
        <v>12145153</v>
      </c>
      <c r="AL56" s="216">
        <f t="shared" ca="1" si="60"/>
        <v>12145153</v>
      </c>
      <c r="AM56" s="216">
        <f t="shared" ca="1" si="60"/>
        <v>12145153</v>
      </c>
      <c r="AN56" s="216">
        <f t="shared" ca="1" si="60"/>
        <v>12145153</v>
      </c>
      <c r="AO56" s="216">
        <f t="shared" ca="1" si="60"/>
        <v>12145153</v>
      </c>
      <c r="AP56" s="216">
        <f t="shared" ca="1" si="60"/>
        <v>12145153</v>
      </c>
      <c r="AQ56" s="216">
        <f t="shared" ca="1" si="60"/>
        <v>12145153</v>
      </c>
      <c r="AR56" s="216">
        <f t="shared" ca="1" si="60"/>
        <v>12145153</v>
      </c>
      <c r="AS56" s="216">
        <f t="shared" ca="1" si="60"/>
        <v>0</v>
      </c>
      <c r="AT56" s="216">
        <f t="shared" ca="1" si="60"/>
        <v>0</v>
      </c>
      <c r="AU56" s="216">
        <f t="shared" ca="1" si="60"/>
        <v>0</v>
      </c>
      <c r="AV56" s="216">
        <f t="shared" ca="1" si="60"/>
        <v>0</v>
      </c>
      <c r="AW56" s="216">
        <f t="shared" ca="1" si="60"/>
        <v>0</v>
      </c>
      <c r="AX56" s="216">
        <f t="shared" ca="1" si="60"/>
        <v>0</v>
      </c>
      <c r="AY56" s="216">
        <f t="shared" ca="1" si="60"/>
        <v>0</v>
      </c>
      <c r="AZ56" s="216">
        <f t="shared" ca="1" si="60"/>
        <v>0</v>
      </c>
      <c r="BA56" s="216">
        <f t="shared" ca="1" si="60"/>
        <v>0</v>
      </c>
      <c r="BB56" s="216">
        <f t="shared" ca="1" si="60"/>
        <v>0</v>
      </c>
      <c r="BC56" s="216">
        <f t="shared" ca="1" si="60"/>
        <v>0</v>
      </c>
      <c r="BD56" s="216">
        <f t="shared" ca="1" si="60"/>
        <v>0</v>
      </c>
      <c r="BE56" s="216">
        <f t="shared" ca="1" si="60"/>
        <v>0</v>
      </c>
      <c r="BF56" s="216">
        <f t="shared" ca="1" si="60"/>
        <v>0</v>
      </c>
      <c r="BG56" s="216">
        <f t="shared" ca="1" si="60"/>
        <v>0</v>
      </c>
      <c r="BH56" s="216">
        <f t="shared" ca="1" si="60"/>
        <v>0</v>
      </c>
      <c r="BI56" s="216">
        <f t="shared" ca="1" si="60"/>
        <v>0</v>
      </c>
      <c r="BJ56" s="216">
        <f t="shared" ca="1" si="60"/>
        <v>0</v>
      </c>
      <c r="BK56" s="216">
        <f t="shared" ca="1" si="60"/>
        <v>0</v>
      </c>
      <c r="BL56" s="216">
        <f t="shared" ca="1" si="60"/>
        <v>0</v>
      </c>
      <c r="BM56" s="216">
        <f t="shared" ca="1" si="60"/>
        <v>0</v>
      </c>
      <c r="BN56" s="216">
        <f t="shared" ca="1" si="60"/>
        <v>0</v>
      </c>
      <c r="BO56" s="216">
        <f t="shared" ca="1" si="60"/>
        <v>0</v>
      </c>
      <c r="BP56" s="216">
        <f t="shared" ca="1" si="60"/>
        <v>0</v>
      </c>
      <c r="BQ56" s="216">
        <f t="shared" ca="1" si="60"/>
        <v>0</v>
      </c>
      <c r="BR56" s="216">
        <f t="shared" ca="1" si="60"/>
        <v>0</v>
      </c>
      <c r="BS56" s="216">
        <f t="shared" ca="1" si="60"/>
        <v>0</v>
      </c>
      <c r="BT56" s="216">
        <f t="shared" ca="1" si="60"/>
        <v>0</v>
      </c>
      <c r="BU56" s="216">
        <f t="shared" ca="1" si="60"/>
        <v>0</v>
      </c>
      <c r="BV56" s="216">
        <f t="shared" ref="BV56:CO56" ca="1" si="61">MAX(BU56-BV55,0)</f>
        <v>0</v>
      </c>
      <c r="BW56" s="216">
        <f t="shared" ca="1" si="61"/>
        <v>0</v>
      </c>
      <c r="BX56" s="216">
        <f t="shared" ca="1" si="61"/>
        <v>0</v>
      </c>
      <c r="BY56" s="216">
        <f t="shared" ca="1" si="61"/>
        <v>0</v>
      </c>
      <c r="BZ56" s="216">
        <f t="shared" ca="1" si="61"/>
        <v>0</v>
      </c>
      <c r="CA56" s="216">
        <f t="shared" ca="1" si="61"/>
        <v>0</v>
      </c>
      <c r="CB56" s="216">
        <f t="shared" ca="1" si="61"/>
        <v>0</v>
      </c>
      <c r="CC56" s="216">
        <f t="shared" ca="1" si="61"/>
        <v>0</v>
      </c>
      <c r="CD56" s="216">
        <f t="shared" ca="1" si="61"/>
        <v>0</v>
      </c>
      <c r="CE56" s="216">
        <f t="shared" ca="1" si="61"/>
        <v>0</v>
      </c>
      <c r="CF56" s="216">
        <f t="shared" ca="1" si="61"/>
        <v>0</v>
      </c>
      <c r="CG56" s="216">
        <f t="shared" ca="1" si="61"/>
        <v>0</v>
      </c>
      <c r="CH56" s="216">
        <f t="shared" ca="1" si="61"/>
        <v>0</v>
      </c>
      <c r="CI56" s="216">
        <f t="shared" ca="1" si="61"/>
        <v>0</v>
      </c>
      <c r="CJ56" s="216">
        <f t="shared" ca="1" si="61"/>
        <v>0</v>
      </c>
      <c r="CK56" s="216">
        <f t="shared" ca="1" si="61"/>
        <v>0</v>
      </c>
      <c r="CL56" s="216">
        <f t="shared" ca="1" si="61"/>
        <v>0</v>
      </c>
      <c r="CM56" s="216">
        <f t="shared" ca="1" si="61"/>
        <v>0</v>
      </c>
      <c r="CN56" s="216">
        <f t="shared" ca="1" si="61"/>
        <v>0</v>
      </c>
      <c r="CO56" s="216">
        <f t="shared" ca="1" si="61"/>
        <v>0</v>
      </c>
      <c r="CP56" s="13" t="s">
        <v>15</v>
      </c>
    </row>
    <row r="57" spans="2:94" ht="15" customHeight="1" x14ac:dyDescent="0.2">
      <c r="D57" s="259"/>
      <c r="E57" s="269"/>
      <c r="F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row>
    <row r="58" spans="2:94" ht="15" x14ac:dyDescent="0.25">
      <c r="D58" s="259"/>
      <c r="E58" s="269"/>
      <c r="F58" s="146" t="s">
        <v>213</v>
      </c>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row>
    <row r="59" spans="2:94" ht="15" customHeight="1" x14ac:dyDescent="0.2">
      <c r="B59" s="136">
        <f t="shared" ref="B59:B64" si="62">SUM(I59:CO59)</f>
        <v>-28520153.000000004</v>
      </c>
      <c r="D59" s="259" t="s">
        <v>199</v>
      </c>
      <c r="E59" s="269"/>
      <c r="F59" s="133" t="s">
        <v>200</v>
      </c>
      <c r="I59" s="136">
        <f>I39</f>
        <v>-8050223.9014285719</v>
      </c>
      <c r="J59" s="136">
        <f t="shared" ref="J59:BU61" si="63">J39</f>
        <v>-311434.77285714279</v>
      </c>
      <c r="K59" s="136">
        <f t="shared" si="63"/>
        <v>-311434.77285714279</v>
      </c>
      <c r="L59" s="136">
        <f t="shared" si="63"/>
        <v>-334774.57285714283</v>
      </c>
      <c r="M59" s="136">
        <f t="shared" si="63"/>
        <v>-317269.7228571428</v>
      </c>
      <c r="N59" s="136">
        <f t="shared" si="63"/>
        <v>-268256.14285714284</v>
      </c>
      <c r="O59" s="136">
        <f t="shared" si="63"/>
        <v>-455644.58496240602</v>
      </c>
      <c r="P59" s="136">
        <f t="shared" si="63"/>
        <v>-697211.51496240601</v>
      </c>
      <c r="Q59" s="136">
        <f t="shared" si="63"/>
        <v>-697211.51496240601</v>
      </c>
      <c r="R59" s="136">
        <f t="shared" si="63"/>
        <v>-697211.51496240601</v>
      </c>
      <c r="S59" s="136">
        <f t="shared" si="63"/>
        <v>-697211.51496240601</v>
      </c>
      <c r="T59" s="136">
        <f t="shared" si="63"/>
        <v>-697211.51496240601</v>
      </c>
      <c r="U59" s="136">
        <f t="shared" si="63"/>
        <v>-697211.51496240601</v>
      </c>
      <c r="V59" s="136">
        <f t="shared" si="63"/>
        <v>-1075316.2749624059</v>
      </c>
      <c r="W59" s="136">
        <f t="shared" si="63"/>
        <v>-1192015.2749624061</v>
      </c>
      <c r="X59" s="136">
        <f t="shared" si="63"/>
        <v>-970287.17496240605</v>
      </c>
      <c r="Y59" s="136">
        <f t="shared" si="63"/>
        <v>-1238694.874962406</v>
      </c>
      <c r="Z59" s="136">
        <f t="shared" si="63"/>
        <v>-1259170.2449624061</v>
      </c>
      <c r="AA59" s="136">
        <f t="shared" si="63"/>
        <v>-1259170.2449624061</v>
      </c>
      <c r="AB59" s="136">
        <f t="shared" si="63"/>
        <v>-1259170.2449624061</v>
      </c>
      <c r="AC59" s="136">
        <f t="shared" si="63"/>
        <v>-1291845.9649624061</v>
      </c>
      <c r="AD59" s="136">
        <f t="shared" si="63"/>
        <v>-1492356.0649624062</v>
      </c>
      <c r="AE59" s="136">
        <f t="shared" si="63"/>
        <v>-1382022.4649624061</v>
      </c>
      <c r="AF59" s="136">
        <f t="shared" si="63"/>
        <v>-583801.30496240593</v>
      </c>
      <c r="AG59" s="136">
        <f t="shared" si="63"/>
        <v>-1283995.3049624062</v>
      </c>
      <c r="AH59" s="136">
        <f t="shared" si="63"/>
        <v>0</v>
      </c>
      <c r="AI59" s="136">
        <f t="shared" si="63"/>
        <v>0</v>
      </c>
      <c r="AJ59" s="136">
        <f t="shared" si="63"/>
        <v>0</v>
      </c>
      <c r="AK59" s="136">
        <f t="shared" si="63"/>
        <v>0</v>
      </c>
      <c r="AL59" s="136">
        <f t="shared" si="63"/>
        <v>0</v>
      </c>
      <c r="AM59" s="136">
        <f t="shared" si="63"/>
        <v>0</v>
      </c>
      <c r="AN59" s="136">
        <f t="shared" si="63"/>
        <v>0</v>
      </c>
      <c r="AO59" s="136">
        <f t="shared" si="63"/>
        <v>0</v>
      </c>
      <c r="AP59" s="136">
        <f t="shared" si="63"/>
        <v>0</v>
      </c>
      <c r="AQ59" s="136">
        <f t="shared" si="63"/>
        <v>0</v>
      </c>
      <c r="AR59" s="136">
        <f t="shared" si="63"/>
        <v>0</v>
      </c>
      <c r="AS59" s="136">
        <f t="shared" si="63"/>
        <v>0</v>
      </c>
      <c r="AT59" s="136">
        <f t="shared" si="63"/>
        <v>0</v>
      </c>
      <c r="AU59" s="136">
        <f t="shared" si="63"/>
        <v>0</v>
      </c>
      <c r="AV59" s="136">
        <f t="shared" si="63"/>
        <v>0</v>
      </c>
      <c r="AW59" s="136">
        <f t="shared" si="63"/>
        <v>0</v>
      </c>
      <c r="AX59" s="136">
        <f t="shared" si="63"/>
        <v>0</v>
      </c>
      <c r="AY59" s="136">
        <f t="shared" si="63"/>
        <v>0</v>
      </c>
      <c r="AZ59" s="136">
        <f t="shared" si="63"/>
        <v>0</v>
      </c>
      <c r="BA59" s="136">
        <f t="shared" si="63"/>
        <v>0</v>
      </c>
      <c r="BB59" s="136">
        <f t="shared" si="63"/>
        <v>0</v>
      </c>
      <c r="BC59" s="136">
        <f t="shared" si="63"/>
        <v>0</v>
      </c>
      <c r="BD59" s="136">
        <f t="shared" si="63"/>
        <v>0</v>
      </c>
      <c r="BE59" s="136">
        <f t="shared" si="63"/>
        <v>0</v>
      </c>
      <c r="BF59" s="136">
        <f t="shared" si="63"/>
        <v>0</v>
      </c>
      <c r="BG59" s="136">
        <f t="shared" si="63"/>
        <v>0</v>
      </c>
      <c r="BH59" s="136">
        <f t="shared" si="63"/>
        <v>0</v>
      </c>
      <c r="BI59" s="136">
        <f t="shared" si="63"/>
        <v>0</v>
      </c>
      <c r="BJ59" s="136">
        <f t="shared" si="63"/>
        <v>0</v>
      </c>
      <c r="BK59" s="136">
        <f t="shared" si="63"/>
        <v>0</v>
      </c>
      <c r="BL59" s="136">
        <f t="shared" si="63"/>
        <v>0</v>
      </c>
      <c r="BM59" s="136">
        <f t="shared" si="63"/>
        <v>0</v>
      </c>
      <c r="BN59" s="136">
        <f t="shared" si="63"/>
        <v>0</v>
      </c>
      <c r="BO59" s="136">
        <f t="shared" si="63"/>
        <v>0</v>
      </c>
      <c r="BP59" s="136">
        <f t="shared" si="63"/>
        <v>0</v>
      </c>
      <c r="BQ59" s="136">
        <f t="shared" si="63"/>
        <v>0</v>
      </c>
      <c r="BR59" s="136">
        <f t="shared" si="63"/>
        <v>0</v>
      </c>
      <c r="BS59" s="136">
        <f t="shared" si="63"/>
        <v>0</v>
      </c>
      <c r="BT59" s="136">
        <f t="shared" si="63"/>
        <v>0</v>
      </c>
      <c r="BU59" s="136">
        <f t="shared" si="63"/>
        <v>0</v>
      </c>
      <c r="BV59" s="136">
        <f t="shared" ref="BV59:CO61" si="64">BV39</f>
        <v>0</v>
      </c>
      <c r="BW59" s="136">
        <f t="shared" si="64"/>
        <v>0</v>
      </c>
      <c r="BX59" s="136">
        <f t="shared" si="64"/>
        <v>0</v>
      </c>
      <c r="BY59" s="136">
        <f t="shared" si="64"/>
        <v>0</v>
      </c>
      <c r="BZ59" s="136">
        <f t="shared" si="64"/>
        <v>0</v>
      </c>
      <c r="CA59" s="136">
        <f t="shared" si="64"/>
        <v>0</v>
      </c>
      <c r="CB59" s="136">
        <f t="shared" si="64"/>
        <v>0</v>
      </c>
      <c r="CC59" s="136">
        <f t="shared" si="64"/>
        <v>0</v>
      </c>
      <c r="CD59" s="136">
        <f t="shared" si="64"/>
        <v>0</v>
      </c>
      <c r="CE59" s="136">
        <f t="shared" si="64"/>
        <v>0</v>
      </c>
      <c r="CF59" s="136">
        <f t="shared" si="64"/>
        <v>0</v>
      </c>
      <c r="CG59" s="136">
        <f t="shared" si="64"/>
        <v>0</v>
      </c>
      <c r="CH59" s="136">
        <f t="shared" si="64"/>
        <v>0</v>
      </c>
      <c r="CI59" s="136">
        <f t="shared" si="64"/>
        <v>0</v>
      </c>
      <c r="CJ59" s="136">
        <f t="shared" si="64"/>
        <v>0</v>
      </c>
      <c r="CK59" s="136">
        <f t="shared" si="64"/>
        <v>0</v>
      </c>
      <c r="CL59" s="136">
        <f t="shared" si="64"/>
        <v>0</v>
      </c>
      <c r="CM59" s="136">
        <f t="shared" si="64"/>
        <v>0</v>
      </c>
      <c r="CN59" s="136">
        <f t="shared" si="64"/>
        <v>0</v>
      </c>
      <c r="CO59" s="136">
        <f t="shared" si="64"/>
        <v>0</v>
      </c>
      <c r="CP59" s="133" t="s">
        <v>15</v>
      </c>
    </row>
    <row r="60" spans="2:94" ht="15" customHeight="1" x14ac:dyDescent="0.2">
      <c r="B60" s="136">
        <f t="shared" si="62"/>
        <v>-125000</v>
      </c>
      <c r="D60" s="259" t="s">
        <v>199</v>
      </c>
      <c r="E60" s="269"/>
      <c r="F60" s="133" t="s">
        <v>155</v>
      </c>
      <c r="I60" s="136">
        <f>I40</f>
        <v>-125000</v>
      </c>
      <c r="J60" s="136">
        <f t="shared" si="63"/>
        <v>0</v>
      </c>
      <c r="K60" s="136">
        <f t="shared" si="63"/>
        <v>0</v>
      </c>
      <c r="L60" s="136">
        <f t="shared" si="63"/>
        <v>0</v>
      </c>
      <c r="M60" s="136">
        <f t="shared" si="63"/>
        <v>0</v>
      </c>
      <c r="N60" s="136">
        <f t="shared" si="63"/>
        <v>0</v>
      </c>
      <c r="O60" s="136">
        <f t="shared" si="63"/>
        <v>0</v>
      </c>
      <c r="P60" s="136">
        <f t="shared" si="63"/>
        <v>0</v>
      </c>
      <c r="Q60" s="136">
        <f t="shared" si="63"/>
        <v>0</v>
      </c>
      <c r="R60" s="136">
        <f t="shared" si="63"/>
        <v>0</v>
      </c>
      <c r="S60" s="136">
        <f t="shared" si="63"/>
        <v>0</v>
      </c>
      <c r="T60" s="136">
        <f t="shared" si="63"/>
        <v>0</v>
      </c>
      <c r="U60" s="136">
        <f t="shared" si="63"/>
        <v>0</v>
      </c>
      <c r="V60" s="136">
        <f t="shared" si="63"/>
        <v>0</v>
      </c>
      <c r="W60" s="136">
        <f t="shared" si="63"/>
        <v>0</v>
      </c>
      <c r="X60" s="136">
        <f t="shared" si="63"/>
        <v>0</v>
      </c>
      <c r="Y60" s="136">
        <f t="shared" si="63"/>
        <v>0</v>
      </c>
      <c r="Z60" s="136">
        <f t="shared" si="63"/>
        <v>0</v>
      </c>
      <c r="AA60" s="136">
        <f t="shared" si="63"/>
        <v>0</v>
      </c>
      <c r="AB60" s="136">
        <f t="shared" si="63"/>
        <v>0</v>
      </c>
      <c r="AC60" s="136">
        <f t="shared" si="63"/>
        <v>0</v>
      </c>
      <c r="AD60" s="136">
        <f t="shared" si="63"/>
        <v>0</v>
      </c>
      <c r="AE60" s="136">
        <f t="shared" si="63"/>
        <v>0</v>
      </c>
      <c r="AF60" s="136">
        <f t="shared" si="63"/>
        <v>0</v>
      </c>
      <c r="AG60" s="136">
        <f t="shared" si="63"/>
        <v>0</v>
      </c>
      <c r="AH60" s="136">
        <f t="shared" si="63"/>
        <v>0</v>
      </c>
      <c r="AI60" s="136">
        <f t="shared" si="63"/>
        <v>0</v>
      </c>
      <c r="AJ60" s="136">
        <f t="shared" si="63"/>
        <v>0</v>
      </c>
      <c r="AK60" s="136">
        <f t="shared" si="63"/>
        <v>0</v>
      </c>
      <c r="AL60" s="136">
        <f t="shared" si="63"/>
        <v>0</v>
      </c>
      <c r="AM60" s="136">
        <f t="shared" si="63"/>
        <v>0</v>
      </c>
      <c r="AN60" s="136">
        <f t="shared" si="63"/>
        <v>0</v>
      </c>
      <c r="AO60" s="136">
        <f t="shared" si="63"/>
        <v>0</v>
      </c>
      <c r="AP60" s="136">
        <f t="shared" si="63"/>
        <v>0</v>
      </c>
      <c r="AQ60" s="136">
        <f t="shared" si="63"/>
        <v>0</v>
      </c>
      <c r="AR60" s="136">
        <f t="shared" si="63"/>
        <v>0</v>
      </c>
      <c r="AS60" s="136">
        <f t="shared" si="63"/>
        <v>0</v>
      </c>
      <c r="AT60" s="136">
        <f t="shared" si="63"/>
        <v>0</v>
      </c>
      <c r="AU60" s="136">
        <f t="shared" si="63"/>
        <v>0</v>
      </c>
      <c r="AV60" s="136">
        <f t="shared" si="63"/>
        <v>0</v>
      </c>
      <c r="AW60" s="136">
        <f t="shared" si="63"/>
        <v>0</v>
      </c>
      <c r="AX60" s="136">
        <f t="shared" si="63"/>
        <v>0</v>
      </c>
      <c r="AY60" s="136">
        <f t="shared" si="63"/>
        <v>0</v>
      </c>
      <c r="AZ60" s="136">
        <f t="shared" si="63"/>
        <v>0</v>
      </c>
      <c r="BA60" s="136">
        <f t="shared" si="63"/>
        <v>0</v>
      </c>
      <c r="BB60" s="136">
        <f t="shared" si="63"/>
        <v>0</v>
      </c>
      <c r="BC60" s="136">
        <f t="shared" si="63"/>
        <v>0</v>
      </c>
      <c r="BD60" s="136">
        <f t="shared" si="63"/>
        <v>0</v>
      </c>
      <c r="BE60" s="136">
        <f t="shared" si="63"/>
        <v>0</v>
      </c>
      <c r="BF60" s="136">
        <f t="shared" si="63"/>
        <v>0</v>
      </c>
      <c r="BG60" s="136">
        <f t="shared" si="63"/>
        <v>0</v>
      </c>
      <c r="BH60" s="136">
        <f t="shared" si="63"/>
        <v>0</v>
      </c>
      <c r="BI60" s="136">
        <f t="shared" si="63"/>
        <v>0</v>
      </c>
      <c r="BJ60" s="136">
        <f t="shared" si="63"/>
        <v>0</v>
      </c>
      <c r="BK60" s="136">
        <f t="shared" si="63"/>
        <v>0</v>
      </c>
      <c r="BL60" s="136">
        <f t="shared" si="63"/>
        <v>0</v>
      </c>
      <c r="BM60" s="136">
        <f t="shared" si="63"/>
        <v>0</v>
      </c>
      <c r="BN60" s="136">
        <f t="shared" si="63"/>
        <v>0</v>
      </c>
      <c r="BO60" s="136">
        <f t="shared" si="63"/>
        <v>0</v>
      </c>
      <c r="BP60" s="136">
        <f t="shared" si="63"/>
        <v>0</v>
      </c>
      <c r="BQ60" s="136">
        <f t="shared" si="63"/>
        <v>0</v>
      </c>
      <c r="BR60" s="136">
        <f t="shared" si="63"/>
        <v>0</v>
      </c>
      <c r="BS60" s="136">
        <f t="shared" si="63"/>
        <v>0</v>
      </c>
      <c r="BT60" s="136">
        <f t="shared" si="63"/>
        <v>0</v>
      </c>
      <c r="BU60" s="136">
        <f t="shared" si="63"/>
        <v>0</v>
      </c>
      <c r="BV60" s="136">
        <f t="shared" si="64"/>
        <v>0</v>
      </c>
      <c r="BW60" s="136">
        <f t="shared" si="64"/>
        <v>0</v>
      </c>
      <c r="BX60" s="136">
        <f t="shared" si="64"/>
        <v>0</v>
      </c>
      <c r="BY60" s="136">
        <f t="shared" si="64"/>
        <v>0</v>
      </c>
      <c r="BZ60" s="136">
        <f t="shared" si="64"/>
        <v>0</v>
      </c>
      <c r="CA60" s="136">
        <f t="shared" si="64"/>
        <v>0</v>
      </c>
      <c r="CB60" s="136">
        <f t="shared" si="64"/>
        <v>0</v>
      </c>
      <c r="CC60" s="136">
        <f t="shared" si="64"/>
        <v>0</v>
      </c>
      <c r="CD60" s="136">
        <f t="shared" si="64"/>
        <v>0</v>
      </c>
      <c r="CE60" s="136">
        <f t="shared" si="64"/>
        <v>0</v>
      </c>
      <c r="CF60" s="136">
        <f t="shared" si="64"/>
        <v>0</v>
      </c>
      <c r="CG60" s="136">
        <f t="shared" si="64"/>
        <v>0</v>
      </c>
      <c r="CH60" s="136">
        <f t="shared" si="64"/>
        <v>0</v>
      </c>
      <c r="CI60" s="136">
        <f t="shared" si="64"/>
        <v>0</v>
      </c>
      <c r="CJ60" s="136">
        <f t="shared" si="64"/>
        <v>0</v>
      </c>
      <c r="CK60" s="136">
        <f t="shared" si="64"/>
        <v>0</v>
      </c>
      <c r="CL60" s="136">
        <f t="shared" si="64"/>
        <v>0</v>
      </c>
      <c r="CM60" s="136">
        <f t="shared" si="64"/>
        <v>0</v>
      </c>
      <c r="CN60" s="136">
        <f t="shared" si="64"/>
        <v>0</v>
      </c>
      <c r="CO60" s="136">
        <f t="shared" si="64"/>
        <v>0</v>
      </c>
      <c r="CP60" s="133" t="s">
        <v>15</v>
      </c>
    </row>
    <row r="61" spans="2:94" ht="15" customHeight="1" x14ac:dyDescent="0.2">
      <c r="B61" s="136">
        <f t="shared" ca="1" si="62"/>
        <v>-197955.79441323061</v>
      </c>
      <c r="D61" s="259" t="s">
        <v>199</v>
      </c>
      <c r="E61" s="269"/>
      <c r="F61" s="133" t="s">
        <v>201</v>
      </c>
      <c r="I61" s="136">
        <f>I41</f>
        <v>0</v>
      </c>
      <c r="J61" s="136">
        <f t="shared" ca="1" si="63"/>
        <v>0</v>
      </c>
      <c r="K61" s="136">
        <f t="shared" ca="1" si="63"/>
        <v>0</v>
      </c>
      <c r="L61" s="136">
        <f t="shared" ca="1" si="63"/>
        <v>0</v>
      </c>
      <c r="M61" s="136">
        <f t="shared" ca="1" si="63"/>
        <v>0</v>
      </c>
      <c r="N61" s="136">
        <f t="shared" ca="1" si="63"/>
        <v>0</v>
      </c>
      <c r="O61" s="136">
        <f t="shared" ca="1" si="63"/>
        <v>0</v>
      </c>
      <c r="P61" s="136">
        <f t="shared" ca="1" si="63"/>
        <v>0</v>
      </c>
      <c r="Q61" s="136">
        <f t="shared" ca="1" si="63"/>
        <v>0</v>
      </c>
      <c r="R61" s="136">
        <f t="shared" ca="1" si="63"/>
        <v>0</v>
      </c>
      <c r="S61" s="136">
        <f t="shared" ca="1" si="63"/>
        <v>0</v>
      </c>
      <c r="T61" s="136">
        <f t="shared" ca="1" si="63"/>
        <v>0</v>
      </c>
      <c r="U61" s="136">
        <f t="shared" ca="1" si="63"/>
        <v>0</v>
      </c>
      <c r="V61" s="136">
        <f t="shared" ca="1" si="63"/>
        <v>0</v>
      </c>
      <c r="W61" s="136">
        <f t="shared" ca="1" si="63"/>
        <v>0</v>
      </c>
      <c r="X61" s="136">
        <f t="shared" ca="1" si="63"/>
        <v>0</v>
      </c>
      <c r="Y61" s="136">
        <f t="shared" ca="1" si="63"/>
        <v>-1748.5123873063865</v>
      </c>
      <c r="Z61" s="136">
        <f t="shared" ca="1" si="63"/>
        <v>-6778.3886035924443</v>
      </c>
      <c r="AA61" s="136">
        <f t="shared" ca="1" si="63"/>
        <v>-11451.001930305723</v>
      </c>
      <c r="AB61" s="136">
        <f t="shared" ca="1" si="63"/>
        <v>-16895.021205716435</v>
      </c>
      <c r="AC61" s="136">
        <f t="shared" ca="1" si="63"/>
        <v>-21969.701774748974</v>
      </c>
      <c r="AD61" s="136">
        <f t="shared" ca="1" si="63"/>
        <v>-26339.262332730814</v>
      </c>
      <c r="AE61" s="136">
        <f t="shared" ca="1" si="63"/>
        <v>-33327.373751748426</v>
      </c>
      <c r="AF61" s="136">
        <f t="shared" ca="1" si="63"/>
        <v>-37792.705912185782</v>
      </c>
      <c r="AG61" s="136">
        <f t="shared" ca="1" si="63"/>
        <v>-41653.826514895642</v>
      </c>
      <c r="AH61" s="136">
        <f t="shared" ca="1" si="63"/>
        <v>0</v>
      </c>
      <c r="AI61" s="136">
        <f ca="1">AI41</f>
        <v>0</v>
      </c>
      <c r="AJ61" s="136">
        <f t="shared" ca="1" si="63"/>
        <v>0</v>
      </c>
      <c r="AK61" s="136">
        <f t="shared" ca="1" si="63"/>
        <v>0</v>
      </c>
      <c r="AL61" s="136">
        <f t="shared" ca="1" si="63"/>
        <v>0</v>
      </c>
      <c r="AM61" s="136">
        <f t="shared" ca="1" si="63"/>
        <v>0</v>
      </c>
      <c r="AN61" s="136">
        <f t="shared" ca="1" si="63"/>
        <v>0</v>
      </c>
      <c r="AO61" s="136">
        <f t="shared" ca="1" si="63"/>
        <v>0</v>
      </c>
      <c r="AP61" s="136">
        <f t="shared" ca="1" si="63"/>
        <v>0</v>
      </c>
      <c r="AQ61" s="136">
        <f t="shared" ca="1" si="63"/>
        <v>0</v>
      </c>
      <c r="AR61" s="136">
        <f t="shared" ca="1" si="63"/>
        <v>0</v>
      </c>
      <c r="AS61" s="136">
        <f t="shared" ca="1" si="63"/>
        <v>0</v>
      </c>
      <c r="AT61" s="136">
        <f t="shared" ca="1" si="63"/>
        <v>0</v>
      </c>
      <c r="AU61" s="136">
        <f t="shared" ca="1" si="63"/>
        <v>0</v>
      </c>
      <c r="AV61" s="136">
        <f t="shared" ca="1" si="63"/>
        <v>0</v>
      </c>
      <c r="AW61" s="136">
        <f t="shared" ca="1" si="63"/>
        <v>0</v>
      </c>
      <c r="AX61" s="136">
        <f t="shared" ca="1" si="63"/>
        <v>0</v>
      </c>
      <c r="AY61" s="136">
        <f t="shared" ca="1" si="63"/>
        <v>0</v>
      </c>
      <c r="AZ61" s="136">
        <f t="shared" ca="1" si="63"/>
        <v>0</v>
      </c>
      <c r="BA61" s="136">
        <f t="shared" ca="1" si="63"/>
        <v>0</v>
      </c>
      <c r="BB61" s="136">
        <f t="shared" ca="1" si="63"/>
        <v>0</v>
      </c>
      <c r="BC61" s="136">
        <f t="shared" ca="1" si="63"/>
        <v>0</v>
      </c>
      <c r="BD61" s="136">
        <f t="shared" ca="1" si="63"/>
        <v>0</v>
      </c>
      <c r="BE61" s="136">
        <f t="shared" ca="1" si="63"/>
        <v>0</v>
      </c>
      <c r="BF61" s="136">
        <f t="shared" ca="1" si="63"/>
        <v>0</v>
      </c>
      <c r="BG61" s="136">
        <f t="shared" ca="1" si="63"/>
        <v>0</v>
      </c>
      <c r="BH61" s="136">
        <f t="shared" ca="1" si="63"/>
        <v>0</v>
      </c>
      <c r="BI61" s="136">
        <f t="shared" ca="1" si="63"/>
        <v>0</v>
      </c>
      <c r="BJ61" s="136">
        <f t="shared" ca="1" si="63"/>
        <v>0</v>
      </c>
      <c r="BK61" s="136">
        <f t="shared" ca="1" si="63"/>
        <v>0</v>
      </c>
      <c r="BL61" s="136">
        <f t="shared" ca="1" si="63"/>
        <v>0</v>
      </c>
      <c r="BM61" s="136">
        <f t="shared" ca="1" si="63"/>
        <v>0</v>
      </c>
      <c r="BN61" s="136">
        <f t="shared" ca="1" si="63"/>
        <v>0</v>
      </c>
      <c r="BO61" s="136">
        <f t="shared" ca="1" si="63"/>
        <v>0</v>
      </c>
      <c r="BP61" s="136">
        <f t="shared" ca="1" si="63"/>
        <v>0</v>
      </c>
      <c r="BQ61" s="136">
        <f t="shared" ca="1" si="63"/>
        <v>0</v>
      </c>
      <c r="BR61" s="136">
        <f t="shared" ca="1" si="63"/>
        <v>0</v>
      </c>
      <c r="BS61" s="136">
        <f t="shared" ca="1" si="63"/>
        <v>0</v>
      </c>
      <c r="BT61" s="136">
        <f t="shared" ca="1" si="63"/>
        <v>0</v>
      </c>
      <c r="BU61" s="136">
        <f t="shared" ca="1" si="63"/>
        <v>0</v>
      </c>
      <c r="BV61" s="136">
        <f t="shared" ca="1" si="64"/>
        <v>0</v>
      </c>
      <c r="BW61" s="136">
        <f t="shared" ca="1" si="64"/>
        <v>0</v>
      </c>
      <c r="BX61" s="136">
        <f t="shared" ca="1" si="64"/>
        <v>0</v>
      </c>
      <c r="BY61" s="136">
        <f t="shared" ca="1" si="64"/>
        <v>0</v>
      </c>
      <c r="BZ61" s="136">
        <f t="shared" ca="1" si="64"/>
        <v>0</v>
      </c>
      <c r="CA61" s="136">
        <f t="shared" ca="1" si="64"/>
        <v>0</v>
      </c>
      <c r="CB61" s="136">
        <f t="shared" ca="1" si="64"/>
        <v>0</v>
      </c>
      <c r="CC61" s="136">
        <f t="shared" ca="1" si="64"/>
        <v>0</v>
      </c>
      <c r="CD61" s="136">
        <f t="shared" ca="1" si="64"/>
        <v>0</v>
      </c>
      <c r="CE61" s="136">
        <f t="shared" ca="1" si="64"/>
        <v>0</v>
      </c>
      <c r="CF61" s="136">
        <f t="shared" ca="1" si="64"/>
        <v>0</v>
      </c>
      <c r="CG61" s="136">
        <f t="shared" ca="1" si="64"/>
        <v>0</v>
      </c>
      <c r="CH61" s="136">
        <f t="shared" ca="1" si="64"/>
        <v>0</v>
      </c>
      <c r="CI61" s="136">
        <f t="shared" ca="1" si="64"/>
        <v>0</v>
      </c>
      <c r="CJ61" s="136">
        <f t="shared" ca="1" si="64"/>
        <v>0</v>
      </c>
      <c r="CK61" s="136">
        <f t="shared" ca="1" si="64"/>
        <v>0</v>
      </c>
      <c r="CL61" s="136">
        <f t="shared" ca="1" si="64"/>
        <v>0</v>
      </c>
      <c r="CM61" s="136">
        <f t="shared" ca="1" si="64"/>
        <v>0</v>
      </c>
      <c r="CN61" s="136">
        <f t="shared" ca="1" si="64"/>
        <v>0</v>
      </c>
      <c r="CO61" s="136">
        <f t="shared" ca="1" si="64"/>
        <v>0</v>
      </c>
      <c r="CP61" s="133" t="s">
        <v>15</v>
      </c>
    </row>
    <row r="62" spans="2:94" ht="15" customHeight="1" x14ac:dyDescent="0.2">
      <c r="B62" s="136">
        <f t="shared" si="62"/>
        <v>12145153</v>
      </c>
      <c r="D62" s="259" t="s">
        <v>194</v>
      </c>
      <c r="E62" s="269"/>
      <c r="F62" s="133" t="s">
        <v>214</v>
      </c>
      <c r="I62" s="136">
        <f t="shared" ref="I62:AN62" si="65">I76</f>
        <v>8175223.9014285719</v>
      </c>
      <c r="J62" s="136">
        <f t="shared" si="65"/>
        <v>311434.77285714279</v>
      </c>
      <c r="K62" s="136">
        <f t="shared" si="65"/>
        <v>311434.77285714279</v>
      </c>
      <c r="L62" s="136">
        <f t="shared" si="65"/>
        <v>334774.57285714283</v>
      </c>
      <c r="M62" s="136">
        <f t="shared" si="65"/>
        <v>317269.7228571428</v>
      </c>
      <c r="N62" s="136">
        <f t="shared" si="65"/>
        <v>268256.14285714284</v>
      </c>
      <c r="O62" s="136">
        <f t="shared" si="65"/>
        <v>455644.58496240602</v>
      </c>
      <c r="P62" s="136">
        <f t="shared" si="65"/>
        <v>697211.51496240601</v>
      </c>
      <c r="Q62" s="136">
        <f t="shared" si="65"/>
        <v>697211.51496240601</v>
      </c>
      <c r="R62" s="136">
        <f t="shared" si="65"/>
        <v>576691.49939849414</v>
      </c>
      <c r="S62" s="136">
        <f t="shared" si="65"/>
        <v>0</v>
      </c>
      <c r="T62" s="136">
        <f t="shared" si="65"/>
        <v>0</v>
      </c>
      <c r="U62" s="136">
        <f t="shared" si="65"/>
        <v>0</v>
      </c>
      <c r="V62" s="136">
        <f t="shared" si="65"/>
        <v>0</v>
      </c>
      <c r="W62" s="136">
        <f t="shared" si="65"/>
        <v>0</v>
      </c>
      <c r="X62" s="136">
        <f t="shared" si="65"/>
        <v>0</v>
      </c>
      <c r="Y62" s="136">
        <f t="shared" si="65"/>
        <v>0</v>
      </c>
      <c r="Z62" s="136">
        <f t="shared" si="65"/>
        <v>0</v>
      </c>
      <c r="AA62" s="136">
        <f t="shared" si="65"/>
        <v>0</v>
      </c>
      <c r="AB62" s="136">
        <f t="shared" si="65"/>
        <v>0</v>
      </c>
      <c r="AC62" s="136">
        <f t="shared" si="65"/>
        <v>0</v>
      </c>
      <c r="AD62" s="136">
        <f t="shared" si="65"/>
        <v>0</v>
      </c>
      <c r="AE62" s="136">
        <f t="shared" si="65"/>
        <v>0</v>
      </c>
      <c r="AF62" s="136">
        <f t="shared" si="65"/>
        <v>0</v>
      </c>
      <c r="AG62" s="136">
        <f t="shared" si="65"/>
        <v>0</v>
      </c>
      <c r="AH62" s="136">
        <f t="shared" si="65"/>
        <v>0</v>
      </c>
      <c r="AI62" s="136">
        <f t="shared" si="65"/>
        <v>0</v>
      </c>
      <c r="AJ62" s="136">
        <f t="shared" si="65"/>
        <v>0</v>
      </c>
      <c r="AK62" s="136">
        <f t="shared" si="65"/>
        <v>0</v>
      </c>
      <c r="AL62" s="136">
        <f t="shared" si="65"/>
        <v>0</v>
      </c>
      <c r="AM62" s="136">
        <f t="shared" si="65"/>
        <v>0</v>
      </c>
      <c r="AN62" s="136">
        <f t="shared" si="65"/>
        <v>0</v>
      </c>
      <c r="AO62" s="136">
        <f t="shared" ref="AO62:BT62" si="66">AO76</f>
        <v>0</v>
      </c>
      <c r="AP62" s="136">
        <f t="shared" si="66"/>
        <v>0</v>
      </c>
      <c r="AQ62" s="136">
        <f t="shared" si="66"/>
        <v>0</v>
      </c>
      <c r="AR62" s="136">
        <f t="shared" si="66"/>
        <v>0</v>
      </c>
      <c r="AS62" s="136">
        <f t="shared" si="66"/>
        <v>0</v>
      </c>
      <c r="AT62" s="136">
        <f t="shared" si="66"/>
        <v>0</v>
      </c>
      <c r="AU62" s="136">
        <f t="shared" si="66"/>
        <v>0</v>
      </c>
      <c r="AV62" s="136">
        <f t="shared" si="66"/>
        <v>0</v>
      </c>
      <c r="AW62" s="136">
        <f t="shared" si="66"/>
        <v>0</v>
      </c>
      <c r="AX62" s="136">
        <f t="shared" si="66"/>
        <v>0</v>
      </c>
      <c r="AY62" s="136">
        <f t="shared" si="66"/>
        <v>0</v>
      </c>
      <c r="AZ62" s="136">
        <f t="shared" si="66"/>
        <v>0</v>
      </c>
      <c r="BA62" s="136">
        <f t="shared" si="66"/>
        <v>0</v>
      </c>
      <c r="BB62" s="136">
        <f t="shared" si="66"/>
        <v>0</v>
      </c>
      <c r="BC62" s="136">
        <f t="shared" si="66"/>
        <v>0</v>
      </c>
      <c r="BD62" s="136">
        <f t="shared" si="66"/>
        <v>0</v>
      </c>
      <c r="BE62" s="136">
        <f t="shared" si="66"/>
        <v>0</v>
      </c>
      <c r="BF62" s="136">
        <f t="shared" si="66"/>
        <v>0</v>
      </c>
      <c r="BG62" s="136">
        <f t="shared" si="66"/>
        <v>0</v>
      </c>
      <c r="BH62" s="136">
        <f t="shared" si="66"/>
        <v>0</v>
      </c>
      <c r="BI62" s="136">
        <f t="shared" si="66"/>
        <v>0</v>
      </c>
      <c r="BJ62" s="136">
        <f t="shared" si="66"/>
        <v>0</v>
      </c>
      <c r="BK62" s="136">
        <f t="shared" si="66"/>
        <v>0</v>
      </c>
      <c r="BL62" s="136">
        <f t="shared" si="66"/>
        <v>0</v>
      </c>
      <c r="BM62" s="136">
        <f t="shared" si="66"/>
        <v>0</v>
      </c>
      <c r="BN62" s="136">
        <f t="shared" si="66"/>
        <v>0</v>
      </c>
      <c r="BO62" s="136">
        <f t="shared" si="66"/>
        <v>0</v>
      </c>
      <c r="BP62" s="136">
        <f t="shared" si="66"/>
        <v>0</v>
      </c>
      <c r="BQ62" s="136">
        <f t="shared" si="66"/>
        <v>0</v>
      </c>
      <c r="BR62" s="136">
        <f t="shared" si="66"/>
        <v>0</v>
      </c>
      <c r="BS62" s="136">
        <f t="shared" si="66"/>
        <v>0</v>
      </c>
      <c r="BT62" s="136">
        <f t="shared" si="66"/>
        <v>0</v>
      </c>
      <c r="BU62" s="136">
        <f t="shared" ref="BU62:CO62" si="67">BU76</f>
        <v>0</v>
      </c>
      <c r="BV62" s="136">
        <f t="shared" si="67"/>
        <v>0</v>
      </c>
      <c r="BW62" s="136">
        <f t="shared" si="67"/>
        <v>0</v>
      </c>
      <c r="BX62" s="136">
        <f t="shared" si="67"/>
        <v>0</v>
      </c>
      <c r="BY62" s="136">
        <f t="shared" si="67"/>
        <v>0</v>
      </c>
      <c r="BZ62" s="136">
        <f t="shared" si="67"/>
        <v>0</v>
      </c>
      <c r="CA62" s="136">
        <f t="shared" si="67"/>
        <v>0</v>
      </c>
      <c r="CB62" s="136">
        <f t="shared" si="67"/>
        <v>0</v>
      </c>
      <c r="CC62" s="136">
        <f t="shared" si="67"/>
        <v>0</v>
      </c>
      <c r="CD62" s="136">
        <f t="shared" si="67"/>
        <v>0</v>
      </c>
      <c r="CE62" s="136">
        <f t="shared" si="67"/>
        <v>0</v>
      </c>
      <c r="CF62" s="136">
        <f t="shared" si="67"/>
        <v>0</v>
      </c>
      <c r="CG62" s="136">
        <f t="shared" si="67"/>
        <v>0</v>
      </c>
      <c r="CH62" s="136">
        <f t="shared" si="67"/>
        <v>0</v>
      </c>
      <c r="CI62" s="136">
        <f t="shared" si="67"/>
        <v>0</v>
      </c>
      <c r="CJ62" s="136">
        <f t="shared" si="67"/>
        <v>0</v>
      </c>
      <c r="CK62" s="136">
        <f t="shared" si="67"/>
        <v>0</v>
      </c>
      <c r="CL62" s="136">
        <f t="shared" si="67"/>
        <v>0</v>
      </c>
      <c r="CM62" s="136">
        <f t="shared" si="67"/>
        <v>0</v>
      </c>
      <c r="CN62" s="136">
        <f t="shared" si="67"/>
        <v>0</v>
      </c>
      <c r="CO62" s="136">
        <f t="shared" si="67"/>
        <v>0</v>
      </c>
      <c r="CP62" s="133" t="s">
        <v>15</v>
      </c>
    </row>
    <row r="63" spans="2:94" ht="15" customHeight="1" x14ac:dyDescent="0.2">
      <c r="B63" s="136">
        <f t="shared" si="62"/>
        <v>5000000</v>
      </c>
      <c r="D63" s="259" t="s">
        <v>194</v>
      </c>
      <c r="E63" s="269"/>
      <c r="F63" s="133" t="s">
        <v>202</v>
      </c>
      <c r="I63" s="136">
        <f>I42</f>
        <v>0</v>
      </c>
      <c r="J63" s="136">
        <f t="shared" ref="J63:BU64" si="68">J42</f>
        <v>0</v>
      </c>
      <c r="K63" s="136">
        <f t="shared" si="68"/>
        <v>0</v>
      </c>
      <c r="L63" s="136">
        <f t="shared" si="68"/>
        <v>0</v>
      </c>
      <c r="M63" s="136">
        <f t="shared" si="68"/>
        <v>0</v>
      </c>
      <c r="N63" s="136">
        <f t="shared" si="68"/>
        <v>0</v>
      </c>
      <c r="O63" s="136">
        <f t="shared" si="68"/>
        <v>0</v>
      </c>
      <c r="P63" s="136">
        <f t="shared" si="68"/>
        <v>0</v>
      </c>
      <c r="Q63" s="136">
        <f t="shared" si="68"/>
        <v>0</v>
      </c>
      <c r="R63" s="136">
        <f t="shared" si="68"/>
        <v>120520.01556391187</v>
      </c>
      <c r="S63" s="136">
        <f t="shared" si="68"/>
        <v>697211.51496240601</v>
      </c>
      <c r="T63" s="136">
        <f t="shared" si="68"/>
        <v>697211.51496240601</v>
      </c>
      <c r="U63" s="136">
        <f t="shared" si="68"/>
        <v>697211.51496240601</v>
      </c>
      <c r="V63" s="136">
        <f t="shared" si="68"/>
        <v>1075316.2749624059</v>
      </c>
      <c r="W63" s="136">
        <f t="shared" si="68"/>
        <v>1192015.2749624061</v>
      </c>
      <c r="X63" s="136">
        <f t="shared" si="68"/>
        <v>520513.88962405734</v>
      </c>
      <c r="Y63" s="136">
        <f t="shared" si="68"/>
        <v>0</v>
      </c>
      <c r="Z63" s="136">
        <f t="shared" si="68"/>
        <v>0</v>
      </c>
      <c r="AA63" s="136">
        <f t="shared" si="68"/>
        <v>0</v>
      </c>
      <c r="AB63" s="136">
        <f t="shared" si="68"/>
        <v>0</v>
      </c>
      <c r="AC63" s="136">
        <f t="shared" si="68"/>
        <v>0</v>
      </c>
      <c r="AD63" s="136">
        <f t="shared" si="68"/>
        <v>0</v>
      </c>
      <c r="AE63" s="136">
        <f t="shared" si="68"/>
        <v>0</v>
      </c>
      <c r="AF63" s="136">
        <f t="shared" si="68"/>
        <v>0</v>
      </c>
      <c r="AG63" s="136">
        <f t="shared" si="68"/>
        <v>0</v>
      </c>
      <c r="AH63" s="136">
        <f t="shared" si="68"/>
        <v>0</v>
      </c>
      <c r="AI63" s="136">
        <f t="shared" si="68"/>
        <v>0</v>
      </c>
      <c r="AJ63" s="136">
        <f t="shared" si="68"/>
        <v>0</v>
      </c>
      <c r="AK63" s="136">
        <f t="shared" si="68"/>
        <v>0</v>
      </c>
      <c r="AL63" s="136">
        <f t="shared" si="68"/>
        <v>0</v>
      </c>
      <c r="AM63" s="136">
        <f t="shared" si="68"/>
        <v>0</v>
      </c>
      <c r="AN63" s="136">
        <f t="shared" si="68"/>
        <v>0</v>
      </c>
      <c r="AO63" s="136">
        <f t="shared" si="68"/>
        <v>0</v>
      </c>
      <c r="AP63" s="136">
        <f t="shared" si="68"/>
        <v>0</v>
      </c>
      <c r="AQ63" s="136">
        <f t="shared" si="68"/>
        <v>0</v>
      </c>
      <c r="AR63" s="136">
        <f t="shared" si="68"/>
        <v>0</v>
      </c>
      <c r="AS63" s="136">
        <f t="shared" si="68"/>
        <v>0</v>
      </c>
      <c r="AT63" s="136">
        <f t="shared" si="68"/>
        <v>0</v>
      </c>
      <c r="AU63" s="136">
        <f t="shared" si="68"/>
        <v>0</v>
      </c>
      <c r="AV63" s="136">
        <f t="shared" si="68"/>
        <v>0</v>
      </c>
      <c r="AW63" s="136">
        <f t="shared" si="68"/>
        <v>0</v>
      </c>
      <c r="AX63" s="136">
        <f t="shared" si="68"/>
        <v>0</v>
      </c>
      <c r="AY63" s="136">
        <f t="shared" si="68"/>
        <v>0</v>
      </c>
      <c r="AZ63" s="136">
        <f t="shared" si="68"/>
        <v>0</v>
      </c>
      <c r="BA63" s="136">
        <f t="shared" si="68"/>
        <v>0</v>
      </c>
      <c r="BB63" s="136">
        <f t="shared" si="68"/>
        <v>0</v>
      </c>
      <c r="BC63" s="136">
        <f t="shared" si="68"/>
        <v>0</v>
      </c>
      <c r="BD63" s="136">
        <f t="shared" si="68"/>
        <v>0</v>
      </c>
      <c r="BE63" s="136">
        <f t="shared" si="68"/>
        <v>0</v>
      </c>
      <c r="BF63" s="136">
        <f t="shared" si="68"/>
        <v>0</v>
      </c>
      <c r="BG63" s="136">
        <f t="shared" si="68"/>
        <v>0</v>
      </c>
      <c r="BH63" s="136">
        <f t="shared" si="68"/>
        <v>0</v>
      </c>
      <c r="BI63" s="136">
        <f t="shared" si="68"/>
        <v>0</v>
      </c>
      <c r="BJ63" s="136">
        <f t="shared" si="68"/>
        <v>0</v>
      </c>
      <c r="BK63" s="136">
        <f t="shared" si="68"/>
        <v>0</v>
      </c>
      <c r="BL63" s="136">
        <f t="shared" si="68"/>
        <v>0</v>
      </c>
      <c r="BM63" s="136">
        <f t="shared" si="68"/>
        <v>0</v>
      </c>
      <c r="BN63" s="136">
        <f t="shared" si="68"/>
        <v>0</v>
      </c>
      <c r="BO63" s="136">
        <f t="shared" si="68"/>
        <v>0</v>
      </c>
      <c r="BP63" s="136">
        <f t="shared" si="68"/>
        <v>0</v>
      </c>
      <c r="BQ63" s="136">
        <f t="shared" si="68"/>
        <v>0</v>
      </c>
      <c r="BR63" s="136">
        <f t="shared" si="68"/>
        <v>0</v>
      </c>
      <c r="BS63" s="136">
        <f t="shared" si="68"/>
        <v>0</v>
      </c>
      <c r="BT63" s="136">
        <f t="shared" si="68"/>
        <v>0</v>
      </c>
      <c r="BU63" s="136">
        <f t="shared" si="68"/>
        <v>0</v>
      </c>
      <c r="BV63" s="136">
        <f t="shared" ref="BV63:CO64" si="69">BV42</f>
        <v>0</v>
      </c>
      <c r="BW63" s="136">
        <f t="shared" si="69"/>
        <v>0</v>
      </c>
      <c r="BX63" s="136">
        <f t="shared" si="69"/>
        <v>0</v>
      </c>
      <c r="BY63" s="136">
        <f t="shared" si="69"/>
        <v>0</v>
      </c>
      <c r="BZ63" s="136">
        <f t="shared" si="69"/>
        <v>0</v>
      </c>
      <c r="CA63" s="136">
        <f t="shared" si="69"/>
        <v>0</v>
      </c>
      <c r="CB63" s="136">
        <f t="shared" si="69"/>
        <v>0</v>
      </c>
      <c r="CC63" s="136">
        <f t="shared" si="69"/>
        <v>0</v>
      </c>
      <c r="CD63" s="136">
        <f t="shared" si="69"/>
        <v>0</v>
      </c>
      <c r="CE63" s="136">
        <f t="shared" si="69"/>
        <v>0</v>
      </c>
      <c r="CF63" s="136">
        <f t="shared" si="69"/>
        <v>0</v>
      </c>
      <c r="CG63" s="136">
        <f t="shared" si="69"/>
        <v>0</v>
      </c>
      <c r="CH63" s="136">
        <f t="shared" si="69"/>
        <v>0</v>
      </c>
      <c r="CI63" s="136">
        <f t="shared" si="69"/>
        <v>0</v>
      </c>
      <c r="CJ63" s="136">
        <f t="shared" si="69"/>
        <v>0</v>
      </c>
      <c r="CK63" s="136">
        <f t="shared" si="69"/>
        <v>0</v>
      </c>
      <c r="CL63" s="136">
        <f t="shared" si="69"/>
        <v>0</v>
      </c>
      <c r="CM63" s="136">
        <f t="shared" si="69"/>
        <v>0</v>
      </c>
      <c r="CN63" s="136">
        <f t="shared" si="69"/>
        <v>0</v>
      </c>
      <c r="CO63" s="136">
        <f t="shared" si="69"/>
        <v>0</v>
      </c>
      <c r="CP63" s="133" t="s">
        <v>15</v>
      </c>
    </row>
    <row r="64" spans="2:94" ht="15" customHeight="1" x14ac:dyDescent="0.2">
      <c r="B64" s="136">
        <f t="shared" ca="1" si="62"/>
        <v>11697955.794413235</v>
      </c>
      <c r="D64" s="259" t="s">
        <v>194</v>
      </c>
      <c r="E64" s="269"/>
      <c r="F64" s="133" t="s">
        <v>203</v>
      </c>
      <c r="I64" s="136">
        <f>I43</f>
        <v>0</v>
      </c>
      <c r="J64" s="136">
        <f t="shared" ca="1" si="68"/>
        <v>0</v>
      </c>
      <c r="K64" s="136">
        <f t="shared" ca="1" si="68"/>
        <v>0</v>
      </c>
      <c r="L64" s="136">
        <f t="shared" ca="1" si="68"/>
        <v>0</v>
      </c>
      <c r="M64" s="136">
        <f t="shared" ca="1" si="68"/>
        <v>0</v>
      </c>
      <c r="N64" s="136">
        <f t="shared" ca="1" si="68"/>
        <v>0</v>
      </c>
      <c r="O64" s="136">
        <f t="shared" ca="1" si="68"/>
        <v>0</v>
      </c>
      <c r="P64" s="136">
        <f t="shared" ca="1" si="68"/>
        <v>0</v>
      </c>
      <c r="Q64" s="136">
        <f t="shared" ca="1" si="68"/>
        <v>0</v>
      </c>
      <c r="R64" s="136">
        <f t="shared" ca="1" si="68"/>
        <v>0</v>
      </c>
      <c r="S64" s="136">
        <f t="shared" ca="1" si="68"/>
        <v>0</v>
      </c>
      <c r="T64" s="136">
        <f t="shared" ca="1" si="68"/>
        <v>0</v>
      </c>
      <c r="U64" s="136">
        <f t="shared" ca="1" si="68"/>
        <v>0</v>
      </c>
      <c r="V64" s="136">
        <f t="shared" ca="1" si="68"/>
        <v>0</v>
      </c>
      <c r="W64" s="136">
        <f t="shared" ca="1" si="68"/>
        <v>0</v>
      </c>
      <c r="X64" s="136">
        <f t="shared" ca="1" si="68"/>
        <v>449773.28533834871</v>
      </c>
      <c r="Y64" s="136">
        <f t="shared" ca="1" si="68"/>
        <v>1240443.3873497124</v>
      </c>
      <c r="Z64" s="136">
        <f t="shared" ca="1" si="68"/>
        <v>1265948.6335659986</v>
      </c>
      <c r="AA64" s="136">
        <f t="shared" ca="1" si="68"/>
        <v>1270621.2468927118</v>
      </c>
      <c r="AB64" s="136">
        <f t="shared" ca="1" si="68"/>
        <v>1276065.2661681226</v>
      </c>
      <c r="AC64" s="136">
        <f t="shared" ca="1" si="68"/>
        <v>1313815.6667371551</v>
      </c>
      <c r="AD64" s="136">
        <f t="shared" ca="1" si="68"/>
        <v>1518695.3272951371</v>
      </c>
      <c r="AE64" s="136">
        <f t="shared" ca="1" si="68"/>
        <v>1415349.8387141544</v>
      </c>
      <c r="AF64" s="136">
        <f t="shared" ca="1" si="68"/>
        <v>621594.01087459177</v>
      </c>
      <c r="AG64" s="136">
        <f t="shared" ca="1" si="68"/>
        <v>1325649.1314773017</v>
      </c>
      <c r="AH64" s="136">
        <f t="shared" ca="1" si="68"/>
        <v>0</v>
      </c>
      <c r="AI64" s="136">
        <f t="shared" ca="1" si="68"/>
        <v>0</v>
      </c>
      <c r="AJ64" s="136">
        <f t="shared" ca="1" si="68"/>
        <v>0</v>
      </c>
      <c r="AK64" s="136">
        <f t="shared" ca="1" si="68"/>
        <v>0</v>
      </c>
      <c r="AL64" s="136">
        <f t="shared" ca="1" si="68"/>
        <v>0</v>
      </c>
      <c r="AM64" s="136">
        <f t="shared" ca="1" si="68"/>
        <v>0</v>
      </c>
      <c r="AN64" s="136">
        <f t="shared" ca="1" si="68"/>
        <v>0</v>
      </c>
      <c r="AO64" s="136">
        <f t="shared" ca="1" si="68"/>
        <v>0</v>
      </c>
      <c r="AP64" s="136">
        <f t="shared" ca="1" si="68"/>
        <v>0</v>
      </c>
      <c r="AQ64" s="136">
        <f t="shared" ca="1" si="68"/>
        <v>0</v>
      </c>
      <c r="AR64" s="136">
        <f t="shared" ca="1" si="68"/>
        <v>0</v>
      </c>
      <c r="AS64" s="136">
        <f t="shared" ca="1" si="68"/>
        <v>0</v>
      </c>
      <c r="AT64" s="136">
        <f t="shared" ca="1" si="68"/>
        <v>0</v>
      </c>
      <c r="AU64" s="136">
        <f t="shared" ca="1" si="68"/>
        <v>0</v>
      </c>
      <c r="AV64" s="136">
        <f t="shared" ca="1" si="68"/>
        <v>0</v>
      </c>
      <c r="AW64" s="136">
        <f t="shared" ca="1" si="68"/>
        <v>0</v>
      </c>
      <c r="AX64" s="136">
        <f t="shared" ca="1" si="68"/>
        <v>0</v>
      </c>
      <c r="AY64" s="136">
        <f t="shared" ca="1" si="68"/>
        <v>0</v>
      </c>
      <c r="AZ64" s="136">
        <f t="shared" ca="1" si="68"/>
        <v>0</v>
      </c>
      <c r="BA64" s="136">
        <f t="shared" ca="1" si="68"/>
        <v>0</v>
      </c>
      <c r="BB64" s="136">
        <f t="shared" ca="1" si="68"/>
        <v>0</v>
      </c>
      <c r="BC64" s="136">
        <f t="shared" ca="1" si="68"/>
        <v>0</v>
      </c>
      <c r="BD64" s="136">
        <f t="shared" ca="1" si="68"/>
        <v>0</v>
      </c>
      <c r="BE64" s="136">
        <f t="shared" ca="1" si="68"/>
        <v>0</v>
      </c>
      <c r="BF64" s="136">
        <f t="shared" ca="1" si="68"/>
        <v>0</v>
      </c>
      <c r="BG64" s="136">
        <f t="shared" ca="1" si="68"/>
        <v>0</v>
      </c>
      <c r="BH64" s="136">
        <f t="shared" ca="1" si="68"/>
        <v>0</v>
      </c>
      <c r="BI64" s="136">
        <f t="shared" ca="1" si="68"/>
        <v>0</v>
      </c>
      <c r="BJ64" s="136">
        <f t="shared" ca="1" si="68"/>
        <v>0</v>
      </c>
      <c r="BK64" s="136">
        <f t="shared" ca="1" si="68"/>
        <v>0</v>
      </c>
      <c r="BL64" s="136">
        <f t="shared" ca="1" si="68"/>
        <v>0</v>
      </c>
      <c r="BM64" s="136">
        <f t="shared" ca="1" si="68"/>
        <v>0</v>
      </c>
      <c r="BN64" s="136">
        <f t="shared" ca="1" si="68"/>
        <v>0</v>
      </c>
      <c r="BO64" s="136">
        <f t="shared" ca="1" si="68"/>
        <v>0</v>
      </c>
      <c r="BP64" s="136">
        <f t="shared" ca="1" si="68"/>
        <v>0</v>
      </c>
      <c r="BQ64" s="136">
        <f t="shared" ca="1" si="68"/>
        <v>0</v>
      </c>
      <c r="BR64" s="136">
        <f t="shared" ca="1" si="68"/>
        <v>0</v>
      </c>
      <c r="BS64" s="136">
        <f t="shared" ca="1" si="68"/>
        <v>0</v>
      </c>
      <c r="BT64" s="136">
        <f t="shared" ca="1" si="68"/>
        <v>0</v>
      </c>
      <c r="BU64" s="136">
        <f t="shared" ca="1" si="68"/>
        <v>0</v>
      </c>
      <c r="BV64" s="136">
        <f t="shared" ca="1" si="69"/>
        <v>0</v>
      </c>
      <c r="BW64" s="136">
        <f t="shared" ca="1" si="69"/>
        <v>0</v>
      </c>
      <c r="BX64" s="136">
        <f t="shared" ca="1" si="69"/>
        <v>0</v>
      </c>
      <c r="BY64" s="136">
        <f t="shared" ca="1" si="69"/>
        <v>0</v>
      </c>
      <c r="BZ64" s="136">
        <f t="shared" ca="1" si="69"/>
        <v>0</v>
      </c>
      <c r="CA64" s="136">
        <f t="shared" ca="1" si="69"/>
        <v>0</v>
      </c>
      <c r="CB64" s="136">
        <f t="shared" ca="1" si="69"/>
        <v>0</v>
      </c>
      <c r="CC64" s="136">
        <f t="shared" ca="1" si="69"/>
        <v>0</v>
      </c>
      <c r="CD64" s="136">
        <f t="shared" ca="1" si="69"/>
        <v>0</v>
      </c>
      <c r="CE64" s="136">
        <f t="shared" ca="1" si="69"/>
        <v>0</v>
      </c>
      <c r="CF64" s="136">
        <f t="shared" ca="1" si="69"/>
        <v>0</v>
      </c>
      <c r="CG64" s="136">
        <f t="shared" ca="1" si="69"/>
        <v>0</v>
      </c>
      <c r="CH64" s="136">
        <f t="shared" ca="1" si="69"/>
        <v>0</v>
      </c>
      <c r="CI64" s="136">
        <f t="shared" ca="1" si="69"/>
        <v>0</v>
      </c>
      <c r="CJ64" s="136">
        <f t="shared" ca="1" si="69"/>
        <v>0</v>
      </c>
      <c r="CK64" s="136">
        <f t="shared" ca="1" si="69"/>
        <v>0</v>
      </c>
      <c r="CL64" s="136">
        <f t="shared" ca="1" si="69"/>
        <v>0</v>
      </c>
      <c r="CM64" s="136">
        <f t="shared" ca="1" si="69"/>
        <v>0</v>
      </c>
      <c r="CN64" s="136">
        <f t="shared" ca="1" si="69"/>
        <v>0</v>
      </c>
      <c r="CO64" s="136">
        <f t="shared" ca="1" si="69"/>
        <v>0</v>
      </c>
      <c r="CP64" s="133" t="s">
        <v>15</v>
      </c>
    </row>
    <row r="65" spans="2:94" ht="15" customHeight="1" x14ac:dyDescent="0.2">
      <c r="D65" s="259"/>
      <c r="E65" s="269"/>
      <c r="F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row>
    <row r="66" spans="2:94" ht="15" x14ac:dyDescent="0.25">
      <c r="B66" s="136">
        <f ca="1">SUM(I66:CO66)</f>
        <v>0</v>
      </c>
      <c r="C66" s="133" t="s">
        <v>215</v>
      </c>
      <c r="D66" s="259"/>
      <c r="E66" s="269"/>
      <c r="F66" s="146" t="s">
        <v>216</v>
      </c>
      <c r="I66" s="136" t="str">
        <f>IF(SUM(I59:I64)=0, "-", "ERROR")</f>
        <v>-</v>
      </c>
      <c r="J66" s="136" t="str">
        <f t="shared" ref="J66:BU66" ca="1" si="70">IF(SUM(J59:J64)=0, "-", "ERROR")</f>
        <v>-</v>
      </c>
      <c r="K66" s="136" t="str">
        <f t="shared" ca="1" si="70"/>
        <v>-</v>
      </c>
      <c r="L66" s="136" t="str">
        <f t="shared" ca="1" si="70"/>
        <v>-</v>
      </c>
      <c r="M66" s="136" t="str">
        <f t="shared" ca="1" si="70"/>
        <v>-</v>
      </c>
      <c r="N66" s="136" t="str">
        <f t="shared" ca="1" si="70"/>
        <v>-</v>
      </c>
      <c r="O66" s="136" t="str">
        <f t="shared" ca="1" si="70"/>
        <v>-</v>
      </c>
      <c r="P66" s="136" t="str">
        <f t="shared" ca="1" si="70"/>
        <v>-</v>
      </c>
      <c r="Q66" s="136" t="str">
        <f t="shared" ca="1" si="70"/>
        <v>-</v>
      </c>
      <c r="R66" s="136" t="str">
        <f t="shared" ca="1" si="70"/>
        <v>-</v>
      </c>
      <c r="S66" s="136" t="str">
        <f t="shared" ca="1" si="70"/>
        <v>-</v>
      </c>
      <c r="T66" s="136" t="str">
        <f t="shared" ca="1" si="70"/>
        <v>-</v>
      </c>
      <c r="U66" s="136" t="str">
        <f t="shared" ca="1" si="70"/>
        <v>-</v>
      </c>
      <c r="V66" s="136" t="str">
        <f t="shared" ca="1" si="70"/>
        <v>-</v>
      </c>
      <c r="W66" s="136" t="str">
        <f t="shared" ca="1" si="70"/>
        <v>-</v>
      </c>
      <c r="X66" s="136" t="str">
        <f t="shared" ca="1" si="70"/>
        <v>-</v>
      </c>
      <c r="Y66" s="136" t="str">
        <f t="shared" ca="1" si="70"/>
        <v>-</v>
      </c>
      <c r="Z66" s="136" t="str">
        <f t="shared" ca="1" si="70"/>
        <v>-</v>
      </c>
      <c r="AA66" s="136" t="str">
        <f t="shared" ca="1" si="70"/>
        <v>-</v>
      </c>
      <c r="AB66" s="136" t="str">
        <f t="shared" ca="1" si="70"/>
        <v>-</v>
      </c>
      <c r="AC66" s="136" t="str">
        <f t="shared" ca="1" si="70"/>
        <v>-</v>
      </c>
      <c r="AD66" s="136" t="str">
        <f t="shared" ca="1" si="70"/>
        <v>-</v>
      </c>
      <c r="AE66" s="136" t="str">
        <f t="shared" ca="1" si="70"/>
        <v>-</v>
      </c>
      <c r="AF66" s="136" t="str">
        <f t="shared" ca="1" si="70"/>
        <v>-</v>
      </c>
      <c r="AG66" s="136" t="str">
        <f t="shared" ca="1" si="70"/>
        <v>-</v>
      </c>
      <c r="AH66" s="136" t="str">
        <f t="shared" ca="1" si="70"/>
        <v>-</v>
      </c>
      <c r="AI66" s="136" t="str">
        <f t="shared" ca="1" si="70"/>
        <v>-</v>
      </c>
      <c r="AJ66" s="136" t="str">
        <f t="shared" ca="1" si="70"/>
        <v>-</v>
      </c>
      <c r="AK66" s="136" t="str">
        <f t="shared" ca="1" si="70"/>
        <v>-</v>
      </c>
      <c r="AL66" s="136" t="str">
        <f t="shared" ca="1" si="70"/>
        <v>-</v>
      </c>
      <c r="AM66" s="136" t="str">
        <f t="shared" ca="1" si="70"/>
        <v>-</v>
      </c>
      <c r="AN66" s="136" t="str">
        <f t="shared" ca="1" si="70"/>
        <v>-</v>
      </c>
      <c r="AO66" s="136" t="str">
        <f t="shared" ca="1" si="70"/>
        <v>-</v>
      </c>
      <c r="AP66" s="136" t="str">
        <f t="shared" ca="1" si="70"/>
        <v>-</v>
      </c>
      <c r="AQ66" s="136" t="str">
        <f t="shared" ca="1" si="70"/>
        <v>-</v>
      </c>
      <c r="AR66" s="136" t="str">
        <f t="shared" ca="1" si="70"/>
        <v>-</v>
      </c>
      <c r="AS66" s="136" t="str">
        <f t="shared" ca="1" si="70"/>
        <v>-</v>
      </c>
      <c r="AT66" s="136" t="str">
        <f t="shared" ca="1" si="70"/>
        <v>-</v>
      </c>
      <c r="AU66" s="136" t="str">
        <f t="shared" ca="1" si="70"/>
        <v>-</v>
      </c>
      <c r="AV66" s="136" t="str">
        <f t="shared" ca="1" si="70"/>
        <v>-</v>
      </c>
      <c r="AW66" s="136" t="str">
        <f t="shared" ca="1" si="70"/>
        <v>-</v>
      </c>
      <c r="AX66" s="136" t="str">
        <f t="shared" ca="1" si="70"/>
        <v>-</v>
      </c>
      <c r="AY66" s="136" t="str">
        <f t="shared" ca="1" si="70"/>
        <v>-</v>
      </c>
      <c r="AZ66" s="136" t="str">
        <f t="shared" ca="1" si="70"/>
        <v>-</v>
      </c>
      <c r="BA66" s="136" t="str">
        <f t="shared" ca="1" si="70"/>
        <v>-</v>
      </c>
      <c r="BB66" s="136" t="str">
        <f t="shared" ca="1" si="70"/>
        <v>-</v>
      </c>
      <c r="BC66" s="136" t="str">
        <f t="shared" ca="1" si="70"/>
        <v>-</v>
      </c>
      <c r="BD66" s="136" t="str">
        <f t="shared" ca="1" si="70"/>
        <v>-</v>
      </c>
      <c r="BE66" s="136" t="str">
        <f t="shared" ca="1" si="70"/>
        <v>-</v>
      </c>
      <c r="BF66" s="136" t="str">
        <f t="shared" ca="1" si="70"/>
        <v>-</v>
      </c>
      <c r="BG66" s="136" t="str">
        <f t="shared" ca="1" si="70"/>
        <v>-</v>
      </c>
      <c r="BH66" s="136" t="str">
        <f t="shared" ca="1" si="70"/>
        <v>-</v>
      </c>
      <c r="BI66" s="136" t="str">
        <f t="shared" ca="1" si="70"/>
        <v>-</v>
      </c>
      <c r="BJ66" s="136" t="str">
        <f t="shared" ca="1" si="70"/>
        <v>-</v>
      </c>
      <c r="BK66" s="136" t="str">
        <f t="shared" ca="1" si="70"/>
        <v>-</v>
      </c>
      <c r="BL66" s="136" t="str">
        <f t="shared" ca="1" si="70"/>
        <v>-</v>
      </c>
      <c r="BM66" s="136" t="str">
        <f t="shared" ca="1" si="70"/>
        <v>-</v>
      </c>
      <c r="BN66" s="136" t="str">
        <f t="shared" ca="1" si="70"/>
        <v>-</v>
      </c>
      <c r="BO66" s="136" t="str">
        <f t="shared" ca="1" si="70"/>
        <v>-</v>
      </c>
      <c r="BP66" s="136" t="str">
        <f t="shared" ca="1" si="70"/>
        <v>-</v>
      </c>
      <c r="BQ66" s="136" t="str">
        <f t="shared" ca="1" si="70"/>
        <v>-</v>
      </c>
      <c r="BR66" s="136" t="str">
        <f t="shared" ca="1" si="70"/>
        <v>-</v>
      </c>
      <c r="BS66" s="136" t="str">
        <f t="shared" ca="1" si="70"/>
        <v>-</v>
      </c>
      <c r="BT66" s="136" t="str">
        <f t="shared" ca="1" si="70"/>
        <v>-</v>
      </c>
      <c r="BU66" s="136" t="str">
        <f t="shared" ca="1" si="70"/>
        <v>-</v>
      </c>
      <c r="BV66" s="136" t="str">
        <f t="shared" ref="BV66:CO66" ca="1" si="71">IF(SUM(BV59:BV64)=0, "-", "ERROR")</f>
        <v>-</v>
      </c>
      <c r="BW66" s="136" t="str">
        <f t="shared" ca="1" si="71"/>
        <v>-</v>
      </c>
      <c r="BX66" s="136" t="str">
        <f t="shared" ca="1" si="71"/>
        <v>-</v>
      </c>
      <c r="BY66" s="136" t="str">
        <f t="shared" ca="1" si="71"/>
        <v>-</v>
      </c>
      <c r="BZ66" s="136" t="str">
        <f t="shared" ca="1" si="71"/>
        <v>-</v>
      </c>
      <c r="CA66" s="136" t="str">
        <f t="shared" ca="1" si="71"/>
        <v>-</v>
      </c>
      <c r="CB66" s="136" t="str">
        <f t="shared" ca="1" si="71"/>
        <v>-</v>
      </c>
      <c r="CC66" s="136" t="str">
        <f t="shared" ca="1" si="71"/>
        <v>-</v>
      </c>
      <c r="CD66" s="136" t="str">
        <f t="shared" ca="1" si="71"/>
        <v>-</v>
      </c>
      <c r="CE66" s="136" t="str">
        <f t="shared" ca="1" si="71"/>
        <v>-</v>
      </c>
      <c r="CF66" s="136" t="str">
        <f t="shared" ca="1" si="71"/>
        <v>-</v>
      </c>
      <c r="CG66" s="136" t="str">
        <f t="shared" ca="1" si="71"/>
        <v>-</v>
      </c>
      <c r="CH66" s="136" t="str">
        <f t="shared" ca="1" si="71"/>
        <v>-</v>
      </c>
      <c r="CI66" s="136" t="str">
        <f t="shared" ca="1" si="71"/>
        <v>-</v>
      </c>
      <c r="CJ66" s="136" t="str">
        <f t="shared" ca="1" si="71"/>
        <v>-</v>
      </c>
      <c r="CK66" s="136" t="str">
        <f t="shared" ca="1" si="71"/>
        <v>-</v>
      </c>
      <c r="CL66" s="136" t="str">
        <f t="shared" ca="1" si="71"/>
        <v>-</v>
      </c>
      <c r="CM66" s="136" t="str">
        <f t="shared" ca="1" si="71"/>
        <v>-</v>
      </c>
      <c r="CN66" s="136" t="str">
        <f t="shared" ca="1" si="71"/>
        <v>-</v>
      </c>
      <c r="CO66" s="136" t="str">
        <f t="shared" ca="1" si="71"/>
        <v>-</v>
      </c>
      <c r="CP66" s="133" t="s">
        <v>15</v>
      </c>
    </row>
    <row r="67" spans="2:94" ht="15" customHeight="1" x14ac:dyDescent="0.2">
      <c r="D67" s="259"/>
      <c r="E67" s="269"/>
      <c r="F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row>
    <row r="68" spans="2:94" ht="15" customHeight="1" x14ac:dyDescent="0.2">
      <c r="D68" s="259"/>
      <c r="E68" s="269"/>
      <c r="F68" s="272" t="s">
        <v>217</v>
      </c>
      <c r="G68" s="273"/>
      <c r="H68" s="273"/>
      <c r="I68" s="274">
        <f ca="1">XIRR($I55:$CO55,HoldingDates)</f>
        <v>0.34137852787971501</v>
      </c>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row>
    <row r="69" spans="2:94" ht="15" customHeight="1" x14ac:dyDescent="0.2">
      <c r="C69" s="133" t="s">
        <v>365</v>
      </c>
      <c r="D69" s="259"/>
      <c r="E69" s="269"/>
      <c r="F69" s="275" t="s">
        <v>218</v>
      </c>
      <c r="I69" s="276">
        <f ca="1">SUMIF($I55:$CO55,"&gt;0")/-SUMIF($I55:$CO55,"&lt;0")</f>
        <v>3.0270080563163728</v>
      </c>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row>
    <row r="70" spans="2:94" ht="15" customHeight="1" x14ac:dyDescent="0.2">
      <c r="C70" s="133" t="s">
        <v>219</v>
      </c>
      <c r="D70" s="259"/>
      <c r="E70" s="269"/>
      <c r="F70" s="277" t="s">
        <v>220</v>
      </c>
      <c r="G70" s="278"/>
      <c r="H70" s="278"/>
      <c r="I70" s="279">
        <f ca="1">SUM(I55:CO55)</f>
        <v>24618322.976195</v>
      </c>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row>
    <row r="71" spans="2:94" ht="15" customHeight="1" x14ac:dyDescent="0.2">
      <c r="D71" s="259"/>
      <c r="E71" s="269"/>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row>
    <row r="72" spans="2:94" ht="15" customHeight="1" x14ac:dyDescent="0.25">
      <c r="D72" s="259"/>
      <c r="E72" s="269"/>
      <c r="F72" s="132" t="s">
        <v>221</v>
      </c>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row>
    <row r="73" spans="2:94" ht="15" customHeight="1" x14ac:dyDescent="0.2">
      <c r="D73" s="259"/>
      <c r="E73" s="269"/>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row>
    <row r="74" spans="2:94" ht="15" x14ac:dyDescent="0.25">
      <c r="D74" s="259"/>
      <c r="E74" s="269"/>
      <c r="F74" s="146" t="s">
        <v>157</v>
      </c>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row>
    <row r="75" spans="2:94" ht="15" customHeight="1" x14ac:dyDescent="0.2">
      <c r="D75" s="259"/>
      <c r="E75" s="269"/>
      <c r="F75" s="133" t="s">
        <v>222</v>
      </c>
      <c r="I75" s="136">
        <v>0</v>
      </c>
      <c r="J75" s="136">
        <f>I77</f>
        <v>8175223.9014285719</v>
      </c>
      <c r="K75" s="136">
        <f t="shared" ref="K75:BU75" si="72">J77</f>
        <v>8486658.6742857154</v>
      </c>
      <c r="L75" s="136">
        <f t="shared" si="72"/>
        <v>8798093.4471428581</v>
      </c>
      <c r="M75" s="136">
        <f t="shared" si="72"/>
        <v>9132868.0200000014</v>
      </c>
      <c r="N75" s="136">
        <f t="shared" si="72"/>
        <v>9450137.7428571433</v>
      </c>
      <c r="O75" s="136">
        <f t="shared" si="72"/>
        <v>9718393.8857142869</v>
      </c>
      <c r="P75" s="136">
        <f t="shared" si="72"/>
        <v>10174038.470676692</v>
      </c>
      <c r="Q75" s="136">
        <f t="shared" si="72"/>
        <v>10871249.985639099</v>
      </c>
      <c r="R75" s="136">
        <f t="shared" si="72"/>
        <v>11568461.500601506</v>
      </c>
      <c r="S75" s="136">
        <f t="shared" si="72"/>
        <v>12145153</v>
      </c>
      <c r="T75" s="136">
        <f t="shared" si="72"/>
        <v>12145153</v>
      </c>
      <c r="U75" s="136">
        <f t="shared" si="72"/>
        <v>12145153</v>
      </c>
      <c r="V75" s="136">
        <f t="shared" si="72"/>
        <v>12145153</v>
      </c>
      <c r="W75" s="136">
        <f t="shared" si="72"/>
        <v>12145153</v>
      </c>
      <c r="X75" s="136">
        <f t="shared" si="72"/>
        <v>12145153</v>
      </c>
      <c r="Y75" s="136">
        <f t="shared" si="72"/>
        <v>12145153</v>
      </c>
      <c r="Z75" s="136">
        <f t="shared" si="72"/>
        <v>12145153</v>
      </c>
      <c r="AA75" s="136">
        <f t="shared" si="72"/>
        <v>12145153</v>
      </c>
      <c r="AB75" s="136">
        <f t="shared" si="72"/>
        <v>12145153</v>
      </c>
      <c r="AC75" s="136">
        <f t="shared" si="72"/>
        <v>12145153</v>
      </c>
      <c r="AD75" s="136">
        <f t="shared" si="72"/>
        <v>12145153</v>
      </c>
      <c r="AE75" s="136">
        <f t="shared" si="72"/>
        <v>12145153</v>
      </c>
      <c r="AF75" s="136">
        <f t="shared" si="72"/>
        <v>12145153</v>
      </c>
      <c r="AG75" s="136">
        <f t="shared" si="72"/>
        <v>12145153</v>
      </c>
      <c r="AH75" s="136">
        <f t="shared" si="72"/>
        <v>12145153</v>
      </c>
      <c r="AI75" s="136">
        <f t="shared" si="72"/>
        <v>12145153</v>
      </c>
      <c r="AJ75" s="136">
        <f t="shared" si="72"/>
        <v>12145153</v>
      </c>
      <c r="AK75" s="136">
        <f t="shared" si="72"/>
        <v>12145153</v>
      </c>
      <c r="AL75" s="136">
        <f t="shared" si="72"/>
        <v>12145153</v>
      </c>
      <c r="AM75" s="136">
        <f t="shared" si="72"/>
        <v>12145153</v>
      </c>
      <c r="AN75" s="136">
        <f t="shared" si="72"/>
        <v>12145153</v>
      </c>
      <c r="AO75" s="136">
        <f t="shared" si="72"/>
        <v>12145153</v>
      </c>
      <c r="AP75" s="136">
        <f t="shared" si="72"/>
        <v>12145153</v>
      </c>
      <c r="AQ75" s="136">
        <f t="shared" si="72"/>
        <v>12145153</v>
      </c>
      <c r="AR75" s="136">
        <f t="shared" si="72"/>
        <v>12145153</v>
      </c>
      <c r="AS75" s="136">
        <f t="shared" si="72"/>
        <v>12145153</v>
      </c>
      <c r="AT75" s="136">
        <f t="shared" si="72"/>
        <v>12145153</v>
      </c>
      <c r="AU75" s="136">
        <f t="shared" si="72"/>
        <v>12145153</v>
      </c>
      <c r="AV75" s="136">
        <f t="shared" si="72"/>
        <v>12145153</v>
      </c>
      <c r="AW75" s="136">
        <f t="shared" si="72"/>
        <v>12145153</v>
      </c>
      <c r="AX75" s="136">
        <f t="shared" si="72"/>
        <v>12145153</v>
      </c>
      <c r="AY75" s="136">
        <f t="shared" si="72"/>
        <v>12145153</v>
      </c>
      <c r="AZ75" s="136">
        <f t="shared" si="72"/>
        <v>12145153</v>
      </c>
      <c r="BA75" s="136">
        <f t="shared" si="72"/>
        <v>12145153</v>
      </c>
      <c r="BB75" s="136">
        <f t="shared" si="72"/>
        <v>12145153</v>
      </c>
      <c r="BC75" s="136">
        <f t="shared" si="72"/>
        <v>12145153</v>
      </c>
      <c r="BD75" s="136">
        <f t="shared" si="72"/>
        <v>12145153</v>
      </c>
      <c r="BE75" s="136">
        <f t="shared" si="72"/>
        <v>12145153</v>
      </c>
      <c r="BF75" s="136">
        <f t="shared" si="72"/>
        <v>12145153</v>
      </c>
      <c r="BG75" s="136">
        <f t="shared" si="72"/>
        <v>12145153</v>
      </c>
      <c r="BH75" s="136">
        <f t="shared" si="72"/>
        <v>12145153</v>
      </c>
      <c r="BI75" s="136">
        <f t="shared" si="72"/>
        <v>12145153</v>
      </c>
      <c r="BJ75" s="136">
        <f t="shared" si="72"/>
        <v>12145153</v>
      </c>
      <c r="BK75" s="136">
        <f t="shared" si="72"/>
        <v>12145153</v>
      </c>
      <c r="BL75" s="136">
        <f t="shared" si="72"/>
        <v>12145153</v>
      </c>
      <c r="BM75" s="136">
        <f t="shared" si="72"/>
        <v>12145153</v>
      </c>
      <c r="BN75" s="136">
        <f t="shared" si="72"/>
        <v>12145153</v>
      </c>
      <c r="BO75" s="136">
        <f t="shared" si="72"/>
        <v>12145153</v>
      </c>
      <c r="BP75" s="136">
        <f t="shared" si="72"/>
        <v>12145153</v>
      </c>
      <c r="BQ75" s="136">
        <f t="shared" si="72"/>
        <v>12145153</v>
      </c>
      <c r="BR75" s="136">
        <f t="shared" si="72"/>
        <v>12145153</v>
      </c>
      <c r="BS75" s="136">
        <f t="shared" si="72"/>
        <v>12145153</v>
      </c>
      <c r="BT75" s="136">
        <f t="shared" si="72"/>
        <v>12145153</v>
      </c>
      <c r="BU75" s="136">
        <f t="shared" si="72"/>
        <v>12145153</v>
      </c>
      <c r="BV75" s="136">
        <f t="shared" ref="BV75:CO75" si="73">BU77</f>
        <v>12145153</v>
      </c>
      <c r="BW75" s="136">
        <f t="shared" si="73"/>
        <v>12145153</v>
      </c>
      <c r="BX75" s="136">
        <f t="shared" si="73"/>
        <v>12145153</v>
      </c>
      <c r="BY75" s="136">
        <f t="shared" si="73"/>
        <v>12145153</v>
      </c>
      <c r="BZ75" s="136">
        <f t="shared" si="73"/>
        <v>12145153</v>
      </c>
      <c r="CA75" s="136">
        <f t="shared" si="73"/>
        <v>12145153</v>
      </c>
      <c r="CB75" s="136">
        <f t="shared" si="73"/>
        <v>12145153</v>
      </c>
      <c r="CC75" s="136">
        <f t="shared" si="73"/>
        <v>12145153</v>
      </c>
      <c r="CD75" s="136">
        <f t="shared" si="73"/>
        <v>12145153</v>
      </c>
      <c r="CE75" s="136">
        <f t="shared" si="73"/>
        <v>12145153</v>
      </c>
      <c r="CF75" s="136">
        <f t="shared" si="73"/>
        <v>12145153</v>
      </c>
      <c r="CG75" s="136">
        <f t="shared" si="73"/>
        <v>12145153</v>
      </c>
      <c r="CH75" s="136">
        <f t="shared" si="73"/>
        <v>12145153</v>
      </c>
      <c r="CI75" s="136">
        <f t="shared" si="73"/>
        <v>12145153</v>
      </c>
      <c r="CJ75" s="136">
        <f t="shared" si="73"/>
        <v>12145153</v>
      </c>
      <c r="CK75" s="136">
        <f t="shared" si="73"/>
        <v>12145153</v>
      </c>
      <c r="CL75" s="136">
        <f t="shared" si="73"/>
        <v>12145153</v>
      </c>
      <c r="CM75" s="136">
        <f t="shared" si="73"/>
        <v>12145153</v>
      </c>
      <c r="CN75" s="136">
        <f t="shared" si="73"/>
        <v>12145153</v>
      </c>
      <c r="CO75" s="136">
        <f t="shared" si="73"/>
        <v>12145153</v>
      </c>
      <c r="CP75" s="133" t="s">
        <v>15</v>
      </c>
    </row>
    <row r="76" spans="2:94" ht="15" customHeight="1" x14ac:dyDescent="0.2">
      <c r="B76" s="136">
        <f>SUM(I76:CO76)</f>
        <v>12145153</v>
      </c>
      <c r="D76" s="259" t="s">
        <v>194</v>
      </c>
      <c r="E76" s="269"/>
      <c r="F76" s="133" t="s">
        <v>223</v>
      </c>
      <c r="I76" s="136">
        <f>MIN(-SUM(I39:I40),CommonEquityOBalance-SUM($H76:H76))</f>
        <v>8175223.9014285719</v>
      </c>
      <c r="J76" s="136">
        <f>MIN(-SUM(J39:J40),CommonEquityOBalance-SUM($H76:I76))</f>
        <v>311434.77285714279</v>
      </c>
      <c r="K76" s="136">
        <f>MIN(-SUM(K39:K40),CommonEquityOBalance-SUM($H76:J76))</f>
        <v>311434.77285714279</v>
      </c>
      <c r="L76" s="136">
        <f>MIN(-SUM(L39:L40),CommonEquityOBalance-SUM($H76:K76))</f>
        <v>334774.57285714283</v>
      </c>
      <c r="M76" s="136">
        <f>MIN(-SUM(M39:M40),CommonEquityOBalance-SUM($H76:L76))</f>
        <v>317269.7228571428</v>
      </c>
      <c r="N76" s="136">
        <f>MIN(-SUM(N39:N40),CommonEquityOBalance-SUM($H76:M76))</f>
        <v>268256.14285714284</v>
      </c>
      <c r="O76" s="136">
        <f>MIN(-SUM(O39:O40),CommonEquityOBalance-SUM($H76:N76))</f>
        <v>455644.58496240602</v>
      </c>
      <c r="P76" s="136">
        <f>MIN(-SUM(P39:P40),CommonEquityOBalance-SUM($H76:O76))</f>
        <v>697211.51496240601</v>
      </c>
      <c r="Q76" s="136">
        <f>MIN(-SUM(Q39:Q40),CommonEquityOBalance-SUM($H76:P76))</f>
        <v>697211.51496240601</v>
      </c>
      <c r="R76" s="136">
        <f>MIN(-SUM(R39:R40),CommonEquityOBalance-SUM($H76:Q76))</f>
        <v>576691.49939849414</v>
      </c>
      <c r="S76" s="136">
        <f>MIN(-SUM(S39:S40),CommonEquityOBalance-SUM($H76:R76))</f>
        <v>0</v>
      </c>
      <c r="T76" s="136">
        <f>MIN(-SUM(T39:T40),CommonEquityOBalance-SUM($H76:S76))</f>
        <v>0</v>
      </c>
      <c r="U76" s="136">
        <f>MIN(-SUM(U39:U40),CommonEquityOBalance-SUM($H76:T76))</f>
        <v>0</v>
      </c>
      <c r="V76" s="136">
        <f>MIN(-SUM(V39:V40),CommonEquityOBalance-SUM($H76:U76))</f>
        <v>0</v>
      </c>
      <c r="W76" s="136">
        <f>MIN(-SUM(W39:W40),CommonEquityOBalance-SUM($H76:V76))</f>
        <v>0</v>
      </c>
      <c r="X76" s="136">
        <f>MIN(-SUM(X39:X40),CommonEquityOBalance-SUM($H76:W76))</f>
        <v>0</v>
      </c>
      <c r="Y76" s="136">
        <f>MIN(-SUM(Y39:Y40),CommonEquityOBalance-SUM($H76:X76))</f>
        <v>0</v>
      </c>
      <c r="Z76" s="136">
        <f>MIN(-SUM(Z39:Z40),CommonEquityOBalance-SUM($H76:Y76))</f>
        <v>0</v>
      </c>
      <c r="AA76" s="136">
        <f>MIN(-SUM(AA39:AA40),CommonEquityOBalance-SUM($H76:Z76))</f>
        <v>0</v>
      </c>
      <c r="AB76" s="136">
        <f>MIN(-SUM(AB39:AB40),CommonEquityOBalance-SUM($H76:AA76))</f>
        <v>0</v>
      </c>
      <c r="AC76" s="136">
        <f>MIN(-SUM(AC39:AC40),CommonEquityOBalance-SUM($H76:AB76))</f>
        <v>0</v>
      </c>
      <c r="AD76" s="136">
        <f>MIN(-SUM(AD39:AD40),CommonEquityOBalance-SUM($H76:AC76))</f>
        <v>0</v>
      </c>
      <c r="AE76" s="136">
        <f>MIN(-SUM(AE39:AE40),CommonEquityOBalance-SUM($H76:AD76))</f>
        <v>0</v>
      </c>
      <c r="AF76" s="136">
        <f>MIN(-SUM(AF39:AF40),CommonEquityOBalance-SUM($H76:AE76))</f>
        <v>0</v>
      </c>
      <c r="AG76" s="136">
        <f>MIN(-SUM(AG39:AG40),CommonEquityOBalance-SUM($H76:AF76))</f>
        <v>0</v>
      </c>
      <c r="AH76" s="136">
        <f>MIN(-SUM(AH39:AH40),CommonEquityOBalance-SUM($H76:AG76))</f>
        <v>0</v>
      </c>
      <c r="AI76" s="136">
        <f>MIN(-SUM(AI39:AI40),CommonEquityOBalance-SUM($H76:AH76))</f>
        <v>0</v>
      </c>
      <c r="AJ76" s="136">
        <f>MIN(-SUM(AJ39:AJ40),CommonEquityOBalance-SUM($H76:AI76))</f>
        <v>0</v>
      </c>
      <c r="AK76" s="136">
        <f>MIN(-SUM(AK39:AK40),CommonEquityOBalance-SUM($H76:AJ76))</f>
        <v>0</v>
      </c>
      <c r="AL76" s="136">
        <f>MIN(-SUM(AL39:AL40),CommonEquityOBalance-SUM($H76:AK76))</f>
        <v>0</v>
      </c>
      <c r="AM76" s="136">
        <f>MIN(-SUM(AM39:AM40),CommonEquityOBalance-SUM($H76:AL76))</f>
        <v>0</v>
      </c>
      <c r="AN76" s="136">
        <f>MIN(-SUM(AN39:AN40),CommonEquityOBalance-SUM($H76:AM76))</f>
        <v>0</v>
      </c>
      <c r="AO76" s="136">
        <f>MIN(-SUM(AO39:AO40),CommonEquityOBalance-SUM($H76:AN76))</f>
        <v>0</v>
      </c>
      <c r="AP76" s="136">
        <f>MIN(-SUM(AP39:AP40),CommonEquityOBalance-SUM($H76:AO76))</f>
        <v>0</v>
      </c>
      <c r="AQ76" s="136">
        <f>MIN(-SUM(AQ39:AQ40),CommonEquityOBalance-SUM($H76:AP76))</f>
        <v>0</v>
      </c>
      <c r="AR76" s="136">
        <f>MIN(-SUM(AR39:AR40),CommonEquityOBalance-SUM($H76:AQ76))</f>
        <v>0</v>
      </c>
      <c r="AS76" s="136">
        <f>MIN(-SUM(AS39:AS40),CommonEquityOBalance-SUM($H76:AR76))</f>
        <v>0</v>
      </c>
      <c r="AT76" s="136">
        <f>MIN(-SUM(AT39:AT40),CommonEquityOBalance-SUM($H76:AS76))</f>
        <v>0</v>
      </c>
      <c r="AU76" s="136">
        <f>MIN(-SUM(AU39:AU40),CommonEquityOBalance-SUM($H76:AT76))</f>
        <v>0</v>
      </c>
      <c r="AV76" s="136">
        <f>MIN(-SUM(AV39:AV40),CommonEquityOBalance-SUM($H76:AU76))</f>
        <v>0</v>
      </c>
      <c r="AW76" s="136">
        <f>MIN(-SUM(AW39:AW40),CommonEquityOBalance-SUM($H76:AV76))</f>
        <v>0</v>
      </c>
      <c r="AX76" s="136">
        <f>MIN(-SUM(AX39:AX40),CommonEquityOBalance-SUM($H76:AW76))</f>
        <v>0</v>
      </c>
      <c r="AY76" s="136">
        <f>MIN(-SUM(AY39:AY40),CommonEquityOBalance-SUM($H76:AX76))</f>
        <v>0</v>
      </c>
      <c r="AZ76" s="136">
        <f>MIN(-SUM(AZ39:AZ40),CommonEquityOBalance-SUM($H76:AY76))</f>
        <v>0</v>
      </c>
      <c r="BA76" s="136">
        <f>MIN(-SUM(BA39:BA40),CommonEquityOBalance-SUM($H76:AZ76))</f>
        <v>0</v>
      </c>
      <c r="BB76" s="136">
        <f>MIN(-SUM(BB39:BB40),CommonEquityOBalance-SUM($H76:BA76))</f>
        <v>0</v>
      </c>
      <c r="BC76" s="136">
        <f>MIN(-SUM(BC39:BC40),CommonEquityOBalance-SUM($H76:BB76))</f>
        <v>0</v>
      </c>
      <c r="BD76" s="136">
        <f>MIN(-SUM(BD39:BD40),CommonEquityOBalance-SUM($H76:BC76))</f>
        <v>0</v>
      </c>
      <c r="BE76" s="136">
        <f>MIN(-SUM(BE39:BE40),CommonEquityOBalance-SUM($H76:BD76))</f>
        <v>0</v>
      </c>
      <c r="BF76" s="136">
        <f>MIN(-SUM(BF39:BF40),CommonEquityOBalance-SUM($H76:BE76))</f>
        <v>0</v>
      </c>
      <c r="BG76" s="136">
        <f>MIN(-SUM(BG39:BG40),CommonEquityOBalance-SUM($H76:BF76))</f>
        <v>0</v>
      </c>
      <c r="BH76" s="136">
        <f>MIN(-SUM(BH39:BH40),CommonEquityOBalance-SUM($H76:BG76))</f>
        <v>0</v>
      </c>
      <c r="BI76" s="136">
        <f>MIN(-SUM(BI39:BI40),CommonEquityOBalance-SUM($H76:BH76))</f>
        <v>0</v>
      </c>
      <c r="BJ76" s="136">
        <f>MIN(-SUM(BJ39:BJ40),CommonEquityOBalance-SUM($H76:BI76))</f>
        <v>0</v>
      </c>
      <c r="BK76" s="136">
        <f>MIN(-SUM(BK39:BK40),CommonEquityOBalance-SUM($H76:BJ76))</f>
        <v>0</v>
      </c>
      <c r="BL76" s="136">
        <f>MIN(-SUM(BL39:BL40),CommonEquityOBalance-SUM($H76:BK76))</f>
        <v>0</v>
      </c>
      <c r="BM76" s="136">
        <f>MIN(-SUM(BM39:BM40),CommonEquityOBalance-SUM($H76:BL76))</f>
        <v>0</v>
      </c>
      <c r="BN76" s="136">
        <f>MIN(-SUM(BN39:BN40),CommonEquityOBalance-SUM($H76:BM76))</f>
        <v>0</v>
      </c>
      <c r="BO76" s="136">
        <f>MIN(-SUM(BO39:BO40),CommonEquityOBalance-SUM($H76:BN76))</f>
        <v>0</v>
      </c>
      <c r="BP76" s="136">
        <f>MIN(-SUM(BP39:BP40),CommonEquityOBalance-SUM($H76:BO76))</f>
        <v>0</v>
      </c>
      <c r="BQ76" s="136">
        <f>MIN(-SUM(BQ39:BQ40),CommonEquityOBalance-SUM($H76:BP76))</f>
        <v>0</v>
      </c>
      <c r="BR76" s="136">
        <f>MIN(-SUM(BR39:BR40),CommonEquityOBalance-SUM($H76:BQ76))</f>
        <v>0</v>
      </c>
      <c r="BS76" s="136">
        <f>MIN(-SUM(BS39:BS40),CommonEquityOBalance-SUM($H76:BR76))</f>
        <v>0</v>
      </c>
      <c r="BT76" s="136">
        <f>MIN(-SUM(BT39:BT40),CommonEquityOBalance-SUM($H76:BS76))</f>
        <v>0</v>
      </c>
      <c r="BU76" s="136">
        <f>MIN(-SUM(BU39:BU40),CommonEquityOBalance-SUM($H76:BT76))</f>
        <v>0</v>
      </c>
      <c r="BV76" s="136">
        <f>MIN(-SUM(BV39:BV40),CommonEquityOBalance-SUM($H76:BU76))</f>
        <v>0</v>
      </c>
      <c r="BW76" s="136">
        <f>MIN(-SUM(BW39:BW40),CommonEquityOBalance-SUM($H76:BV76))</f>
        <v>0</v>
      </c>
      <c r="BX76" s="136">
        <f>MIN(-SUM(BX39:BX40),CommonEquityOBalance-SUM($H76:BW76))</f>
        <v>0</v>
      </c>
      <c r="BY76" s="136">
        <f>MIN(-SUM(BY39:BY40),CommonEquityOBalance-SUM($H76:BX76))</f>
        <v>0</v>
      </c>
      <c r="BZ76" s="136">
        <f>MIN(-SUM(BZ39:BZ40),CommonEquityOBalance-SUM($H76:BY76))</f>
        <v>0</v>
      </c>
      <c r="CA76" s="136">
        <f>MIN(-SUM(CA39:CA40),CommonEquityOBalance-SUM($H76:BZ76))</f>
        <v>0</v>
      </c>
      <c r="CB76" s="136">
        <f>MIN(-SUM(CB39:CB40),CommonEquityOBalance-SUM($H76:CA76))</f>
        <v>0</v>
      </c>
      <c r="CC76" s="136">
        <f>MIN(-SUM(CC39:CC40),CommonEquityOBalance-SUM($H76:CB76))</f>
        <v>0</v>
      </c>
      <c r="CD76" s="136">
        <f>MIN(-SUM(CD39:CD40),CommonEquityOBalance-SUM($H76:CC76))</f>
        <v>0</v>
      </c>
      <c r="CE76" s="136">
        <f>MIN(-SUM(CE39:CE40),CommonEquityOBalance-SUM($H76:CD76))</f>
        <v>0</v>
      </c>
      <c r="CF76" s="136">
        <f>MIN(-SUM(CF39:CF40),CommonEquityOBalance-SUM($H76:CE76))</f>
        <v>0</v>
      </c>
      <c r="CG76" s="136">
        <f>MIN(-SUM(CG39:CG40),CommonEquityOBalance-SUM($H76:CF76))</f>
        <v>0</v>
      </c>
      <c r="CH76" s="136">
        <f>MIN(-SUM(CH39:CH40),CommonEquityOBalance-SUM($H76:CG76))</f>
        <v>0</v>
      </c>
      <c r="CI76" s="136">
        <f>MIN(-SUM(CI39:CI40),CommonEquityOBalance-SUM($H76:CH76))</f>
        <v>0</v>
      </c>
      <c r="CJ76" s="136">
        <f>MIN(-SUM(CJ39:CJ40),CommonEquityOBalance-SUM($H76:CI76))</f>
        <v>0</v>
      </c>
      <c r="CK76" s="136">
        <f>MIN(-SUM(CK39:CK40),CommonEquityOBalance-SUM($H76:CJ76))</f>
        <v>0</v>
      </c>
      <c r="CL76" s="136">
        <f>MIN(-SUM(CL39:CL40),CommonEquityOBalance-SUM($H76:CK76))</f>
        <v>0</v>
      </c>
      <c r="CM76" s="136">
        <f>MIN(-SUM(CM39:CM40),CommonEquityOBalance-SUM($H76:CL76))</f>
        <v>0</v>
      </c>
      <c r="CN76" s="136">
        <f>MIN(-SUM(CN39:CN40),CommonEquityOBalance-SUM($H76:CM76))</f>
        <v>0</v>
      </c>
      <c r="CO76" s="136">
        <f>MIN(-SUM(CO39:CO40),CommonEquityOBalance-SUM($H76:CN76))</f>
        <v>0</v>
      </c>
      <c r="CP76" s="133" t="s">
        <v>15</v>
      </c>
    </row>
    <row r="77" spans="2:94" ht="15" customHeight="1" x14ac:dyDescent="0.2">
      <c r="B77" s="136">
        <f>SUM(B75:B76)</f>
        <v>12145153</v>
      </c>
      <c r="D77" s="259"/>
      <c r="E77" s="269"/>
      <c r="F77" s="133" t="s">
        <v>224</v>
      </c>
      <c r="I77" s="136">
        <f>SUM(I75:I76)</f>
        <v>8175223.9014285719</v>
      </c>
      <c r="J77" s="136">
        <f t="shared" ref="J77:BU77" si="74">SUM(J75:J76)</f>
        <v>8486658.6742857154</v>
      </c>
      <c r="K77" s="136">
        <f t="shared" si="74"/>
        <v>8798093.4471428581</v>
      </c>
      <c r="L77" s="136">
        <f t="shared" si="74"/>
        <v>9132868.0200000014</v>
      </c>
      <c r="M77" s="136">
        <f t="shared" si="74"/>
        <v>9450137.7428571433</v>
      </c>
      <c r="N77" s="136">
        <f t="shared" si="74"/>
        <v>9718393.8857142869</v>
      </c>
      <c r="O77" s="136">
        <f t="shared" si="74"/>
        <v>10174038.470676692</v>
      </c>
      <c r="P77" s="136">
        <f t="shared" si="74"/>
        <v>10871249.985639099</v>
      </c>
      <c r="Q77" s="136">
        <f t="shared" si="74"/>
        <v>11568461.500601506</v>
      </c>
      <c r="R77" s="136">
        <f t="shared" si="74"/>
        <v>12145153</v>
      </c>
      <c r="S77" s="136">
        <f t="shared" si="74"/>
        <v>12145153</v>
      </c>
      <c r="T77" s="136">
        <f t="shared" si="74"/>
        <v>12145153</v>
      </c>
      <c r="U77" s="136">
        <f t="shared" si="74"/>
        <v>12145153</v>
      </c>
      <c r="V77" s="136">
        <f t="shared" si="74"/>
        <v>12145153</v>
      </c>
      <c r="W77" s="136">
        <f t="shared" si="74"/>
        <v>12145153</v>
      </c>
      <c r="X77" s="136">
        <f t="shared" si="74"/>
        <v>12145153</v>
      </c>
      <c r="Y77" s="136">
        <f t="shared" si="74"/>
        <v>12145153</v>
      </c>
      <c r="Z77" s="136">
        <f t="shared" si="74"/>
        <v>12145153</v>
      </c>
      <c r="AA77" s="136">
        <f t="shared" si="74"/>
        <v>12145153</v>
      </c>
      <c r="AB77" s="136">
        <f t="shared" si="74"/>
        <v>12145153</v>
      </c>
      <c r="AC77" s="136">
        <f t="shared" si="74"/>
        <v>12145153</v>
      </c>
      <c r="AD77" s="136">
        <f t="shared" si="74"/>
        <v>12145153</v>
      </c>
      <c r="AE77" s="136">
        <f t="shared" si="74"/>
        <v>12145153</v>
      </c>
      <c r="AF77" s="136">
        <f t="shared" si="74"/>
        <v>12145153</v>
      </c>
      <c r="AG77" s="136">
        <f t="shared" si="74"/>
        <v>12145153</v>
      </c>
      <c r="AH77" s="136">
        <f t="shared" si="74"/>
        <v>12145153</v>
      </c>
      <c r="AI77" s="136">
        <f t="shared" si="74"/>
        <v>12145153</v>
      </c>
      <c r="AJ77" s="136">
        <f t="shared" si="74"/>
        <v>12145153</v>
      </c>
      <c r="AK77" s="136">
        <f t="shared" si="74"/>
        <v>12145153</v>
      </c>
      <c r="AL77" s="136">
        <f t="shared" si="74"/>
        <v>12145153</v>
      </c>
      <c r="AM77" s="136">
        <f t="shared" si="74"/>
        <v>12145153</v>
      </c>
      <c r="AN77" s="136">
        <f t="shared" si="74"/>
        <v>12145153</v>
      </c>
      <c r="AO77" s="136">
        <f t="shared" si="74"/>
        <v>12145153</v>
      </c>
      <c r="AP77" s="136">
        <f t="shared" si="74"/>
        <v>12145153</v>
      </c>
      <c r="AQ77" s="136">
        <f t="shared" si="74"/>
        <v>12145153</v>
      </c>
      <c r="AR77" s="136">
        <f t="shared" si="74"/>
        <v>12145153</v>
      </c>
      <c r="AS77" s="136">
        <f t="shared" si="74"/>
        <v>12145153</v>
      </c>
      <c r="AT77" s="136">
        <f t="shared" si="74"/>
        <v>12145153</v>
      </c>
      <c r="AU77" s="136">
        <f t="shared" si="74"/>
        <v>12145153</v>
      </c>
      <c r="AV77" s="136">
        <f t="shared" si="74"/>
        <v>12145153</v>
      </c>
      <c r="AW77" s="136">
        <f t="shared" si="74"/>
        <v>12145153</v>
      </c>
      <c r="AX77" s="136">
        <f t="shared" si="74"/>
        <v>12145153</v>
      </c>
      <c r="AY77" s="136">
        <f t="shared" si="74"/>
        <v>12145153</v>
      </c>
      <c r="AZ77" s="136">
        <f t="shared" si="74"/>
        <v>12145153</v>
      </c>
      <c r="BA77" s="136">
        <f t="shared" si="74"/>
        <v>12145153</v>
      </c>
      <c r="BB77" s="136">
        <f t="shared" si="74"/>
        <v>12145153</v>
      </c>
      <c r="BC77" s="136">
        <f t="shared" si="74"/>
        <v>12145153</v>
      </c>
      <c r="BD77" s="136">
        <f t="shared" si="74"/>
        <v>12145153</v>
      </c>
      <c r="BE77" s="136">
        <f t="shared" si="74"/>
        <v>12145153</v>
      </c>
      <c r="BF77" s="136">
        <f t="shared" si="74"/>
        <v>12145153</v>
      </c>
      <c r="BG77" s="136">
        <f t="shared" si="74"/>
        <v>12145153</v>
      </c>
      <c r="BH77" s="136">
        <f t="shared" si="74"/>
        <v>12145153</v>
      </c>
      <c r="BI77" s="136">
        <f t="shared" si="74"/>
        <v>12145153</v>
      </c>
      <c r="BJ77" s="136">
        <f t="shared" si="74"/>
        <v>12145153</v>
      </c>
      <c r="BK77" s="136">
        <f t="shared" si="74"/>
        <v>12145153</v>
      </c>
      <c r="BL77" s="136">
        <f t="shared" si="74"/>
        <v>12145153</v>
      </c>
      <c r="BM77" s="136">
        <f t="shared" si="74"/>
        <v>12145153</v>
      </c>
      <c r="BN77" s="136">
        <f t="shared" si="74"/>
        <v>12145153</v>
      </c>
      <c r="BO77" s="136">
        <f t="shared" si="74"/>
        <v>12145153</v>
      </c>
      <c r="BP77" s="136">
        <f t="shared" si="74"/>
        <v>12145153</v>
      </c>
      <c r="BQ77" s="136">
        <f t="shared" si="74"/>
        <v>12145153</v>
      </c>
      <c r="BR77" s="136">
        <f t="shared" si="74"/>
        <v>12145153</v>
      </c>
      <c r="BS77" s="136">
        <f t="shared" si="74"/>
        <v>12145153</v>
      </c>
      <c r="BT77" s="136">
        <f t="shared" si="74"/>
        <v>12145153</v>
      </c>
      <c r="BU77" s="136">
        <f t="shared" si="74"/>
        <v>12145153</v>
      </c>
      <c r="BV77" s="136">
        <f t="shared" ref="BV77:CO77" si="75">SUM(BV75:BV76)</f>
        <v>12145153</v>
      </c>
      <c r="BW77" s="136">
        <f t="shared" si="75"/>
        <v>12145153</v>
      </c>
      <c r="BX77" s="136">
        <f t="shared" si="75"/>
        <v>12145153</v>
      </c>
      <c r="BY77" s="136">
        <f t="shared" si="75"/>
        <v>12145153</v>
      </c>
      <c r="BZ77" s="136">
        <f t="shared" si="75"/>
        <v>12145153</v>
      </c>
      <c r="CA77" s="136">
        <f t="shared" si="75"/>
        <v>12145153</v>
      </c>
      <c r="CB77" s="136">
        <f t="shared" si="75"/>
        <v>12145153</v>
      </c>
      <c r="CC77" s="136">
        <f t="shared" si="75"/>
        <v>12145153</v>
      </c>
      <c r="CD77" s="136">
        <f t="shared" si="75"/>
        <v>12145153</v>
      </c>
      <c r="CE77" s="136">
        <f t="shared" si="75"/>
        <v>12145153</v>
      </c>
      <c r="CF77" s="136">
        <f t="shared" si="75"/>
        <v>12145153</v>
      </c>
      <c r="CG77" s="136">
        <f t="shared" si="75"/>
        <v>12145153</v>
      </c>
      <c r="CH77" s="136">
        <f t="shared" si="75"/>
        <v>12145153</v>
      </c>
      <c r="CI77" s="136">
        <f t="shared" si="75"/>
        <v>12145153</v>
      </c>
      <c r="CJ77" s="136">
        <f t="shared" si="75"/>
        <v>12145153</v>
      </c>
      <c r="CK77" s="136">
        <f t="shared" si="75"/>
        <v>12145153</v>
      </c>
      <c r="CL77" s="136">
        <f t="shared" si="75"/>
        <v>12145153</v>
      </c>
      <c r="CM77" s="136">
        <f t="shared" si="75"/>
        <v>12145153</v>
      </c>
      <c r="CN77" s="136">
        <f t="shared" si="75"/>
        <v>12145153</v>
      </c>
      <c r="CO77" s="136">
        <f t="shared" si="75"/>
        <v>12145153</v>
      </c>
      <c r="CP77" s="133" t="s">
        <v>15</v>
      </c>
    </row>
    <row r="78" spans="2:94" ht="15" customHeight="1" x14ac:dyDescent="0.2">
      <c r="D78" s="259"/>
      <c r="E78" s="269"/>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row>
    <row r="79" spans="2:94" ht="15" x14ac:dyDescent="0.25">
      <c r="D79" s="259"/>
      <c r="E79" s="269"/>
      <c r="F79" s="146" t="s">
        <v>154</v>
      </c>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row>
    <row r="80" spans="2:94" ht="15" customHeight="1" x14ac:dyDescent="0.2">
      <c r="D80" s="259"/>
      <c r="E80" s="269"/>
      <c r="F80" s="133" t="s">
        <v>222</v>
      </c>
      <c r="I80" s="136">
        <f>H84</f>
        <v>0</v>
      </c>
      <c r="J80" s="136">
        <f t="shared" ref="J80:BU80" ca="1" si="76">I84</f>
        <v>0</v>
      </c>
      <c r="K80" s="136">
        <f t="shared" ca="1" si="76"/>
        <v>0</v>
      </c>
      <c r="L80" s="136">
        <f t="shared" ca="1" si="76"/>
        <v>0</v>
      </c>
      <c r="M80" s="136">
        <f t="shared" ca="1" si="76"/>
        <v>0</v>
      </c>
      <c r="N80" s="136">
        <f t="shared" ca="1" si="76"/>
        <v>0</v>
      </c>
      <c r="O80" s="136">
        <f t="shared" ca="1" si="76"/>
        <v>0</v>
      </c>
      <c r="P80" s="136">
        <f t="shared" ca="1" si="76"/>
        <v>0</v>
      </c>
      <c r="Q80" s="136">
        <f t="shared" ca="1" si="76"/>
        <v>0</v>
      </c>
      <c r="R80" s="136">
        <f t="shared" ca="1" si="76"/>
        <v>0</v>
      </c>
      <c r="S80" s="136">
        <f t="shared" ca="1" si="76"/>
        <v>120520.01556391187</v>
      </c>
      <c r="T80" s="136">
        <f t="shared" ca="1" si="76"/>
        <v>818600.15724455286</v>
      </c>
      <c r="U80" s="136">
        <f t="shared" ca="1" si="76"/>
        <v>1521711.5882068607</v>
      </c>
      <c r="V80" s="136">
        <f t="shared" ca="1" si="76"/>
        <v>2229890.5705793854</v>
      </c>
      <c r="W80" s="136">
        <f t="shared" ca="1" si="76"/>
        <v>3321278.3878435614</v>
      </c>
      <c r="X80" s="136">
        <f t="shared" ca="1" si="76"/>
        <v>4537231.1899700537</v>
      </c>
      <c r="Y80" s="136">
        <f t="shared" ca="1" si="76"/>
        <v>5090446.3717402853</v>
      </c>
      <c r="Z80" s="136">
        <f t="shared" ca="1" si="76"/>
        <v>5127134.8645648723</v>
      </c>
      <c r="AA80" s="136">
        <f t="shared" ca="1" si="76"/>
        <v>5164087.7832192285</v>
      </c>
      <c r="AB80" s="136">
        <f t="shared" ca="1" si="76"/>
        <v>5201307.0335058011</v>
      </c>
      <c r="AC80" s="136">
        <f t="shared" ca="1" si="76"/>
        <v>5238794.5349627733</v>
      </c>
      <c r="AD80" s="136">
        <f t="shared" ca="1" si="76"/>
        <v>5276552.2209630599</v>
      </c>
      <c r="AE80" s="136">
        <f t="shared" ca="1" si="76"/>
        <v>5314582.0388140203</v>
      </c>
      <c r="AF80" s="136">
        <f t="shared" ca="1" si="76"/>
        <v>5352885.9498578859</v>
      </c>
      <c r="AG80" s="136">
        <f t="shared" ca="1" si="76"/>
        <v>5391465.9295729175</v>
      </c>
      <c r="AH80" s="136">
        <f t="shared" ca="1" si="76"/>
        <v>5430323.9676752854</v>
      </c>
      <c r="AI80" s="136">
        <f t="shared" ca="1" si="76"/>
        <v>5202194.7618450029</v>
      </c>
      <c r="AJ80" s="136">
        <f t="shared" ca="1" si="76"/>
        <v>4967975.4332406558</v>
      </c>
      <c r="AK80" s="136">
        <f t="shared" ca="1" si="76"/>
        <v>4736798.5010598209</v>
      </c>
      <c r="AL80" s="136">
        <f t="shared" ca="1" si="76"/>
        <v>4502577.1228383714</v>
      </c>
      <c r="AM80" s="136">
        <f t="shared" ca="1" si="76"/>
        <v>4268330.0806559557</v>
      </c>
      <c r="AN80" s="136">
        <f t="shared" ca="1" si="76"/>
        <v>4030986.7296037846</v>
      </c>
      <c r="AO80" s="136">
        <f t="shared" ca="1" si="76"/>
        <v>3793621.0205133264</v>
      </c>
      <c r="AP80" s="136">
        <f t="shared" ca="1" si="76"/>
        <v>3554668.0379321571</v>
      </c>
      <c r="AQ80" s="136">
        <f t="shared" ca="1" si="76"/>
        <v>3312574.2425972777</v>
      </c>
      <c r="AR80" s="136">
        <f t="shared" ca="1" si="76"/>
        <v>3070441.3884216663</v>
      </c>
      <c r="AS80" s="136">
        <f t="shared" ca="1" si="76"/>
        <v>2825136.3188622771</v>
      </c>
      <c r="AT80" s="136">
        <f t="shared" ca="1" si="76"/>
        <v>0</v>
      </c>
      <c r="AU80" s="136">
        <f t="shared" ca="1" si="76"/>
        <v>0</v>
      </c>
      <c r="AV80" s="136">
        <f t="shared" ca="1" si="76"/>
        <v>0</v>
      </c>
      <c r="AW80" s="136">
        <f t="shared" ca="1" si="76"/>
        <v>0</v>
      </c>
      <c r="AX80" s="136">
        <f t="shared" ca="1" si="76"/>
        <v>0</v>
      </c>
      <c r="AY80" s="136">
        <f t="shared" ca="1" si="76"/>
        <v>0</v>
      </c>
      <c r="AZ80" s="136">
        <f t="shared" ca="1" si="76"/>
        <v>0</v>
      </c>
      <c r="BA80" s="136">
        <f t="shared" ca="1" si="76"/>
        <v>0</v>
      </c>
      <c r="BB80" s="136">
        <f t="shared" ca="1" si="76"/>
        <v>0</v>
      </c>
      <c r="BC80" s="136">
        <f t="shared" ca="1" si="76"/>
        <v>0</v>
      </c>
      <c r="BD80" s="136">
        <f t="shared" ca="1" si="76"/>
        <v>0</v>
      </c>
      <c r="BE80" s="136">
        <f t="shared" ca="1" si="76"/>
        <v>0</v>
      </c>
      <c r="BF80" s="136">
        <f t="shared" ca="1" si="76"/>
        <v>0</v>
      </c>
      <c r="BG80" s="136">
        <f t="shared" ca="1" si="76"/>
        <v>0</v>
      </c>
      <c r="BH80" s="136">
        <f t="shared" ca="1" si="76"/>
        <v>0</v>
      </c>
      <c r="BI80" s="136">
        <f t="shared" ca="1" si="76"/>
        <v>0</v>
      </c>
      <c r="BJ80" s="136">
        <f t="shared" ca="1" si="76"/>
        <v>0</v>
      </c>
      <c r="BK80" s="136">
        <f t="shared" ca="1" si="76"/>
        <v>0</v>
      </c>
      <c r="BL80" s="136">
        <f t="shared" ca="1" si="76"/>
        <v>0</v>
      </c>
      <c r="BM80" s="136">
        <f t="shared" ca="1" si="76"/>
        <v>0</v>
      </c>
      <c r="BN80" s="136">
        <f t="shared" ca="1" si="76"/>
        <v>0</v>
      </c>
      <c r="BO80" s="136">
        <f t="shared" ca="1" si="76"/>
        <v>0</v>
      </c>
      <c r="BP80" s="136">
        <f t="shared" ca="1" si="76"/>
        <v>0</v>
      </c>
      <c r="BQ80" s="136">
        <f t="shared" ca="1" si="76"/>
        <v>0</v>
      </c>
      <c r="BR80" s="136">
        <f t="shared" ca="1" si="76"/>
        <v>0</v>
      </c>
      <c r="BS80" s="136">
        <f t="shared" ca="1" si="76"/>
        <v>0</v>
      </c>
      <c r="BT80" s="136">
        <f t="shared" ca="1" si="76"/>
        <v>0</v>
      </c>
      <c r="BU80" s="136">
        <f t="shared" ca="1" si="76"/>
        <v>0</v>
      </c>
      <c r="BV80" s="136">
        <f t="shared" ref="BV80:CO80" ca="1" si="77">BU84</f>
        <v>0</v>
      </c>
      <c r="BW80" s="136">
        <f t="shared" ca="1" si="77"/>
        <v>0</v>
      </c>
      <c r="BX80" s="136">
        <f t="shared" ca="1" si="77"/>
        <v>0</v>
      </c>
      <c r="BY80" s="136">
        <f t="shared" ca="1" si="77"/>
        <v>0</v>
      </c>
      <c r="BZ80" s="136">
        <f t="shared" ca="1" si="77"/>
        <v>0</v>
      </c>
      <c r="CA80" s="136">
        <f t="shared" ca="1" si="77"/>
        <v>0</v>
      </c>
      <c r="CB80" s="136">
        <f t="shared" ca="1" si="77"/>
        <v>0</v>
      </c>
      <c r="CC80" s="136">
        <f t="shared" ca="1" si="77"/>
        <v>0</v>
      </c>
      <c r="CD80" s="136">
        <f t="shared" ca="1" si="77"/>
        <v>0</v>
      </c>
      <c r="CE80" s="136">
        <f t="shared" ca="1" si="77"/>
        <v>0</v>
      </c>
      <c r="CF80" s="136">
        <f t="shared" ca="1" si="77"/>
        <v>0</v>
      </c>
      <c r="CG80" s="136">
        <f t="shared" ca="1" si="77"/>
        <v>0</v>
      </c>
      <c r="CH80" s="136">
        <f t="shared" ca="1" si="77"/>
        <v>0</v>
      </c>
      <c r="CI80" s="136">
        <f t="shared" ca="1" si="77"/>
        <v>0</v>
      </c>
      <c r="CJ80" s="136">
        <f t="shared" ca="1" si="77"/>
        <v>0</v>
      </c>
      <c r="CK80" s="136">
        <f t="shared" ca="1" si="77"/>
        <v>0</v>
      </c>
      <c r="CL80" s="136">
        <f t="shared" ca="1" si="77"/>
        <v>0</v>
      </c>
      <c r="CM80" s="136">
        <f t="shared" ca="1" si="77"/>
        <v>0</v>
      </c>
      <c r="CN80" s="136">
        <f t="shared" ca="1" si="77"/>
        <v>0</v>
      </c>
      <c r="CO80" s="136">
        <f t="shared" ca="1" si="77"/>
        <v>0</v>
      </c>
      <c r="CP80" s="133" t="s">
        <v>15</v>
      </c>
    </row>
    <row r="81" spans="2:94" ht="15" customHeight="1" x14ac:dyDescent="0.2">
      <c r="B81" s="136">
        <f ca="1">SUM(I81:CO81)</f>
        <v>788496.42322461889</v>
      </c>
      <c r="C81" s="133" t="s">
        <v>225</v>
      </c>
      <c r="D81" s="259" t="s">
        <v>194</v>
      </c>
      <c r="E81" s="269"/>
      <c r="F81" s="133" t="s">
        <v>226</v>
      </c>
      <c r="G81" s="280">
        <f>(1+PreferredEquityReturn_Case1)^(1/12)-1</f>
        <v>7.2073233161367156E-3</v>
      </c>
      <c r="I81" s="136">
        <f>I80*$G$81</f>
        <v>0</v>
      </c>
      <c r="J81" s="136">
        <f t="shared" ref="J81:BU81" ca="1" si="78">J80*$G$81</f>
        <v>0</v>
      </c>
      <c r="K81" s="136">
        <f t="shared" ca="1" si="78"/>
        <v>0</v>
      </c>
      <c r="L81" s="136">
        <f t="shared" ca="1" si="78"/>
        <v>0</v>
      </c>
      <c r="M81" s="136">
        <f t="shared" ca="1" si="78"/>
        <v>0</v>
      </c>
      <c r="N81" s="136">
        <f t="shared" ca="1" si="78"/>
        <v>0</v>
      </c>
      <c r="O81" s="136">
        <f t="shared" ca="1" si="78"/>
        <v>0</v>
      </c>
      <c r="P81" s="136">
        <f t="shared" ca="1" si="78"/>
        <v>0</v>
      </c>
      <c r="Q81" s="136">
        <f t="shared" ca="1" si="78"/>
        <v>0</v>
      </c>
      <c r="R81" s="136">
        <f t="shared" ca="1" si="78"/>
        <v>0</v>
      </c>
      <c r="S81" s="136">
        <f t="shared" ca="1" si="78"/>
        <v>868.6267182349419</v>
      </c>
      <c r="T81" s="136">
        <f t="shared" ca="1" si="78"/>
        <v>5899.9159999018475</v>
      </c>
      <c r="U81" s="136">
        <f t="shared" ca="1" si="78"/>
        <v>10967.467410118739</v>
      </c>
      <c r="V81" s="136">
        <f t="shared" ca="1" si="78"/>
        <v>16071.542301770209</v>
      </c>
      <c r="W81" s="136">
        <f t="shared" ca="1" si="78"/>
        <v>23937.527164085863</v>
      </c>
      <c r="X81" s="136">
        <f t="shared" ca="1" si="78"/>
        <v>32701.292146173902</v>
      </c>
      <c r="Y81" s="136">
        <f t="shared" ca="1" si="78"/>
        <v>36688.492824587309</v>
      </c>
      <c r="Z81" s="136">
        <f t="shared" ca="1" si="78"/>
        <v>36952.918654355868</v>
      </c>
      <c r="AA81" s="136">
        <f t="shared" ca="1" si="78"/>
        <v>37219.250286572707</v>
      </c>
      <c r="AB81" s="136">
        <f t="shared" ca="1" si="78"/>
        <v>37487.501456972255</v>
      </c>
      <c r="AC81" s="136">
        <f t="shared" ca="1" si="78"/>
        <v>37757.686000286798</v>
      </c>
      <c r="AD81" s="136">
        <f t="shared" ca="1" si="78"/>
        <v>38029.817850960033</v>
      </c>
      <c r="AE81" s="136">
        <f t="shared" ca="1" si="78"/>
        <v>38303.911043865694</v>
      </c>
      <c r="AF81" s="136">
        <f t="shared" ca="1" si="78"/>
        <v>38579.979715031368</v>
      </c>
      <c r="AG81" s="136">
        <f t="shared" ca="1" si="78"/>
        <v>38858.038102367602</v>
      </c>
      <c r="AH81" s="136">
        <f t="shared" ca="1" si="78"/>
        <v>39138.100546402122</v>
      </c>
      <c r="AI81" s="136">
        <f t="shared" ca="1" si="78"/>
        <v>37493.899602129779</v>
      </c>
      <c r="AJ81" s="136">
        <f t="shared" ca="1" si="78"/>
        <v>35805.805173989778</v>
      </c>
      <c r="AK81" s="136">
        <f t="shared" ca="1" si="78"/>
        <v>34139.638280529893</v>
      </c>
      <c r="AL81" s="136">
        <f t="shared" ca="1" si="78"/>
        <v>32451.529080136763</v>
      </c>
      <c r="AM81" s="136">
        <f t="shared" ca="1" si="78"/>
        <v>30763.234911279378</v>
      </c>
      <c r="AN81" s="136">
        <f t="shared" ca="1" si="78"/>
        <v>29052.624643311043</v>
      </c>
      <c r="AO81" s="136">
        <f t="shared" ca="1" si="78"/>
        <v>27341.853233732058</v>
      </c>
      <c r="AP81" s="136">
        <f t="shared" ca="1" si="78"/>
        <v>25619.641830914388</v>
      </c>
      <c r="AQ81" s="136">
        <f t="shared" ca="1" si="78"/>
        <v>23874.793575105279</v>
      </c>
      <c r="AR81" s="136">
        <f t="shared" ca="1" si="78"/>
        <v>22129.663809602665</v>
      </c>
      <c r="AS81" s="136">
        <f t="shared" ca="1" si="78"/>
        <v>20361.670862200739</v>
      </c>
      <c r="AT81" s="136">
        <f t="shared" ca="1" si="78"/>
        <v>0</v>
      </c>
      <c r="AU81" s="136">
        <f t="shared" ca="1" si="78"/>
        <v>0</v>
      </c>
      <c r="AV81" s="136">
        <f t="shared" ca="1" si="78"/>
        <v>0</v>
      </c>
      <c r="AW81" s="136">
        <f t="shared" ca="1" si="78"/>
        <v>0</v>
      </c>
      <c r="AX81" s="136">
        <f t="shared" ca="1" si="78"/>
        <v>0</v>
      </c>
      <c r="AY81" s="136">
        <f t="shared" ca="1" si="78"/>
        <v>0</v>
      </c>
      <c r="AZ81" s="136">
        <f t="shared" ca="1" si="78"/>
        <v>0</v>
      </c>
      <c r="BA81" s="136">
        <f t="shared" ca="1" si="78"/>
        <v>0</v>
      </c>
      <c r="BB81" s="136">
        <f t="shared" ca="1" si="78"/>
        <v>0</v>
      </c>
      <c r="BC81" s="136">
        <f t="shared" ca="1" si="78"/>
        <v>0</v>
      </c>
      <c r="BD81" s="136">
        <f t="shared" ca="1" si="78"/>
        <v>0</v>
      </c>
      <c r="BE81" s="136">
        <f t="shared" ca="1" si="78"/>
        <v>0</v>
      </c>
      <c r="BF81" s="136">
        <f t="shared" ca="1" si="78"/>
        <v>0</v>
      </c>
      <c r="BG81" s="136">
        <f t="shared" ca="1" si="78"/>
        <v>0</v>
      </c>
      <c r="BH81" s="136">
        <f t="shared" ca="1" si="78"/>
        <v>0</v>
      </c>
      <c r="BI81" s="136">
        <f t="shared" ca="1" si="78"/>
        <v>0</v>
      </c>
      <c r="BJ81" s="136">
        <f t="shared" ca="1" si="78"/>
        <v>0</v>
      </c>
      <c r="BK81" s="136">
        <f t="shared" ca="1" si="78"/>
        <v>0</v>
      </c>
      <c r="BL81" s="136">
        <f t="shared" ca="1" si="78"/>
        <v>0</v>
      </c>
      <c r="BM81" s="136">
        <f t="shared" ca="1" si="78"/>
        <v>0</v>
      </c>
      <c r="BN81" s="136">
        <f t="shared" ca="1" si="78"/>
        <v>0</v>
      </c>
      <c r="BO81" s="136">
        <f t="shared" ca="1" si="78"/>
        <v>0</v>
      </c>
      <c r="BP81" s="136">
        <f t="shared" ca="1" si="78"/>
        <v>0</v>
      </c>
      <c r="BQ81" s="136">
        <f t="shared" ca="1" si="78"/>
        <v>0</v>
      </c>
      <c r="BR81" s="136">
        <f t="shared" ca="1" si="78"/>
        <v>0</v>
      </c>
      <c r="BS81" s="136">
        <f t="shared" ca="1" si="78"/>
        <v>0</v>
      </c>
      <c r="BT81" s="136">
        <f t="shared" ca="1" si="78"/>
        <v>0</v>
      </c>
      <c r="BU81" s="136">
        <f t="shared" ca="1" si="78"/>
        <v>0</v>
      </c>
      <c r="BV81" s="136">
        <f t="shared" ref="BV81:CO81" ca="1" si="79">BV80*$G$81</f>
        <v>0</v>
      </c>
      <c r="BW81" s="136">
        <f t="shared" ca="1" si="79"/>
        <v>0</v>
      </c>
      <c r="BX81" s="136">
        <f t="shared" ca="1" si="79"/>
        <v>0</v>
      </c>
      <c r="BY81" s="136">
        <f t="shared" ca="1" si="79"/>
        <v>0</v>
      </c>
      <c r="BZ81" s="136">
        <f t="shared" ca="1" si="79"/>
        <v>0</v>
      </c>
      <c r="CA81" s="136">
        <f t="shared" ca="1" si="79"/>
        <v>0</v>
      </c>
      <c r="CB81" s="136">
        <f t="shared" ca="1" si="79"/>
        <v>0</v>
      </c>
      <c r="CC81" s="136">
        <f t="shared" ca="1" si="79"/>
        <v>0</v>
      </c>
      <c r="CD81" s="136">
        <f t="shared" ca="1" si="79"/>
        <v>0</v>
      </c>
      <c r="CE81" s="136">
        <f t="shared" ca="1" si="79"/>
        <v>0</v>
      </c>
      <c r="CF81" s="136">
        <f t="shared" ca="1" si="79"/>
        <v>0</v>
      </c>
      <c r="CG81" s="136">
        <f t="shared" ca="1" si="79"/>
        <v>0</v>
      </c>
      <c r="CH81" s="136">
        <f t="shared" ca="1" si="79"/>
        <v>0</v>
      </c>
      <c r="CI81" s="136">
        <f t="shared" ca="1" si="79"/>
        <v>0</v>
      </c>
      <c r="CJ81" s="136">
        <f t="shared" ca="1" si="79"/>
        <v>0</v>
      </c>
      <c r="CK81" s="136">
        <f t="shared" ca="1" si="79"/>
        <v>0</v>
      </c>
      <c r="CL81" s="136">
        <f t="shared" ca="1" si="79"/>
        <v>0</v>
      </c>
      <c r="CM81" s="136">
        <f t="shared" ca="1" si="79"/>
        <v>0</v>
      </c>
      <c r="CN81" s="136">
        <f t="shared" ca="1" si="79"/>
        <v>0</v>
      </c>
      <c r="CO81" s="136">
        <f t="shared" ca="1" si="79"/>
        <v>0</v>
      </c>
      <c r="CP81" s="133" t="s">
        <v>15</v>
      </c>
    </row>
    <row r="82" spans="2:94" ht="15" customHeight="1" x14ac:dyDescent="0.2">
      <c r="B82" s="136">
        <f>SUM(I82:CO82)</f>
        <v>5000000</v>
      </c>
      <c r="D82" s="259" t="s">
        <v>194</v>
      </c>
      <c r="E82" s="269"/>
      <c r="F82" s="133" t="s">
        <v>223</v>
      </c>
      <c r="I82" s="136">
        <f>MIN(-(SUM(I39:I40)+I76),PreferredEquityOBalance-SUM($H82:H82))</f>
        <v>0</v>
      </c>
      <c r="J82" s="136">
        <f>MIN(-(SUM(J39:J40)+J76),PreferredEquityOBalance-SUM($H82:I82))</f>
        <v>0</v>
      </c>
      <c r="K82" s="136">
        <f>MIN(-(SUM(K39:K40)+K76),PreferredEquityOBalance-SUM($H82:J82))</f>
        <v>0</v>
      </c>
      <c r="L82" s="136">
        <f>MIN(-(SUM(L39:L40)+L76),PreferredEquityOBalance-SUM($H82:K82))</f>
        <v>0</v>
      </c>
      <c r="M82" s="136">
        <f>MIN(-(SUM(M39:M40)+M76),PreferredEquityOBalance-SUM($H82:L82))</f>
        <v>0</v>
      </c>
      <c r="N82" s="136">
        <f>MIN(-(SUM(N39:N40)+N76),PreferredEquityOBalance-SUM($H82:M82))</f>
        <v>0</v>
      </c>
      <c r="O82" s="136">
        <f>MIN(-(SUM(O39:O40)+O76),PreferredEquityOBalance-SUM($H82:N82))</f>
        <v>0</v>
      </c>
      <c r="P82" s="136">
        <f>MIN(-(SUM(P39:P40)+P76),PreferredEquityOBalance-SUM($H82:O82))</f>
        <v>0</v>
      </c>
      <c r="Q82" s="136">
        <f>MIN(-(SUM(Q39:Q40)+Q76),PreferredEquityOBalance-SUM($H82:P82))</f>
        <v>0</v>
      </c>
      <c r="R82" s="136">
        <f>MIN(-(SUM(R39:R40)+R76),PreferredEquityOBalance-SUM($H82:Q82))</f>
        <v>120520.01556391187</v>
      </c>
      <c r="S82" s="136">
        <f>MIN(-(SUM(S39:S40)+S76),PreferredEquityOBalance-SUM($H82:R82))</f>
        <v>697211.51496240601</v>
      </c>
      <c r="T82" s="136">
        <f>MIN(-(SUM(T39:T40)+T76),PreferredEquityOBalance-SUM($H82:S82))</f>
        <v>697211.51496240601</v>
      </c>
      <c r="U82" s="136">
        <f>MIN(-(SUM(U39:U40)+U76),PreferredEquityOBalance-SUM($H82:T82))</f>
        <v>697211.51496240601</v>
      </c>
      <c r="V82" s="136">
        <f>MIN(-(SUM(V39:V40)+V76),PreferredEquityOBalance-SUM($H82:U82))</f>
        <v>1075316.2749624059</v>
      </c>
      <c r="W82" s="136">
        <f>MIN(-(SUM(W39:W40)+W76),PreferredEquityOBalance-SUM($H82:V82))</f>
        <v>1192015.2749624061</v>
      </c>
      <c r="X82" s="136">
        <f>MIN(-(SUM(X39:X40)+X76),PreferredEquityOBalance-SUM($H82:W82))</f>
        <v>520513.88962405734</v>
      </c>
      <c r="Y82" s="136">
        <f>MIN(-(SUM(Y39:Y40)+Y76),PreferredEquityOBalance-SUM($H82:X82))</f>
        <v>0</v>
      </c>
      <c r="Z82" s="136">
        <f>MIN(-(SUM(Z39:Z40)+Z76),PreferredEquityOBalance-SUM($H82:Y82))</f>
        <v>0</v>
      </c>
      <c r="AA82" s="136">
        <f>MIN(-(SUM(AA39:AA40)+AA76),PreferredEquityOBalance-SUM($H82:Z82))</f>
        <v>0</v>
      </c>
      <c r="AB82" s="136">
        <f>MIN(-(SUM(AB39:AB40)+AB76),PreferredEquityOBalance-SUM($H82:AA82))</f>
        <v>0</v>
      </c>
      <c r="AC82" s="136">
        <f>MIN(-(SUM(AC39:AC40)+AC76),PreferredEquityOBalance-SUM($H82:AB82))</f>
        <v>0</v>
      </c>
      <c r="AD82" s="136">
        <f>MIN(-(SUM(AD39:AD40)+AD76),PreferredEquityOBalance-SUM($H82:AC82))</f>
        <v>0</v>
      </c>
      <c r="AE82" s="136">
        <f>MIN(-(SUM(AE39:AE40)+AE76),PreferredEquityOBalance-SUM($H82:AD82))</f>
        <v>0</v>
      </c>
      <c r="AF82" s="136">
        <f>MIN(-(SUM(AF39:AF40)+AF76),PreferredEquityOBalance-SUM($H82:AE82))</f>
        <v>0</v>
      </c>
      <c r="AG82" s="136">
        <f>MIN(-(SUM(AG39:AG40)+AG76),PreferredEquityOBalance-SUM($H82:AF82))</f>
        <v>0</v>
      </c>
      <c r="AH82" s="136">
        <f>MIN(-(SUM(AH39:AH40)+AH76),PreferredEquityOBalance-SUM($H82:AG82))</f>
        <v>0</v>
      </c>
      <c r="AI82" s="136">
        <f>MIN(-(SUM(AI39:AI40)+AI76),PreferredEquityOBalance-SUM($H82:AH82))</f>
        <v>0</v>
      </c>
      <c r="AJ82" s="136">
        <f>MIN(-(SUM(AJ39:AJ40)+AJ76),PreferredEquityOBalance-SUM($H82:AI82))</f>
        <v>0</v>
      </c>
      <c r="AK82" s="136">
        <f>MIN(-(SUM(AK39:AK40)+AK76),PreferredEquityOBalance-SUM($H82:AJ82))</f>
        <v>0</v>
      </c>
      <c r="AL82" s="136">
        <f>MIN(-(SUM(AL39:AL40)+AL76),PreferredEquityOBalance-SUM($H82:AK82))</f>
        <v>0</v>
      </c>
      <c r="AM82" s="136">
        <f>MIN(-(SUM(AM39:AM40)+AM76),PreferredEquityOBalance-SUM($H82:AL82))</f>
        <v>0</v>
      </c>
      <c r="AN82" s="136">
        <f>MIN(-(SUM(AN39:AN40)+AN76),PreferredEquityOBalance-SUM($H82:AM82))</f>
        <v>0</v>
      </c>
      <c r="AO82" s="136">
        <f>MIN(-(SUM(AO39:AO40)+AO76),PreferredEquityOBalance-SUM($H82:AN82))</f>
        <v>0</v>
      </c>
      <c r="AP82" s="136">
        <f>MIN(-(SUM(AP39:AP40)+AP76),PreferredEquityOBalance-SUM($H82:AO82))</f>
        <v>0</v>
      </c>
      <c r="AQ82" s="136">
        <f>MIN(-(SUM(AQ39:AQ40)+AQ76),PreferredEquityOBalance-SUM($H82:AP82))</f>
        <v>0</v>
      </c>
      <c r="AR82" s="136">
        <f>MIN(-(SUM(AR39:AR40)+AR76),PreferredEquityOBalance-SUM($H82:AQ82))</f>
        <v>0</v>
      </c>
      <c r="AS82" s="136">
        <f>MIN(-(SUM(AS39:AS40)+AS76),PreferredEquityOBalance-SUM($H82:AR82))</f>
        <v>0</v>
      </c>
      <c r="AT82" s="136">
        <f>MIN(-(SUM(AT39:AT40)+AT76),PreferredEquityOBalance-SUM($H82:AS82))</f>
        <v>0</v>
      </c>
      <c r="AU82" s="136">
        <f>MIN(-(SUM(AU39:AU40)+AU76),PreferredEquityOBalance-SUM($H82:AT82))</f>
        <v>0</v>
      </c>
      <c r="AV82" s="136">
        <f>MIN(-(SUM(AV39:AV40)+AV76),PreferredEquityOBalance-SUM($H82:AU82))</f>
        <v>0</v>
      </c>
      <c r="AW82" s="136">
        <f>MIN(-(SUM(AW39:AW40)+AW76),PreferredEquityOBalance-SUM($H82:AV82))</f>
        <v>0</v>
      </c>
      <c r="AX82" s="136">
        <f>MIN(-(SUM(AX39:AX40)+AX76),PreferredEquityOBalance-SUM($H82:AW82))</f>
        <v>0</v>
      </c>
      <c r="AY82" s="136">
        <f>MIN(-(SUM(AY39:AY40)+AY76),PreferredEquityOBalance-SUM($H82:AX82))</f>
        <v>0</v>
      </c>
      <c r="AZ82" s="136">
        <f>MIN(-(SUM(AZ39:AZ40)+AZ76),PreferredEquityOBalance-SUM($H82:AY82))</f>
        <v>0</v>
      </c>
      <c r="BA82" s="136">
        <f>MIN(-(SUM(BA39:BA40)+BA76),PreferredEquityOBalance-SUM($H82:AZ82))</f>
        <v>0</v>
      </c>
      <c r="BB82" s="136">
        <f>MIN(-(SUM(BB39:BB40)+BB76),PreferredEquityOBalance-SUM($H82:BA82))</f>
        <v>0</v>
      </c>
      <c r="BC82" s="136">
        <f>MIN(-(SUM(BC39:BC40)+BC76),PreferredEquityOBalance-SUM($H82:BB82))</f>
        <v>0</v>
      </c>
      <c r="BD82" s="136">
        <f>MIN(-(SUM(BD39:BD40)+BD76),PreferredEquityOBalance-SUM($H82:BC82))</f>
        <v>0</v>
      </c>
      <c r="BE82" s="136">
        <f>MIN(-(SUM(BE39:BE40)+BE76),PreferredEquityOBalance-SUM($H82:BD82))</f>
        <v>0</v>
      </c>
      <c r="BF82" s="136">
        <f>MIN(-(SUM(BF39:BF40)+BF76),PreferredEquityOBalance-SUM($H82:BE82))</f>
        <v>0</v>
      </c>
      <c r="BG82" s="136">
        <f>MIN(-(SUM(BG39:BG40)+BG76),PreferredEquityOBalance-SUM($H82:BF82))</f>
        <v>0</v>
      </c>
      <c r="BH82" s="136">
        <f>MIN(-(SUM(BH39:BH40)+BH76),PreferredEquityOBalance-SUM($H82:BG82))</f>
        <v>0</v>
      </c>
      <c r="BI82" s="136">
        <f>MIN(-(SUM(BI39:BI40)+BI76),PreferredEquityOBalance-SUM($H82:BH82))</f>
        <v>0</v>
      </c>
      <c r="BJ82" s="136">
        <f>MIN(-(SUM(BJ39:BJ40)+BJ76),PreferredEquityOBalance-SUM($H82:BI82))</f>
        <v>0</v>
      </c>
      <c r="BK82" s="136">
        <f>MIN(-(SUM(BK39:BK40)+BK76),PreferredEquityOBalance-SUM($H82:BJ82))</f>
        <v>0</v>
      </c>
      <c r="BL82" s="136">
        <f>MIN(-(SUM(BL39:BL40)+BL76),PreferredEquityOBalance-SUM($H82:BK82))</f>
        <v>0</v>
      </c>
      <c r="BM82" s="136">
        <f>MIN(-(SUM(BM39:BM40)+BM76),PreferredEquityOBalance-SUM($H82:BL82))</f>
        <v>0</v>
      </c>
      <c r="BN82" s="136">
        <f>MIN(-(SUM(BN39:BN40)+BN76),PreferredEquityOBalance-SUM($H82:BM82))</f>
        <v>0</v>
      </c>
      <c r="BO82" s="136">
        <f>MIN(-(SUM(BO39:BO40)+BO76),PreferredEquityOBalance-SUM($H82:BN82))</f>
        <v>0</v>
      </c>
      <c r="BP82" s="136">
        <f>MIN(-(SUM(BP39:BP40)+BP76),PreferredEquityOBalance-SUM($H82:BO82))</f>
        <v>0</v>
      </c>
      <c r="BQ82" s="136">
        <f>MIN(-(SUM(BQ39:BQ40)+BQ76),PreferredEquityOBalance-SUM($H82:BP82))</f>
        <v>0</v>
      </c>
      <c r="BR82" s="136">
        <f>MIN(-(SUM(BR39:BR40)+BR76),PreferredEquityOBalance-SUM($H82:BQ82))</f>
        <v>0</v>
      </c>
      <c r="BS82" s="136">
        <f>MIN(-(SUM(BS39:BS40)+BS76),PreferredEquityOBalance-SUM($H82:BR82))</f>
        <v>0</v>
      </c>
      <c r="BT82" s="136">
        <f>MIN(-(SUM(BT39:BT40)+BT76),PreferredEquityOBalance-SUM($H82:BS82))</f>
        <v>0</v>
      </c>
      <c r="BU82" s="136">
        <f>MIN(-(SUM(BU39:BU40)+BU76),PreferredEquityOBalance-SUM($H82:BT82))</f>
        <v>0</v>
      </c>
      <c r="BV82" s="136">
        <f>MIN(-(SUM(BV39:BV40)+BV76),PreferredEquityOBalance-SUM($H82:BU82))</f>
        <v>0</v>
      </c>
      <c r="BW82" s="136">
        <f>MIN(-(SUM(BW39:BW40)+BW76),PreferredEquityOBalance-SUM($H82:BV82))</f>
        <v>0</v>
      </c>
      <c r="BX82" s="136">
        <f>MIN(-(SUM(BX39:BX40)+BX76),PreferredEquityOBalance-SUM($H82:BW82))</f>
        <v>0</v>
      </c>
      <c r="BY82" s="136">
        <f>MIN(-(SUM(BY39:BY40)+BY76),PreferredEquityOBalance-SUM($H82:BX82))</f>
        <v>0</v>
      </c>
      <c r="BZ82" s="136">
        <f>MIN(-(SUM(BZ39:BZ40)+BZ76),PreferredEquityOBalance-SUM($H82:BY82))</f>
        <v>0</v>
      </c>
      <c r="CA82" s="136">
        <f>MIN(-(SUM(CA39:CA40)+CA76),PreferredEquityOBalance-SUM($H82:BZ82))</f>
        <v>0</v>
      </c>
      <c r="CB82" s="136">
        <f>MIN(-(SUM(CB39:CB40)+CB76),PreferredEquityOBalance-SUM($H82:CA82))</f>
        <v>0</v>
      </c>
      <c r="CC82" s="136">
        <f>MIN(-(SUM(CC39:CC40)+CC76),PreferredEquityOBalance-SUM($H82:CB82))</f>
        <v>0</v>
      </c>
      <c r="CD82" s="136">
        <f>MIN(-(SUM(CD39:CD40)+CD76),PreferredEquityOBalance-SUM($H82:CC82))</f>
        <v>0</v>
      </c>
      <c r="CE82" s="136">
        <f>MIN(-(SUM(CE39:CE40)+CE76),PreferredEquityOBalance-SUM($H82:CD82))</f>
        <v>0</v>
      </c>
      <c r="CF82" s="136">
        <f>MIN(-(SUM(CF39:CF40)+CF76),PreferredEquityOBalance-SUM($H82:CE82))</f>
        <v>0</v>
      </c>
      <c r="CG82" s="136">
        <f>MIN(-(SUM(CG39:CG40)+CG76),PreferredEquityOBalance-SUM($H82:CF82))</f>
        <v>0</v>
      </c>
      <c r="CH82" s="136">
        <f>MIN(-(SUM(CH39:CH40)+CH76),PreferredEquityOBalance-SUM($H82:CG82))</f>
        <v>0</v>
      </c>
      <c r="CI82" s="136">
        <f>MIN(-(SUM(CI39:CI40)+CI76),PreferredEquityOBalance-SUM($H82:CH82))</f>
        <v>0</v>
      </c>
      <c r="CJ82" s="136">
        <f>MIN(-(SUM(CJ39:CJ40)+CJ76),PreferredEquityOBalance-SUM($H82:CI82))</f>
        <v>0</v>
      </c>
      <c r="CK82" s="136">
        <f>MIN(-(SUM(CK39:CK40)+CK76),PreferredEquityOBalance-SUM($H82:CJ82))</f>
        <v>0</v>
      </c>
      <c r="CL82" s="136">
        <f>MIN(-(SUM(CL39:CL40)+CL76),PreferredEquityOBalance-SUM($H82:CK82))</f>
        <v>0</v>
      </c>
      <c r="CM82" s="136">
        <f>MIN(-(SUM(CM39:CM40)+CM76),PreferredEquityOBalance-SUM($H82:CL82))</f>
        <v>0</v>
      </c>
      <c r="CN82" s="136">
        <f>MIN(-(SUM(CN39:CN40)+CN76),PreferredEquityOBalance-SUM($H82:CM82))</f>
        <v>0</v>
      </c>
      <c r="CO82" s="136">
        <f>MIN(-(SUM(CO39:CO40)+CO76),PreferredEquityOBalance-SUM($H82:CN82))</f>
        <v>0</v>
      </c>
      <c r="CP82" s="133" t="s">
        <v>15</v>
      </c>
    </row>
    <row r="83" spans="2:94" ht="15" customHeight="1" x14ac:dyDescent="0.2">
      <c r="B83" s="136">
        <f ca="1">SUM(I83:CO83)</f>
        <v>-5788496.4232246187</v>
      </c>
      <c r="C83" s="281" t="s">
        <v>296</v>
      </c>
      <c r="D83" s="259" t="s">
        <v>199</v>
      </c>
      <c r="E83" s="269"/>
      <c r="F83" s="133" t="s">
        <v>227</v>
      </c>
      <c r="I83" s="136">
        <f ca="1">-MIN(SUM(I80:I82),MAX(SUM(I38:I53),0))</f>
        <v>0</v>
      </c>
      <c r="J83" s="136">
        <f t="shared" ref="J83:BU83" ca="1" si="80">-MIN(SUM(J80:J82),MAX(SUM(J38:J53),0))</f>
        <v>0</v>
      </c>
      <c r="K83" s="136">
        <f t="shared" ca="1" si="80"/>
        <v>0</v>
      </c>
      <c r="L83" s="136">
        <f t="shared" ca="1" si="80"/>
        <v>0</v>
      </c>
      <c r="M83" s="136">
        <f t="shared" ca="1" si="80"/>
        <v>0</v>
      </c>
      <c r="N83" s="136">
        <f t="shared" ca="1" si="80"/>
        <v>0</v>
      </c>
      <c r="O83" s="136">
        <f t="shared" ca="1" si="80"/>
        <v>0</v>
      </c>
      <c r="P83" s="136">
        <f t="shared" ca="1" si="80"/>
        <v>0</v>
      </c>
      <c r="Q83" s="136">
        <f t="shared" ca="1" si="80"/>
        <v>0</v>
      </c>
      <c r="R83" s="136">
        <f t="shared" ca="1" si="80"/>
        <v>0</v>
      </c>
      <c r="S83" s="136">
        <f t="shared" ca="1" si="80"/>
        <v>0</v>
      </c>
      <c r="T83" s="136">
        <f t="shared" ca="1" si="80"/>
        <v>0</v>
      </c>
      <c r="U83" s="136">
        <f t="shared" ca="1" si="80"/>
        <v>0</v>
      </c>
      <c r="V83" s="136">
        <f t="shared" ca="1" si="80"/>
        <v>0</v>
      </c>
      <c r="W83" s="136">
        <f t="shared" ca="1" si="80"/>
        <v>0</v>
      </c>
      <c r="X83" s="136">
        <f t="shared" ca="1" si="80"/>
        <v>0</v>
      </c>
      <c r="Y83" s="136">
        <f t="shared" ca="1" si="80"/>
        <v>0</v>
      </c>
      <c r="Z83" s="136">
        <f t="shared" ca="1" si="80"/>
        <v>0</v>
      </c>
      <c r="AA83" s="136">
        <f t="shared" ca="1" si="80"/>
        <v>0</v>
      </c>
      <c r="AB83" s="136">
        <f t="shared" ca="1" si="80"/>
        <v>0</v>
      </c>
      <c r="AC83" s="136">
        <f t="shared" ca="1" si="80"/>
        <v>0</v>
      </c>
      <c r="AD83" s="136">
        <f t="shared" ca="1" si="80"/>
        <v>0</v>
      </c>
      <c r="AE83" s="136">
        <f t="shared" ca="1" si="80"/>
        <v>0</v>
      </c>
      <c r="AF83" s="136">
        <f t="shared" ca="1" si="80"/>
        <v>0</v>
      </c>
      <c r="AG83" s="136">
        <f t="shared" ca="1" si="80"/>
        <v>0</v>
      </c>
      <c r="AH83" s="136">
        <f t="shared" ca="1" si="80"/>
        <v>-267267.30637668417</v>
      </c>
      <c r="AI83" s="136">
        <f t="shared" ca="1" si="80"/>
        <v>-271713.22820647666</v>
      </c>
      <c r="AJ83" s="136">
        <f t="shared" ca="1" si="80"/>
        <v>-266982.7373548242</v>
      </c>
      <c r="AK83" s="136">
        <f t="shared" ca="1" si="80"/>
        <v>-268361.01650197932</v>
      </c>
      <c r="AL83" s="136">
        <f t="shared" ca="1" si="80"/>
        <v>-266698.57126255275</v>
      </c>
      <c r="AM83" s="136">
        <f t="shared" ca="1" si="80"/>
        <v>-268106.58596345084</v>
      </c>
      <c r="AN83" s="136">
        <f t="shared" ca="1" si="80"/>
        <v>-266418.33373376896</v>
      </c>
      <c r="AO83" s="136">
        <f t="shared" ca="1" si="80"/>
        <v>-266294.83581490163</v>
      </c>
      <c r="AP83" s="136">
        <f t="shared" ca="1" si="80"/>
        <v>-267713.43716579361</v>
      </c>
      <c r="AQ83" s="136">
        <f t="shared" ca="1" si="80"/>
        <v>-266007.6477507166</v>
      </c>
      <c r="AR83" s="136">
        <f t="shared" ca="1" si="80"/>
        <v>-267434.7333689917</v>
      </c>
      <c r="AS83" s="136">
        <f t="shared" ca="1" si="80"/>
        <v>-2845497.9897244778</v>
      </c>
      <c r="AT83" s="136">
        <f t="shared" ca="1" si="80"/>
        <v>0</v>
      </c>
      <c r="AU83" s="136">
        <f t="shared" ca="1" si="80"/>
        <v>0</v>
      </c>
      <c r="AV83" s="136">
        <f t="shared" ca="1" si="80"/>
        <v>0</v>
      </c>
      <c r="AW83" s="136">
        <f t="shared" ca="1" si="80"/>
        <v>0</v>
      </c>
      <c r="AX83" s="136">
        <f t="shared" ca="1" si="80"/>
        <v>0</v>
      </c>
      <c r="AY83" s="136">
        <f t="shared" ca="1" si="80"/>
        <v>0</v>
      </c>
      <c r="AZ83" s="136">
        <f t="shared" ca="1" si="80"/>
        <v>0</v>
      </c>
      <c r="BA83" s="136">
        <f t="shared" ca="1" si="80"/>
        <v>0</v>
      </c>
      <c r="BB83" s="136">
        <f t="shared" ca="1" si="80"/>
        <v>0</v>
      </c>
      <c r="BC83" s="136">
        <f t="shared" ca="1" si="80"/>
        <v>0</v>
      </c>
      <c r="BD83" s="136">
        <f t="shared" ca="1" si="80"/>
        <v>0</v>
      </c>
      <c r="BE83" s="136">
        <f t="shared" ca="1" si="80"/>
        <v>0</v>
      </c>
      <c r="BF83" s="136">
        <f t="shared" ca="1" si="80"/>
        <v>0</v>
      </c>
      <c r="BG83" s="136">
        <f t="shared" ca="1" si="80"/>
        <v>0</v>
      </c>
      <c r="BH83" s="136">
        <f t="shared" ca="1" si="80"/>
        <v>0</v>
      </c>
      <c r="BI83" s="136">
        <f t="shared" ca="1" si="80"/>
        <v>0</v>
      </c>
      <c r="BJ83" s="136">
        <f t="shared" ca="1" si="80"/>
        <v>0</v>
      </c>
      <c r="BK83" s="136">
        <f t="shared" ca="1" si="80"/>
        <v>0</v>
      </c>
      <c r="BL83" s="136">
        <f t="shared" ca="1" si="80"/>
        <v>0</v>
      </c>
      <c r="BM83" s="136">
        <f t="shared" ca="1" si="80"/>
        <v>0</v>
      </c>
      <c r="BN83" s="136">
        <f t="shared" ca="1" si="80"/>
        <v>0</v>
      </c>
      <c r="BO83" s="136">
        <f t="shared" ca="1" si="80"/>
        <v>0</v>
      </c>
      <c r="BP83" s="136">
        <f t="shared" ca="1" si="80"/>
        <v>0</v>
      </c>
      <c r="BQ83" s="136">
        <f t="shared" ca="1" si="80"/>
        <v>0</v>
      </c>
      <c r="BR83" s="136">
        <f t="shared" ca="1" si="80"/>
        <v>0</v>
      </c>
      <c r="BS83" s="136">
        <f t="shared" ca="1" si="80"/>
        <v>0</v>
      </c>
      <c r="BT83" s="136">
        <f t="shared" ca="1" si="80"/>
        <v>0</v>
      </c>
      <c r="BU83" s="136">
        <f t="shared" ca="1" si="80"/>
        <v>0</v>
      </c>
      <c r="BV83" s="136">
        <f t="shared" ref="BV83:CO83" ca="1" si="81">-MIN(SUM(BV80:BV82),MAX(SUM(BV38:BV53),0))</f>
        <v>0</v>
      </c>
      <c r="BW83" s="136">
        <f t="shared" ca="1" si="81"/>
        <v>0</v>
      </c>
      <c r="BX83" s="136">
        <f t="shared" ca="1" si="81"/>
        <v>0</v>
      </c>
      <c r="BY83" s="136">
        <f t="shared" ca="1" si="81"/>
        <v>0</v>
      </c>
      <c r="BZ83" s="136">
        <f t="shared" ca="1" si="81"/>
        <v>0</v>
      </c>
      <c r="CA83" s="136">
        <f t="shared" ca="1" si="81"/>
        <v>0</v>
      </c>
      <c r="CB83" s="136">
        <f t="shared" ca="1" si="81"/>
        <v>0</v>
      </c>
      <c r="CC83" s="136">
        <f t="shared" ca="1" si="81"/>
        <v>0</v>
      </c>
      <c r="CD83" s="136">
        <f t="shared" ca="1" si="81"/>
        <v>0</v>
      </c>
      <c r="CE83" s="136">
        <f t="shared" ca="1" si="81"/>
        <v>0</v>
      </c>
      <c r="CF83" s="136">
        <f t="shared" ca="1" si="81"/>
        <v>0</v>
      </c>
      <c r="CG83" s="136">
        <f t="shared" ca="1" si="81"/>
        <v>0</v>
      </c>
      <c r="CH83" s="136">
        <f t="shared" ca="1" si="81"/>
        <v>0</v>
      </c>
      <c r="CI83" s="136">
        <f t="shared" ca="1" si="81"/>
        <v>0</v>
      </c>
      <c r="CJ83" s="136">
        <f t="shared" ca="1" si="81"/>
        <v>0</v>
      </c>
      <c r="CK83" s="136">
        <f t="shared" ca="1" si="81"/>
        <v>0</v>
      </c>
      <c r="CL83" s="136">
        <f t="shared" ca="1" si="81"/>
        <v>0</v>
      </c>
      <c r="CM83" s="136">
        <f t="shared" ca="1" si="81"/>
        <v>0</v>
      </c>
      <c r="CN83" s="136">
        <f t="shared" ca="1" si="81"/>
        <v>0</v>
      </c>
      <c r="CO83" s="136">
        <f t="shared" ca="1" si="81"/>
        <v>0</v>
      </c>
      <c r="CP83" s="133" t="s">
        <v>15</v>
      </c>
    </row>
    <row r="84" spans="2:94" ht="15" customHeight="1" x14ac:dyDescent="0.2">
      <c r="B84" s="136">
        <f ca="1">SUM(B81:B83)</f>
        <v>0</v>
      </c>
      <c r="C84" s="282"/>
      <c r="D84" s="259"/>
      <c r="E84" s="269"/>
      <c r="F84" s="133" t="s">
        <v>224</v>
      </c>
      <c r="I84" s="136">
        <f t="shared" ref="I84" ca="1" si="82">SUM(I80:I83)</f>
        <v>0</v>
      </c>
      <c r="J84" s="136">
        <f t="shared" ref="J84:BU84" ca="1" si="83">SUM(J80:J83)</f>
        <v>0</v>
      </c>
      <c r="K84" s="136">
        <f t="shared" ca="1" si="83"/>
        <v>0</v>
      </c>
      <c r="L84" s="136">
        <f t="shared" ca="1" si="83"/>
        <v>0</v>
      </c>
      <c r="M84" s="136">
        <f t="shared" ca="1" si="83"/>
        <v>0</v>
      </c>
      <c r="N84" s="136">
        <f t="shared" ca="1" si="83"/>
        <v>0</v>
      </c>
      <c r="O84" s="136">
        <f t="shared" ca="1" si="83"/>
        <v>0</v>
      </c>
      <c r="P84" s="136">
        <f t="shared" ca="1" si="83"/>
        <v>0</v>
      </c>
      <c r="Q84" s="136">
        <f t="shared" ca="1" si="83"/>
        <v>0</v>
      </c>
      <c r="R84" s="136">
        <f t="shared" ca="1" si="83"/>
        <v>120520.01556391187</v>
      </c>
      <c r="S84" s="136">
        <f t="shared" ca="1" si="83"/>
        <v>818600.15724455286</v>
      </c>
      <c r="T84" s="136">
        <f t="shared" ca="1" si="83"/>
        <v>1521711.5882068607</v>
      </c>
      <c r="U84" s="136">
        <f t="shared" ca="1" si="83"/>
        <v>2229890.5705793854</v>
      </c>
      <c r="V84" s="136">
        <f t="shared" ca="1" si="83"/>
        <v>3321278.3878435614</v>
      </c>
      <c r="W84" s="136">
        <f t="shared" ca="1" si="83"/>
        <v>4537231.1899700537</v>
      </c>
      <c r="X84" s="136">
        <f t="shared" ca="1" si="83"/>
        <v>5090446.3717402853</v>
      </c>
      <c r="Y84" s="136">
        <f t="shared" ca="1" si="83"/>
        <v>5127134.8645648723</v>
      </c>
      <c r="Z84" s="136">
        <f t="shared" ca="1" si="83"/>
        <v>5164087.7832192285</v>
      </c>
      <c r="AA84" s="136">
        <f t="shared" ca="1" si="83"/>
        <v>5201307.0335058011</v>
      </c>
      <c r="AB84" s="136">
        <f t="shared" ca="1" si="83"/>
        <v>5238794.5349627733</v>
      </c>
      <c r="AC84" s="136">
        <f t="shared" ca="1" si="83"/>
        <v>5276552.2209630599</v>
      </c>
      <c r="AD84" s="136">
        <f t="shared" ca="1" si="83"/>
        <v>5314582.0388140203</v>
      </c>
      <c r="AE84" s="136">
        <f t="shared" ca="1" si="83"/>
        <v>5352885.9498578859</v>
      </c>
      <c r="AF84" s="136">
        <f t="shared" ca="1" si="83"/>
        <v>5391465.9295729175</v>
      </c>
      <c r="AG84" s="136">
        <f t="shared" ca="1" si="83"/>
        <v>5430323.9676752854</v>
      </c>
      <c r="AH84" s="136">
        <f t="shared" ca="1" si="83"/>
        <v>5202194.7618450029</v>
      </c>
      <c r="AI84" s="136">
        <f t="shared" ca="1" si="83"/>
        <v>4967975.4332406558</v>
      </c>
      <c r="AJ84" s="136">
        <f t="shared" ca="1" si="83"/>
        <v>4736798.5010598209</v>
      </c>
      <c r="AK84" s="136">
        <f t="shared" ca="1" si="83"/>
        <v>4502577.1228383714</v>
      </c>
      <c r="AL84" s="136">
        <f t="shared" ca="1" si="83"/>
        <v>4268330.0806559557</v>
      </c>
      <c r="AM84" s="136">
        <f t="shared" ca="1" si="83"/>
        <v>4030986.7296037846</v>
      </c>
      <c r="AN84" s="136">
        <f t="shared" ca="1" si="83"/>
        <v>3793621.0205133264</v>
      </c>
      <c r="AO84" s="136">
        <f t="shared" ca="1" si="83"/>
        <v>3554668.0379321571</v>
      </c>
      <c r="AP84" s="136">
        <f t="shared" ca="1" si="83"/>
        <v>3312574.2425972777</v>
      </c>
      <c r="AQ84" s="136">
        <f t="shared" ca="1" si="83"/>
        <v>3070441.3884216663</v>
      </c>
      <c r="AR84" s="136">
        <f t="shared" ca="1" si="83"/>
        <v>2825136.3188622771</v>
      </c>
      <c r="AS84" s="136">
        <f t="shared" ca="1" si="83"/>
        <v>0</v>
      </c>
      <c r="AT84" s="136">
        <f t="shared" ca="1" si="83"/>
        <v>0</v>
      </c>
      <c r="AU84" s="136">
        <f t="shared" ca="1" si="83"/>
        <v>0</v>
      </c>
      <c r="AV84" s="136">
        <f t="shared" ca="1" si="83"/>
        <v>0</v>
      </c>
      <c r="AW84" s="136">
        <f t="shared" ca="1" si="83"/>
        <v>0</v>
      </c>
      <c r="AX84" s="136">
        <f t="shared" ca="1" si="83"/>
        <v>0</v>
      </c>
      <c r="AY84" s="136">
        <f t="shared" ca="1" si="83"/>
        <v>0</v>
      </c>
      <c r="AZ84" s="136">
        <f t="shared" ca="1" si="83"/>
        <v>0</v>
      </c>
      <c r="BA84" s="136">
        <f t="shared" ca="1" si="83"/>
        <v>0</v>
      </c>
      <c r="BB84" s="136">
        <f t="shared" ca="1" si="83"/>
        <v>0</v>
      </c>
      <c r="BC84" s="136">
        <f t="shared" ca="1" si="83"/>
        <v>0</v>
      </c>
      <c r="BD84" s="136">
        <f t="shared" ca="1" si="83"/>
        <v>0</v>
      </c>
      <c r="BE84" s="136">
        <f t="shared" ca="1" si="83"/>
        <v>0</v>
      </c>
      <c r="BF84" s="136">
        <f t="shared" ca="1" si="83"/>
        <v>0</v>
      </c>
      <c r="BG84" s="136">
        <f t="shared" ca="1" si="83"/>
        <v>0</v>
      </c>
      <c r="BH84" s="136">
        <f t="shared" ca="1" si="83"/>
        <v>0</v>
      </c>
      <c r="BI84" s="136">
        <f t="shared" ca="1" si="83"/>
        <v>0</v>
      </c>
      <c r="BJ84" s="136">
        <f t="shared" ca="1" si="83"/>
        <v>0</v>
      </c>
      <c r="BK84" s="136">
        <f t="shared" ca="1" si="83"/>
        <v>0</v>
      </c>
      <c r="BL84" s="136">
        <f t="shared" ca="1" si="83"/>
        <v>0</v>
      </c>
      <c r="BM84" s="136">
        <f t="shared" ca="1" si="83"/>
        <v>0</v>
      </c>
      <c r="BN84" s="136">
        <f t="shared" ca="1" si="83"/>
        <v>0</v>
      </c>
      <c r="BO84" s="136">
        <f t="shared" ca="1" si="83"/>
        <v>0</v>
      </c>
      <c r="BP84" s="136">
        <f t="shared" ca="1" si="83"/>
        <v>0</v>
      </c>
      <c r="BQ84" s="136">
        <f t="shared" ca="1" si="83"/>
        <v>0</v>
      </c>
      <c r="BR84" s="136">
        <f t="shared" ca="1" si="83"/>
        <v>0</v>
      </c>
      <c r="BS84" s="136">
        <f t="shared" ca="1" si="83"/>
        <v>0</v>
      </c>
      <c r="BT84" s="136">
        <f t="shared" ca="1" si="83"/>
        <v>0</v>
      </c>
      <c r="BU84" s="136">
        <f t="shared" ca="1" si="83"/>
        <v>0</v>
      </c>
      <c r="BV84" s="136">
        <f t="shared" ref="BV84:CO84" ca="1" si="84">SUM(BV80:BV83)</f>
        <v>0</v>
      </c>
      <c r="BW84" s="136">
        <f t="shared" ca="1" si="84"/>
        <v>0</v>
      </c>
      <c r="BX84" s="136">
        <f t="shared" ca="1" si="84"/>
        <v>0</v>
      </c>
      <c r="BY84" s="136">
        <f t="shared" ca="1" si="84"/>
        <v>0</v>
      </c>
      <c r="BZ84" s="136">
        <f t="shared" ca="1" si="84"/>
        <v>0</v>
      </c>
      <c r="CA84" s="136">
        <f t="shared" ca="1" si="84"/>
        <v>0</v>
      </c>
      <c r="CB84" s="136">
        <f t="shared" ca="1" si="84"/>
        <v>0</v>
      </c>
      <c r="CC84" s="136">
        <f t="shared" ca="1" si="84"/>
        <v>0</v>
      </c>
      <c r="CD84" s="136">
        <f t="shared" ca="1" si="84"/>
        <v>0</v>
      </c>
      <c r="CE84" s="136">
        <f t="shared" ca="1" si="84"/>
        <v>0</v>
      </c>
      <c r="CF84" s="136">
        <f t="shared" ca="1" si="84"/>
        <v>0</v>
      </c>
      <c r="CG84" s="136">
        <f t="shared" ca="1" si="84"/>
        <v>0</v>
      </c>
      <c r="CH84" s="136">
        <f t="shared" ca="1" si="84"/>
        <v>0</v>
      </c>
      <c r="CI84" s="136">
        <f t="shared" ca="1" si="84"/>
        <v>0</v>
      </c>
      <c r="CJ84" s="136">
        <f t="shared" ca="1" si="84"/>
        <v>0</v>
      </c>
      <c r="CK84" s="136">
        <f t="shared" ca="1" si="84"/>
        <v>0</v>
      </c>
      <c r="CL84" s="136">
        <f t="shared" ca="1" si="84"/>
        <v>0</v>
      </c>
      <c r="CM84" s="136">
        <f t="shared" ca="1" si="84"/>
        <v>0</v>
      </c>
      <c r="CN84" s="136">
        <f t="shared" ca="1" si="84"/>
        <v>0</v>
      </c>
      <c r="CO84" s="136">
        <f t="shared" ca="1" si="84"/>
        <v>0</v>
      </c>
      <c r="CP84" s="133" t="s">
        <v>15</v>
      </c>
    </row>
    <row r="85" spans="2:94" ht="15" customHeight="1" x14ac:dyDescent="0.2">
      <c r="D85" s="259"/>
      <c r="E85" s="269"/>
      <c r="F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row>
    <row r="86" spans="2:94" ht="15" x14ac:dyDescent="0.25">
      <c r="D86" s="259"/>
      <c r="E86" s="269"/>
      <c r="F86" s="146" t="s">
        <v>228</v>
      </c>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row>
    <row r="87" spans="2:94" ht="15" customHeight="1" x14ac:dyDescent="0.2">
      <c r="D87" s="259"/>
      <c r="E87" s="269"/>
      <c r="F87" s="133" t="s">
        <v>222</v>
      </c>
      <c r="I87" s="136">
        <f>H90</f>
        <v>0</v>
      </c>
      <c r="J87" s="136">
        <f t="shared" ref="J87:BU87" si="85">I90</f>
        <v>0</v>
      </c>
      <c r="K87" s="136">
        <f t="shared" ca="1" si="85"/>
        <v>0</v>
      </c>
      <c r="L87" s="136">
        <f t="shared" ca="1" si="85"/>
        <v>0</v>
      </c>
      <c r="M87" s="136">
        <f t="shared" ca="1" si="85"/>
        <v>0</v>
      </c>
      <c r="N87" s="136">
        <f t="shared" ca="1" si="85"/>
        <v>0</v>
      </c>
      <c r="O87" s="136">
        <f t="shared" ca="1" si="85"/>
        <v>0</v>
      </c>
      <c r="P87" s="136">
        <f t="shared" ca="1" si="85"/>
        <v>0</v>
      </c>
      <c r="Q87" s="136">
        <f t="shared" ca="1" si="85"/>
        <v>0</v>
      </c>
      <c r="R87" s="136">
        <f t="shared" ca="1" si="85"/>
        <v>0</v>
      </c>
      <c r="S87" s="136">
        <f t="shared" ca="1" si="85"/>
        <v>0</v>
      </c>
      <c r="T87" s="136">
        <f t="shared" ca="1" si="85"/>
        <v>0</v>
      </c>
      <c r="U87" s="136">
        <f t="shared" ca="1" si="85"/>
        <v>0</v>
      </c>
      <c r="V87" s="136">
        <f t="shared" ca="1" si="85"/>
        <v>0</v>
      </c>
      <c r="W87" s="136">
        <f t="shared" ca="1" si="85"/>
        <v>0</v>
      </c>
      <c r="X87" s="136">
        <f t="shared" ca="1" si="85"/>
        <v>0</v>
      </c>
      <c r="Y87" s="136">
        <f t="shared" ca="1" si="85"/>
        <v>449773.28533834871</v>
      </c>
      <c r="Z87" s="136">
        <f t="shared" ca="1" si="85"/>
        <v>1690216.6726880611</v>
      </c>
      <c r="AA87" s="136">
        <f t="shared" ca="1" si="85"/>
        <v>2956165.30625406</v>
      </c>
      <c r="AB87" s="136">
        <f t="shared" ca="1" si="85"/>
        <v>4226786.5531467721</v>
      </c>
      <c r="AC87" s="136">
        <f t="shared" ca="1" si="85"/>
        <v>5502851.8193148952</v>
      </c>
      <c r="AD87" s="136">
        <f t="shared" ca="1" si="85"/>
        <v>6816667.4860520503</v>
      </c>
      <c r="AE87" s="136">
        <f t="shared" ca="1" si="85"/>
        <v>8335362.8133471869</v>
      </c>
      <c r="AF87" s="136">
        <f t="shared" ca="1" si="85"/>
        <v>9750712.6520613413</v>
      </c>
      <c r="AG87" s="136">
        <f t="shared" ca="1" si="85"/>
        <v>10372306.662935933</v>
      </c>
      <c r="AH87" s="136">
        <f t="shared" ca="1" si="85"/>
        <v>11697955.794413235</v>
      </c>
      <c r="AI87" s="136">
        <f t="shared" ca="1" si="85"/>
        <v>11697955.794413235</v>
      </c>
      <c r="AJ87" s="136">
        <f t="shared" ca="1" si="85"/>
        <v>11697955.794413235</v>
      </c>
      <c r="AK87" s="136">
        <f t="shared" ca="1" si="85"/>
        <v>11697955.794413235</v>
      </c>
      <c r="AL87" s="136">
        <f t="shared" ca="1" si="85"/>
        <v>11697955.794413235</v>
      </c>
      <c r="AM87" s="136">
        <f t="shared" ca="1" si="85"/>
        <v>11697955.794413235</v>
      </c>
      <c r="AN87" s="136">
        <f t="shared" ca="1" si="85"/>
        <v>11697955.794413235</v>
      </c>
      <c r="AO87" s="136">
        <f t="shared" ca="1" si="85"/>
        <v>11697955.794413235</v>
      </c>
      <c r="AP87" s="136">
        <f t="shared" ca="1" si="85"/>
        <v>11697955.794413235</v>
      </c>
      <c r="AQ87" s="136">
        <f t="shared" ca="1" si="85"/>
        <v>11697955.794413235</v>
      </c>
      <c r="AR87" s="136">
        <f t="shared" ca="1" si="85"/>
        <v>11697955.794413235</v>
      </c>
      <c r="AS87" s="136">
        <f t="shared" ca="1" si="85"/>
        <v>11697955.794413235</v>
      </c>
      <c r="AT87" s="136">
        <f t="shared" ca="1" si="85"/>
        <v>0</v>
      </c>
      <c r="AU87" s="136">
        <f t="shared" ca="1" si="85"/>
        <v>0</v>
      </c>
      <c r="AV87" s="136">
        <f t="shared" ca="1" si="85"/>
        <v>0</v>
      </c>
      <c r="AW87" s="136">
        <f t="shared" ca="1" si="85"/>
        <v>0</v>
      </c>
      <c r="AX87" s="136">
        <f t="shared" ca="1" si="85"/>
        <v>0</v>
      </c>
      <c r="AY87" s="136">
        <f t="shared" ca="1" si="85"/>
        <v>0</v>
      </c>
      <c r="AZ87" s="136">
        <f t="shared" ca="1" si="85"/>
        <v>0</v>
      </c>
      <c r="BA87" s="136">
        <f t="shared" ca="1" si="85"/>
        <v>0</v>
      </c>
      <c r="BB87" s="136">
        <f t="shared" ca="1" si="85"/>
        <v>0</v>
      </c>
      <c r="BC87" s="136">
        <f t="shared" ca="1" si="85"/>
        <v>0</v>
      </c>
      <c r="BD87" s="136">
        <f t="shared" ca="1" si="85"/>
        <v>0</v>
      </c>
      <c r="BE87" s="136">
        <f t="shared" ca="1" si="85"/>
        <v>0</v>
      </c>
      <c r="BF87" s="136">
        <f t="shared" ca="1" si="85"/>
        <v>0</v>
      </c>
      <c r="BG87" s="136">
        <f t="shared" ca="1" si="85"/>
        <v>0</v>
      </c>
      <c r="BH87" s="136">
        <f t="shared" ca="1" si="85"/>
        <v>0</v>
      </c>
      <c r="BI87" s="136">
        <f t="shared" ca="1" si="85"/>
        <v>0</v>
      </c>
      <c r="BJ87" s="136">
        <f t="shared" ca="1" si="85"/>
        <v>0</v>
      </c>
      <c r="BK87" s="136">
        <f t="shared" ca="1" si="85"/>
        <v>0</v>
      </c>
      <c r="BL87" s="136">
        <f t="shared" ca="1" si="85"/>
        <v>0</v>
      </c>
      <c r="BM87" s="136">
        <f t="shared" ca="1" si="85"/>
        <v>0</v>
      </c>
      <c r="BN87" s="136">
        <f t="shared" ca="1" si="85"/>
        <v>0</v>
      </c>
      <c r="BO87" s="136">
        <f t="shared" ca="1" si="85"/>
        <v>0</v>
      </c>
      <c r="BP87" s="136">
        <f t="shared" ca="1" si="85"/>
        <v>0</v>
      </c>
      <c r="BQ87" s="136">
        <f t="shared" ca="1" si="85"/>
        <v>0</v>
      </c>
      <c r="BR87" s="136">
        <f t="shared" ca="1" si="85"/>
        <v>0</v>
      </c>
      <c r="BS87" s="136">
        <f t="shared" ca="1" si="85"/>
        <v>0</v>
      </c>
      <c r="BT87" s="136">
        <f t="shared" ca="1" si="85"/>
        <v>0</v>
      </c>
      <c r="BU87" s="136">
        <f t="shared" ca="1" si="85"/>
        <v>0</v>
      </c>
      <c r="BV87" s="136">
        <f t="shared" ref="BV87:CO87" ca="1" si="86">BU90</f>
        <v>0</v>
      </c>
      <c r="BW87" s="136">
        <f t="shared" ca="1" si="86"/>
        <v>0</v>
      </c>
      <c r="BX87" s="136">
        <f t="shared" ca="1" si="86"/>
        <v>0</v>
      </c>
      <c r="BY87" s="136">
        <f t="shared" ca="1" si="86"/>
        <v>0</v>
      </c>
      <c r="BZ87" s="136">
        <f t="shared" ca="1" si="86"/>
        <v>0</v>
      </c>
      <c r="CA87" s="136">
        <f t="shared" ca="1" si="86"/>
        <v>0</v>
      </c>
      <c r="CB87" s="136">
        <f t="shared" ca="1" si="86"/>
        <v>0</v>
      </c>
      <c r="CC87" s="136">
        <f t="shared" ca="1" si="86"/>
        <v>0</v>
      </c>
      <c r="CD87" s="136">
        <f t="shared" ca="1" si="86"/>
        <v>0</v>
      </c>
      <c r="CE87" s="136">
        <f t="shared" ca="1" si="86"/>
        <v>0</v>
      </c>
      <c r="CF87" s="136">
        <f t="shared" ca="1" si="86"/>
        <v>0</v>
      </c>
      <c r="CG87" s="136">
        <f t="shared" ca="1" si="86"/>
        <v>0</v>
      </c>
      <c r="CH87" s="136">
        <f t="shared" ca="1" si="86"/>
        <v>0</v>
      </c>
      <c r="CI87" s="136">
        <f t="shared" ca="1" si="86"/>
        <v>0</v>
      </c>
      <c r="CJ87" s="136">
        <f t="shared" ca="1" si="86"/>
        <v>0</v>
      </c>
      <c r="CK87" s="136">
        <f t="shared" ca="1" si="86"/>
        <v>0</v>
      </c>
      <c r="CL87" s="136">
        <f t="shared" ca="1" si="86"/>
        <v>0</v>
      </c>
      <c r="CM87" s="136">
        <f t="shared" ca="1" si="86"/>
        <v>0</v>
      </c>
      <c r="CN87" s="136">
        <f t="shared" ca="1" si="86"/>
        <v>0</v>
      </c>
      <c r="CO87" s="136">
        <f t="shared" ca="1" si="86"/>
        <v>0</v>
      </c>
      <c r="CP87" s="133" t="s">
        <v>15</v>
      </c>
    </row>
    <row r="88" spans="2:94" ht="15" customHeight="1" x14ac:dyDescent="0.2">
      <c r="B88" s="136">
        <f ca="1">SUM(I88:CO88)</f>
        <v>11697955.794413235</v>
      </c>
      <c r="D88" s="259" t="s">
        <v>194</v>
      </c>
      <c r="E88" s="269"/>
      <c r="F88" s="133" t="s">
        <v>223</v>
      </c>
      <c r="I88" s="136">
        <f>MIN(-(SUM(I39:I41)+I76+I82),ConstLoanOBalance-SUM($H88:H88))</f>
        <v>0</v>
      </c>
      <c r="J88" s="136">
        <f ca="1">MIN(-(SUM(J39:J41)+J76+J82),ConstLoanOBalance-SUM($H88:I88))</f>
        <v>0</v>
      </c>
      <c r="K88" s="136">
        <f ca="1">MIN(-(SUM(K39:K41)+K76+K82),ConstLoanOBalance-SUM($H88:J88))</f>
        <v>0</v>
      </c>
      <c r="L88" s="136">
        <f ca="1">MIN(-(SUM(L39:L41)+L76+L82),ConstLoanOBalance-SUM($H88:K88))</f>
        <v>0</v>
      </c>
      <c r="M88" s="136">
        <f ca="1">MIN(-(SUM(M39:M41)+M76+M82),ConstLoanOBalance-SUM($H88:L88))</f>
        <v>0</v>
      </c>
      <c r="N88" s="136">
        <f ca="1">MIN(-(SUM(N39:N41)+N76+N82),ConstLoanOBalance-SUM($H88:M88))</f>
        <v>0</v>
      </c>
      <c r="O88" s="136">
        <f ca="1">MIN(-(SUM(O39:O41)+O76+O82),ConstLoanOBalance-SUM($H88:N88))</f>
        <v>0</v>
      </c>
      <c r="P88" s="136">
        <f ca="1">MIN(-(SUM(P39:P41)+P76+P82),ConstLoanOBalance-SUM($H88:O88))</f>
        <v>0</v>
      </c>
      <c r="Q88" s="136">
        <f ca="1">MIN(-(SUM(Q39:Q41)+Q76+Q82),ConstLoanOBalance-SUM($H88:P88))</f>
        <v>0</v>
      </c>
      <c r="R88" s="136">
        <f ca="1">MIN(-(SUM(R39:R41)+R76+R82),ConstLoanOBalance-SUM($H88:Q88))</f>
        <v>0</v>
      </c>
      <c r="S88" s="136">
        <f ca="1">MIN(-(SUM(S39:S41)+S76+S82),ConstLoanOBalance-SUM($H88:R88))</f>
        <v>0</v>
      </c>
      <c r="T88" s="136">
        <f ca="1">MIN(-(SUM(T39:T41)+T76+T82),ConstLoanOBalance-SUM($H88:S88))</f>
        <v>0</v>
      </c>
      <c r="U88" s="136">
        <f ca="1">MIN(-(SUM(U39:U41)+U76+U82),ConstLoanOBalance-SUM($H88:T88))</f>
        <v>0</v>
      </c>
      <c r="V88" s="136">
        <f ca="1">MIN(-(SUM(V39:V41)+V76+V82),ConstLoanOBalance-SUM($H88:U88))</f>
        <v>0</v>
      </c>
      <c r="W88" s="136">
        <f ca="1">MIN(-(SUM(W39:W41)+W76+W82),ConstLoanOBalance-SUM($H88:V88))</f>
        <v>0</v>
      </c>
      <c r="X88" s="136">
        <f ca="1">MIN(-(SUM(X39:X41)+X76+X82),ConstLoanOBalance-SUM($H88:W88))</f>
        <v>449773.28533834871</v>
      </c>
      <c r="Y88" s="136">
        <f ca="1">MIN(-(SUM(Y39:Y41)+Y76+Y82),ConstLoanOBalance-SUM($H88:X88))</f>
        <v>1240443.3873497124</v>
      </c>
      <c r="Z88" s="136">
        <f ca="1">MIN(-(SUM(Z39:Z41)+Z76+Z82),ConstLoanOBalance-SUM($H88:Y88))</f>
        <v>1265948.6335659986</v>
      </c>
      <c r="AA88" s="136">
        <f ca="1">MIN(-(SUM(AA39:AA41)+AA76+AA82),ConstLoanOBalance-SUM($H88:Z88))</f>
        <v>1270621.2468927118</v>
      </c>
      <c r="AB88" s="136">
        <f ca="1">MIN(-(SUM(AB39:AB41)+AB76+AB82),ConstLoanOBalance-SUM($H88:AA88))</f>
        <v>1276065.2661681226</v>
      </c>
      <c r="AC88" s="136">
        <f ca="1">MIN(-(SUM(AC39:AC41)+AC76+AC82),ConstLoanOBalance-SUM($H88:AB88))</f>
        <v>1313815.6667371551</v>
      </c>
      <c r="AD88" s="136">
        <f ca="1">MIN(-(SUM(AD39:AD41)+AD76+AD82),ConstLoanOBalance-SUM($H88:AC88))</f>
        <v>1518695.3272951371</v>
      </c>
      <c r="AE88" s="136">
        <f ca="1">MIN(-(SUM(AE39:AE41)+AE76+AE82),ConstLoanOBalance-SUM($H88:AD88))</f>
        <v>1415349.8387141544</v>
      </c>
      <c r="AF88" s="136">
        <f ca="1">MIN(-(SUM(AF39:AF41)+AF76+AF82),ConstLoanOBalance-SUM($H88:AE88))</f>
        <v>621594.01087459177</v>
      </c>
      <c r="AG88" s="136">
        <f ca="1">MIN(-(SUM(AG39:AG41)+AG76+AG82),ConstLoanOBalance-SUM($H88:AF88))</f>
        <v>1325649.1314773017</v>
      </c>
      <c r="AH88" s="136">
        <f ca="1">MIN(-(SUM(AH39:AH41)+AH76+AH82),ConstLoanOBalance-SUM($H88:AG88))</f>
        <v>0</v>
      </c>
      <c r="AI88" s="136">
        <f ca="1">MIN(-(SUM(AI39:AI41)+AI76+AI82),ConstLoanOBalance-SUM($H88:AH88))</f>
        <v>0</v>
      </c>
      <c r="AJ88" s="136">
        <f ca="1">MIN(-(SUM(AJ39:AJ41)+AJ76+AJ82),ConstLoanOBalance-SUM($H88:AI88))</f>
        <v>0</v>
      </c>
      <c r="AK88" s="136">
        <f ca="1">MIN(-(SUM(AK39:AK41)+AK76+AK82),ConstLoanOBalance-SUM($H88:AJ88))</f>
        <v>0</v>
      </c>
      <c r="AL88" s="136">
        <f ca="1">MIN(-(SUM(AL39:AL41)+AL76+AL82),ConstLoanOBalance-SUM($H88:AK88))</f>
        <v>0</v>
      </c>
      <c r="AM88" s="136">
        <f ca="1">MIN(-(SUM(AM39:AM41)+AM76+AM82),ConstLoanOBalance-SUM($H88:AL88))</f>
        <v>0</v>
      </c>
      <c r="AN88" s="136">
        <f ca="1">MIN(-(SUM(AN39:AN41)+AN76+AN82),ConstLoanOBalance-SUM($H88:AM88))</f>
        <v>0</v>
      </c>
      <c r="AO88" s="136">
        <f ca="1">MIN(-(SUM(AO39:AO41)+AO76+AO82),ConstLoanOBalance-SUM($H88:AN88))</f>
        <v>0</v>
      </c>
      <c r="AP88" s="136">
        <f ca="1">MIN(-(SUM(AP39:AP41)+AP76+AP82),ConstLoanOBalance-SUM($H88:AO88))</f>
        <v>0</v>
      </c>
      <c r="AQ88" s="136">
        <f ca="1">MIN(-(SUM(AQ39:AQ41)+AQ76+AQ82),ConstLoanOBalance-SUM($H88:AP88))</f>
        <v>0</v>
      </c>
      <c r="AR88" s="136">
        <f ca="1">MIN(-(SUM(AR39:AR41)+AR76+AR82),ConstLoanOBalance-SUM($H88:AQ88))</f>
        <v>0</v>
      </c>
      <c r="AS88" s="136">
        <f ca="1">MIN(-(SUM(AS39:AS41)+AS76+AS82),ConstLoanOBalance-SUM($H88:AR88))</f>
        <v>0</v>
      </c>
      <c r="AT88" s="136">
        <f ca="1">MIN(-(SUM(AT39:AT41)+AT76+AT82),ConstLoanOBalance-SUM($H88:AS88))</f>
        <v>0</v>
      </c>
      <c r="AU88" s="136">
        <f ca="1">MIN(-(SUM(AU39:AU41)+AU76+AU82),ConstLoanOBalance-SUM($H88:AT88))</f>
        <v>0</v>
      </c>
      <c r="AV88" s="136">
        <f ca="1">MIN(-(SUM(AV39:AV41)+AV76+AV82),ConstLoanOBalance-SUM($H88:AU88))</f>
        <v>0</v>
      </c>
      <c r="AW88" s="136">
        <f ca="1">MIN(-(SUM(AW39:AW41)+AW76+AW82),ConstLoanOBalance-SUM($H88:AV88))</f>
        <v>0</v>
      </c>
      <c r="AX88" s="136">
        <f ca="1">MIN(-(SUM(AX39:AX41)+AX76+AX82),ConstLoanOBalance-SUM($H88:AW88))</f>
        <v>0</v>
      </c>
      <c r="AY88" s="136">
        <f ca="1">MIN(-(SUM(AY39:AY41)+AY76+AY82),ConstLoanOBalance-SUM($H88:AX88))</f>
        <v>0</v>
      </c>
      <c r="AZ88" s="136">
        <f ca="1">MIN(-(SUM(AZ39:AZ41)+AZ76+AZ82),ConstLoanOBalance-SUM($H88:AY88))</f>
        <v>0</v>
      </c>
      <c r="BA88" s="136">
        <f ca="1">MIN(-(SUM(BA39:BA41)+BA76+BA82),ConstLoanOBalance-SUM($H88:AZ88))</f>
        <v>0</v>
      </c>
      <c r="BB88" s="136">
        <f ca="1">MIN(-(SUM(BB39:BB41)+BB76+BB82),ConstLoanOBalance-SUM($H88:BA88))</f>
        <v>0</v>
      </c>
      <c r="BC88" s="136">
        <f ca="1">MIN(-(SUM(BC39:BC41)+BC76+BC82),ConstLoanOBalance-SUM($H88:BB88))</f>
        <v>0</v>
      </c>
      <c r="BD88" s="136">
        <f ca="1">MIN(-(SUM(BD39:BD41)+BD76+BD82),ConstLoanOBalance-SUM($H88:BC88))</f>
        <v>0</v>
      </c>
      <c r="BE88" s="136">
        <f ca="1">MIN(-(SUM(BE39:BE41)+BE76+BE82),ConstLoanOBalance-SUM($H88:BD88))</f>
        <v>0</v>
      </c>
      <c r="BF88" s="136">
        <f ca="1">MIN(-(SUM(BF39:BF41)+BF76+BF82),ConstLoanOBalance-SUM($H88:BE88))</f>
        <v>0</v>
      </c>
      <c r="BG88" s="136">
        <f ca="1">MIN(-(SUM(BG39:BG41)+BG76+BG82),ConstLoanOBalance-SUM($H88:BF88))</f>
        <v>0</v>
      </c>
      <c r="BH88" s="136">
        <f ca="1">MIN(-(SUM(BH39:BH41)+BH76+BH82),ConstLoanOBalance-SUM($H88:BG88))</f>
        <v>0</v>
      </c>
      <c r="BI88" s="136">
        <f ca="1">MIN(-(SUM(BI39:BI41)+BI76+BI82),ConstLoanOBalance-SUM($H88:BH88))</f>
        <v>0</v>
      </c>
      <c r="BJ88" s="136">
        <f ca="1">MIN(-(SUM(BJ39:BJ41)+BJ76+BJ82),ConstLoanOBalance-SUM($H88:BI88))</f>
        <v>0</v>
      </c>
      <c r="BK88" s="136">
        <f ca="1">MIN(-(SUM(BK39:BK41)+BK76+BK82),ConstLoanOBalance-SUM($H88:BJ88))</f>
        <v>0</v>
      </c>
      <c r="BL88" s="136">
        <f ca="1">MIN(-(SUM(BL39:BL41)+BL76+BL82),ConstLoanOBalance-SUM($H88:BK88))</f>
        <v>0</v>
      </c>
      <c r="BM88" s="136">
        <f ca="1">MIN(-(SUM(BM39:BM41)+BM76+BM82),ConstLoanOBalance-SUM($H88:BL88))</f>
        <v>0</v>
      </c>
      <c r="BN88" s="136">
        <f ca="1">MIN(-(SUM(BN39:BN41)+BN76+BN82),ConstLoanOBalance-SUM($H88:BM88))</f>
        <v>0</v>
      </c>
      <c r="BO88" s="136">
        <f ca="1">MIN(-(SUM(BO39:BO41)+BO76+BO82),ConstLoanOBalance-SUM($H88:BN88))</f>
        <v>0</v>
      </c>
      <c r="BP88" s="136">
        <f ca="1">MIN(-(SUM(BP39:BP41)+BP76+BP82),ConstLoanOBalance-SUM($H88:BO88))</f>
        <v>0</v>
      </c>
      <c r="BQ88" s="136">
        <f ca="1">MIN(-(SUM(BQ39:BQ41)+BQ76+BQ82),ConstLoanOBalance-SUM($H88:BP88))</f>
        <v>0</v>
      </c>
      <c r="BR88" s="136">
        <f ca="1">MIN(-(SUM(BR39:BR41)+BR76+BR82),ConstLoanOBalance-SUM($H88:BQ88))</f>
        <v>0</v>
      </c>
      <c r="BS88" s="136">
        <f ca="1">MIN(-(SUM(BS39:BS41)+BS76+BS82),ConstLoanOBalance-SUM($H88:BR88))</f>
        <v>0</v>
      </c>
      <c r="BT88" s="136">
        <f ca="1">MIN(-(SUM(BT39:BT41)+BT76+BT82),ConstLoanOBalance-SUM($H88:BS88))</f>
        <v>0</v>
      </c>
      <c r="BU88" s="136">
        <f ca="1">MIN(-(SUM(BU39:BU41)+BU76+BU82),ConstLoanOBalance-SUM($H88:BT88))</f>
        <v>0</v>
      </c>
      <c r="BV88" s="136">
        <f ca="1">MIN(-(SUM(BV39:BV41)+BV76+BV82),ConstLoanOBalance-SUM($H88:BU88))</f>
        <v>0</v>
      </c>
      <c r="BW88" s="136">
        <f ca="1">MIN(-(SUM(BW39:BW41)+BW76+BW82),ConstLoanOBalance-SUM($H88:BV88))</f>
        <v>0</v>
      </c>
      <c r="BX88" s="136">
        <f ca="1">MIN(-(SUM(BX39:BX41)+BX76+BX82),ConstLoanOBalance-SUM($H88:BW88))</f>
        <v>0</v>
      </c>
      <c r="BY88" s="136">
        <f ca="1">MIN(-(SUM(BY39:BY41)+BY76+BY82),ConstLoanOBalance-SUM($H88:BX88))</f>
        <v>0</v>
      </c>
      <c r="BZ88" s="136">
        <f ca="1">MIN(-(SUM(BZ39:BZ41)+BZ76+BZ82),ConstLoanOBalance-SUM($H88:BY88))</f>
        <v>0</v>
      </c>
      <c r="CA88" s="136">
        <f ca="1">MIN(-(SUM(CA39:CA41)+CA76+CA82),ConstLoanOBalance-SUM($H88:BZ88))</f>
        <v>0</v>
      </c>
      <c r="CB88" s="136">
        <f ca="1">MIN(-(SUM(CB39:CB41)+CB76+CB82),ConstLoanOBalance-SUM($H88:CA88))</f>
        <v>0</v>
      </c>
      <c r="CC88" s="136">
        <f ca="1">MIN(-(SUM(CC39:CC41)+CC76+CC82),ConstLoanOBalance-SUM($H88:CB88))</f>
        <v>0</v>
      </c>
      <c r="CD88" s="136">
        <f ca="1">MIN(-(SUM(CD39:CD41)+CD76+CD82),ConstLoanOBalance-SUM($H88:CC88))</f>
        <v>0</v>
      </c>
      <c r="CE88" s="136">
        <f ca="1">MIN(-(SUM(CE39:CE41)+CE76+CE82),ConstLoanOBalance-SUM($H88:CD88))</f>
        <v>0</v>
      </c>
      <c r="CF88" s="136">
        <f ca="1">MIN(-(SUM(CF39:CF41)+CF76+CF82),ConstLoanOBalance-SUM($H88:CE88))</f>
        <v>0</v>
      </c>
      <c r="CG88" s="136">
        <f ca="1">MIN(-(SUM(CG39:CG41)+CG76+CG82),ConstLoanOBalance-SUM($H88:CF88))</f>
        <v>0</v>
      </c>
      <c r="CH88" s="136">
        <f ca="1">MIN(-(SUM(CH39:CH41)+CH76+CH82),ConstLoanOBalance-SUM($H88:CG88))</f>
        <v>0</v>
      </c>
      <c r="CI88" s="136">
        <f ca="1">MIN(-(SUM(CI39:CI41)+CI76+CI82),ConstLoanOBalance-SUM($H88:CH88))</f>
        <v>0</v>
      </c>
      <c r="CJ88" s="136">
        <f ca="1">MIN(-(SUM(CJ39:CJ41)+CJ76+CJ82),ConstLoanOBalance-SUM($H88:CI88))</f>
        <v>0</v>
      </c>
      <c r="CK88" s="136">
        <f ca="1">MIN(-(SUM(CK39:CK41)+CK76+CK82),ConstLoanOBalance-SUM($H88:CJ88))</f>
        <v>0</v>
      </c>
      <c r="CL88" s="136">
        <f ca="1">MIN(-(SUM(CL39:CL41)+CL76+CL82),ConstLoanOBalance-SUM($H88:CK88))</f>
        <v>0</v>
      </c>
      <c r="CM88" s="136">
        <f ca="1">MIN(-(SUM(CM39:CM41)+CM76+CM82),ConstLoanOBalance-SUM($H88:CL88))</f>
        <v>0</v>
      </c>
      <c r="CN88" s="136">
        <f ca="1">MIN(-(SUM(CN39:CN41)+CN76+CN82),ConstLoanOBalance-SUM($H88:CM88))</f>
        <v>0</v>
      </c>
      <c r="CO88" s="136">
        <f ca="1">MIN(-(SUM(CO39:CO41)+CO76+CO82),ConstLoanOBalance-SUM($H88:CN88))</f>
        <v>0</v>
      </c>
      <c r="CP88" s="133" t="s">
        <v>15</v>
      </c>
    </row>
    <row r="89" spans="2:94" ht="15" customHeight="1" x14ac:dyDescent="0.2">
      <c r="B89" s="136">
        <f ca="1">SUM(I89:CO89)</f>
        <v>-11697955.794413235</v>
      </c>
      <c r="D89" s="259" t="s">
        <v>199</v>
      </c>
      <c r="E89" s="269"/>
      <c r="F89" s="133" t="s">
        <v>227</v>
      </c>
      <c r="I89" s="136">
        <f t="shared" ref="I89:AN89" si="87">-SUM(I87:I88)*(Today=ConstLoanMaturityDate)</f>
        <v>0</v>
      </c>
      <c r="J89" s="136">
        <f t="shared" ca="1" si="87"/>
        <v>0</v>
      </c>
      <c r="K89" s="136">
        <f t="shared" ca="1" si="87"/>
        <v>0</v>
      </c>
      <c r="L89" s="136">
        <f t="shared" ca="1" si="87"/>
        <v>0</v>
      </c>
      <c r="M89" s="136">
        <f t="shared" ca="1" si="87"/>
        <v>0</v>
      </c>
      <c r="N89" s="136">
        <f t="shared" ca="1" si="87"/>
        <v>0</v>
      </c>
      <c r="O89" s="136">
        <f t="shared" ca="1" si="87"/>
        <v>0</v>
      </c>
      <c r="P89" s="136">
        <f t="shared" ca="1" si="87"/>
        <v>0</v>
      </c>
      <c r="Q89" s="136">
        <f t="shared" ca="1" si="87"/>
        <v>0</v>
      </c>
      <c r="R89" s="136">
        <f t="shared" ca="1" si="87"/>
        <v>0</v>
      </c>
      <c r="S89" s="136">
        <f t="shared" ca="1" si="87"/>
        <v>0</v>
      </c>
      <c r="T89" s="136">
        <f t="shared" ca="1" si="87"/>
        <v>0</v>
      </c>
      <c r="U89" s="136">
        <f t="shared" ca="1" si="87"/>
        <v>0</v>
      </c>
      <c r="V89" s="136">
        <f t="shared" ca="1" si="87"/>
        <v>0</v>
      </c>
      <c r="W89" s="136">
        <f t="shared" ca="1" si="87"/>
        <v>0</v>
      </c>
      <c r="X89" s="136">
        <f t="shared" ca="1" si="87"/>
        <v>0</v>
      </c>
      <c r="Y89" s="136">
        <f t="shared" ca="1" si="87"/>
        <v>0</v>
      </c>
      <c r="Z89" s="136">
        <f t="shared" ca="1" si="87"/>
        <v>0</v>
      </c>
      <c r="AA89" s="136">
        <f t="shared" ca="1" si="87"/>
        <v>0</v>
      </c>
      <c r="AB89" s="136">
        <f t="shared" ca="1" si="87"/>
        <v>0</v>
      </c>
      <c r="AC89" s="136">
        <f t="shared" ca="1" si="87"/>
        <v>0</v>
      </c>
      <c r="AD89" s="136">
        <f t="shared" ca="1" si="87"/>
        <v>0</v>
      </c>
      <c r="AE89" s="136">
        <f t="shared" ca="1" si="87"/>
        <v>0</v>
      </c>
      <c r="AF89" s="136">
        <f t="shared" ca="1" si="87"/>
        <v>0</v>
      </c>
      <c r="AG89" s="136">
        <f t="shared" ca="1" si="87"/>
        <v>0</v>
      </c>
      <c r="AH89" s="136">
        <f t="shared" ca="1" si="87"/>
        <v>0</v>
      </c>
      <c r="AI89" s="136">
        <f t="shared" ca="1" si="87"/>
        <v>0</v>
      </c>
      <c r="AJ89" s="136">
        <f t="shared" ca="1" si="87"/>
        <v>0</v>
      </c>
      <c r="AK89" s="136">
        <f t="shared" ca="1" si="87"/>
        <v>0</v>
      </c>
      <c r="AL89" s="136">
        <f t="shared" ca="1" si="87"/>
        <v>0</v>
      </c>
      <c r="AM89" s="136">
        <f t="shared" ca="1" si="87"/>
        <v>0</v>
      </c>
      <c r="AN89" s="136">
        <f t="shared" ca="1" si="87"/>
        <v>0</v>
      </c>
      <c r="AO89" s="136">
        <f t="shared" ref="AO89:BT89" ca="1" si="88">-SUM(AO87:AO88)*(Today=ConstLoanMaturityDate)</f>
        <v>0</v>
      </c>
      <c r="AP89" s="136">
        <f t="shared" ca="1" si="88"/>
        <v>0</v>
      </c>
      <c r="AQ89" s="136">
        <f t="shared" ca="1" si="88"/>
        <v>0</v>
      </c>
      <c r="AR89" s="136">
        <f t="shared" ca="1" si="88"/>
        <v>0</v>
      </c>
      <c r="AS89" s="136">
        <f t="shared" ca="1" si="88"/>
        <v>-11697955.794413235</v>
      </c>
      <c r="AT89" s="136">
        <f t="shared" ca="1" si="88"/>
        <v>0</v>
      </c>
      <c r="AU89" s="136">
        <f t="shared" ca="1" si="88"/>
        <v>0</v>
      </c>
      <c r="AV89" s="136">
        <f t="shared" ca="1" si="88"/>
        <v>0</v>
      </c>
      <c r="AW89" s="136">
        <f t="shared" ca="1" si="88"/>
        <v>0</v>
      </c>
      <c r="AX89" s="136">
        <f t="shared" ca="1" si="88"/>
        <v>0</v>
      </c>
      <c r="AY89" s="136">
        <f t="shared" ca="1" si="88"/>
        <v>0</v>
      </c>
      <c r="AZ89" s="136">
        <f t="shared" ca="1" si="88"/>
        <v>0</v>
      </c>
      <c r="BA89" s="136">
        <f t="shared" ca="1" si="88"/>
        <v>0</v>
      </c>
      <c r="BB89" s="136">
        <f t="shared" ca="1" si="88"/>
        <v>0</v>
      </c>
      <c r="BC89" s="136">
        <f t="shared" ca="1" si="88"/>
        <v>0</v>
      </c>
      <c r="BD89" s="136">
        <f t="shared" ca="1" si="88"/>
        <v>0</v>
      </c>
      <c r="BE89" s="136">
        <f t="shared" ca="1" si="88"/>
        <v>0</v>
      </c>
      <c r="BF89" s="136">
        <f t="shared" ca="1" si="88"/>
        <v>0</v>
      </c>
      <c r="BG89" s="136">
        <f t="shared" ca="1" si="88"/>
        <v>0</v>
      </c>
      <c r="BH89" s="136">
        <f t="shared" ca="1" si="88"/>
        <v>0</v>
      </c>
      <c r="BI89" s="136">
        <f t="shared" ca="1" si="88"/>
        <v>0</v>
      </c>
      <c r="BJ89" s="136">
        <f t="shared" ca="1" si="88"/>
        <v>0</v>
      </c>
      <c r="BK89" s="136">
        <f t="shared" ca="1" si="88"/>
        <v>0</v>
      </c>
      <c r="BL89" s="136">
        <f t="shared" ca="1" si="88"/>
        <v>0</v>
      </c>
      <c r="BM89" s="136">
        <f t="shared" ca="1" si="88"/>
        <v>0</v>
      </c>
      <c r="BN89" s="136">
        <f t="shared" ca="1" si="88"/>
        <v>0</v>
      </c>
      <c r="BO89" s="136">
        <f t="shared" ca="1" si="88"/>
        <v>0</v>
      </c>
      <c r="BP89" s="136">
        <f t="shared" ca="1" si="88"/>
        <v>0</v>
      </c>
      <c r="BQ89" s="136">
        <f t="shared" ca="1" si="88"/>
        <v>0</v>
      </c>
      <c r="BR89" s="136">
        <f t="shared" ca="1" si="88"/>
        <v>0</v>
      </c>
      <c r="BS89" s="136">
        <f t="shared" ca="1" si="88"/>
        <v>0</v>
      </c>
      <c r="BT89" s="136">
        <f t="shared" ca="1" si="88"/>
        <v>0</v>
      </c>
      <c r="BU89" s="136">
        <f t="shared" ref="BU89:CO89" ca="1" si="89">-SUM(BU87:BU88)*(Today=ConstLoanMaturityDate)</f>
        <v>0</v>
      </c>
      <c r="BV89" s="136">
        <f t="shared" ca="1" si="89"/>
        <v>0</v>
      </c>
      <c r="BW89" s="136">
        <f t="shared" ca="1" si="89"/>
        <v>0</v>
      </c>
      <c r="BX89" s="136">
        <f t="shared" ca="1" si="89"/>
        <v>0</v>
      </c>
      <c r="BY89" s="136">
        <f t="shared" ca="1" si="89"/>
        <v>0</v>
      </c>
      <c r="BZ89" s="136">
        <f t="shared" ca="1" si="89"/>
        <v>0</v>
      </c>
      <c r="CA89" s="136">
        <f t="shared" ca="1" si="89"/>
        <v>0</v>
      </c>
      <c r="CB89" s="136">
        <f t="shared" ca="1" si="89"/>
        <v>0</v>
      </c>
      <c r="CC89" s="136">
        <f t="shared" ca="1" si="89"/>
        <v>0</v>
      </c>
      <c r="CD89" s="136">
        <f t="shared" ca="1" si="89"/>
        <v>0</v>
      </c>
      <c r="CE89" s="136">
        <f t="shared" ca="1" si="89"/>
        <v>0</v>
      </c>
      <c r="CF89" s="136">
        <f t="shared" ca="1" si="89"/>
        <v>0</v>
      </c>
      <c r="CG89" s="136">
        <f t="shared" ca="1" si="89"/>
        <v>0</v>
      </c>
      <c r="CH89" s="136">
        <f t="shared" ca="1" si="89"/>
        <v>0</v>
      </c>
      <c r="CI89" s="136">
        <f t="shared" ca="1" si="89"/>
        <v>0</v>
      </c>
      <c r="CJ89" s="136">
        <f t="shared" ca="1" si="89"/>
        <v>0</v>
      </c>
      <c r="CK89" s="136">
        <f t="shared" ca="1" si="89"/>
        <v>0</v>
      </c>
      <c r="CL89" s="136">
        <f t="shared" ca="1" si="89"/>
        <v>0</v>
      </c>
      <c r="CM89" s="136">
        <f t="shared" ca="1" si="89"/>
        <v>0</v>
      </c>
      <c r="CN89" s="136">
        <f t="shared" ca="1" si="89"/>
        <v>0</v>
      </c>
      <c r="CO89" s="136">
        <f t="shared" ca="1" si="89"/>
        <v>0</v>
      </c>
      <c r="CP89" s="133" t="s">
        <v>15</v>
      </c>
    </row>
    <row r="90" spans="2:94" ht="15" customHeight="1" x14ac:dyDescent="0.2">
      <c r="D90" s="259"/>
      <c r="E90" s="269"/>
      <c r="F90" s="133" t="s">
        <v>224</v>
      </c>
      <c r="I90" s="136">
        <f>SUM(I87:I89)</f>
        <v>0</v>
      </c>
      <c r="J90" s="136">
        <f t="shared" ref="J90:BU90" ca="1" si="90">SUM(J87:J89)</f>
        <v>0</v>
      </c>
      <c r="K90" s="136">
        <f t="shared" ca="1" si="90"/>
        <v>0</v>
      </c>
      <c r="L90" s="136">
        <f t="shared" ca="1" si="90"/>
        <v>0</v>
      </c>
      <c r="M90" s="136">
        <f t="shared" ca="1" si="90"/>
        <v>0</v>
      </c>
      <c r="N90" s="136">
        <f t="shared" ca="1" si="90"/>
        <v>0</v>
      </c>
      <c r="O90" s="136">
        <f t="shared" ca="1" si="90"/>
        <v>0</v>
      </c>
      <c r="P90" s="136">
        <f t="shared" ca="1" si="90"/>
        <v>0</v>
      </c>
      <c r="Q90" s="136">
        <f t="shared" ca="1" si="90"/>
        <v>0</v>
      </c>
      <c r="R90" s="136">
        <f t="shared" ca="1" si="90"/>
        <v>0</v>
      </c>
      <c r="S90" s="136">
        <f t="shared" ca="1" si="90"/>
        <v>0</v>
      </c>
      <c r="T90" s="136">
        <f t="shared" ca="1" si="90"/>
        <v>0</v>
      </c>
      <c r="U90" s="136">
        <f t="shared" ca="1" si="90"/>
        <v>0</v>
      </c>
      <c r="V90" s="136">
        <f t="shared" ca="1" si="90"/>
        <v>0</v>
      </c>
      <c r="W90" s="136">
        <f t="shared" ca="1" si="90"/>
        <v>0</v>
      </c>
      <c r="X90" s="136">
        <f t="shared" ca="1" si="90"/>
        <v>449773.28533834871</v>
      </c>
      <c r="Y90" s="136">
        <f t="shared" ca="1" si="90"/>
        <v>1690216.6726880611</v>
      </c>
      <c r="Z90" s="136">
        <f t="shared" ca="1" si="90"/>
        <v>2956165.30625406</v>
      </c>
      <c r="AA90" s="136">
        <f t="shared" ca="1" si="90"/>
        <v>4226786.5531467721</v>
      </c>
      <c r="AB90" s="136">
        <f t="shared" ca="1" si="90"/>
        <v>5502851.8193148952</v>
      </c>
      <c r="AC90" s="136">
        <f t="shared" ca="1" si="90"/>
        <v>6816667.4860520503</v>
      </c>
      <c r="AD90" s="136">
        <f t="shared" ca="1" si="90"/>
        <v>8335362.8133471869</v>
      </c>
      <c r="AE90" s="136">
        <f t="shared" ca="1" si="90"/>
        <v>9750712.6520613413</v>
      </c>
      <c r="AF90" s="136">
        <f t="shared" ca="1" si="90"/>
        <v>10372306.662935933</v>
      </c>
      <c r="AG90" s="136">
        <f t="shared" ca="1" si="90"/>
        <v>11697955.794413235</v>
      </c>
      <c r="AH90" s="136">
        <f t="shared" ca="1" si="90"/>
        <v>11697955.794413235</v>
      </c>
      <c r="AI90" s="136">
        <f t="shared" ca="1" si="90"/>
        <v>11697955.794413235</v>
      </c>
      <c r="AJ90" s="136">
        <f t="shared" ca="1" si="90"/>
        <v>11697955.794413235</v>
      </c>
      <c r="AK90" s="136">
        <f t="shared" ca="1" si="90"/>
        <v>11697955.794413235</v>
      </c>
      <c r="AL90" s="136">
        <f t="shared" ca="1" si="90"/>
        <v>11697955.794413235</v>
      </c>
      <c r="AM90" s="136">
        <f t="shared" ca="1" si="90"/>
        <v>11697955.794413235</v>
      </c>
      <c r="AN90" s="136">
        <f t="shared" ca="1" si="90"/>
        <v>11697955.794413235</v>
      </c>
      <c r="AO90" s="136">
        <f t="shared" ca="1" si="90"/>
        <v>11697955.794413235</v>
      </c>
      <c r="AP90" s="136">
        <f t="shared" ca="1" si="90"/>
        <v>11697955.794413235</v>
      </c>
      <c r="AQ90" s="136">
        <f t="shared" ca="1" si="90"/>
        <v>11697955.794413235</v>
      </c>
      <c r="AR90" s="136">
        <f t="shared" ca="1" si="90"/>
        <v>11697955.794413235</v>
      </c>
      <c r="AS90" s="136">
        <f t="shared" ca="1" si="90"/>
        <v>0</v>
      </c>
      <c r="AT90" s="136">
        <f t="shared" ca="1" si="90"/>
        <v>0</v>
      </c>
      <c r="AU90" s="136">
        <f t="shared" ca="1" si="90"/>
        <v>0</v>
      </c>
      <c r="AV90" s="136">
        <f t="shared" ca="1" si="90"/>
        <v>0</v>
      </c>
      <c r="AW90" s="136">
        <f t="shared" ca="1" si="90"/>
        <v>0</v>
      </c>
      <c r="AX90" s="136">
        <f t="shared" ca="1" si="90"/>
        <v>0</v>
      </c>
      <c r="AY90" s="136">
        <f t="shared" ca="1" si="90"/>
        <v>0</v>
      </c>
      <c r="AZ90" s="136">
        <f t="shared" ca="1" si="90"/>
        <v>0</v>
      </c>
      <c r="BA90" s="136">
        <f t="shared" ca="1" si="90"/>
        <v>0</v>
      </c>
      <c r="BB90" s="136">
        <f t="shared" ca="1" si="90"/>
        <v>0</v>
      </c>
      <c r="BC90" s="136">
        <f t="shared" ca="1" si="90"/>
        <v>0</v>
      </c>
      <c r="BD90" s="136">
        <f t="shared" ca="1" si="90"/>
        <v>0</v>
      </c>
      <c r="BE90" s="136">
        <f t="shared" ca="1" si="90"/>
        <v>0</v>
      </c>
      <c r="BF90" s="136">
        <f t="shared" ca="1" si="90"/>
        <v>0</v>
      </c>
      <c r="BG90" s="136">
        <f t="shared" ca="1" si="90"/>
        <v>0</v>
      </c>
      <c r="BH90" s="136">
        <f t="shared" ca="1" si="90"/>
        <v>0</v>
      </c>
      <c r="BI90" s="136">
        <f t="shared" ca="1" si="90"/>
        <v>0</v>
      </c>
      <c r="BJ90" s="136">
        <f t="shared" ca="1" si="90"/>
        <v>0</v>
      </c>
      <c r="BK90" s="136">
        <f t="shared" ca="1" si="90"/>
        <v>0</v>
      </c>
      <c r="BL90" s="136">
        <f t="shared" ca="1" si="90"/>
        <v>0</v>
      </c>
      <c r="BM90" s="136">
        <f t="shared" ca="1" si="90"/>
        <v>0</v>
      </c>
      <c r="BN90" s="136">
        <f t="shared" ca="1" si="90"/>
        <v>0</v>
      </c>
      <c r="BO90" s="136">
        <f t="shared" ca="1" si="90"/>
        <v>0</v>
      </c>
      <c r="BP90" s="136">
        <f t="shared" ca="1" si="90"/>
        <v>0</v>
      </c>
      <c r="BQ90" s="136">
        <f t="shared" ca="1" si="90"/>
        <v>0</v>
      </c>
      <c r="BR90" s="136">
        <f t="shared" ca="1" si="90"/>
        <v>0</v>
      </c>
      <c r="BS90" s="136">
        <f t="shared" ca="1" si="90"/>
        <v>0</v>
      </c>
      <c r="BT90" s="136">
        <f t="shared" ca="1" si="90"/>
        <v>0</v>
      </c>
      <c r="BU90" s="136">
        <f t="shared" ca="1" si="90"/>
        <v>0</v>
      </c>
      <c r="BV90" s="136">
        <f t="shared" ref="BV90:CO90" ca="1" si="91">SUM(BV87:BV89)</f>
        <v>0</v>
      </c>
      <c r="BW90" s="136">
        <f t="shared" ca="1" si="91"/>
        <v>0</v>
      </c>
      <c r="BX90" s="136">
        <f t="shared" ca="1" si="91"/>
        <v>0</v>
      </c>
      <c r="BY90" s="136">
        <f t="shared" ca="1" si="91"/>
        <v>0</v>
      </c>
      <c r="BZ90" s="136">
        <f t="shared" ca="1" si="91"/>
        <v>0</v>
      </c>
      <c r="CA90" s="136">
        <f t="shared" ca="1" si="91"/>
        <v>0</v>
      </c>
      <c r="CB90" s="136">
        <f t="shared" ca="1" si="91"/>
        <v>0</v>
      </c>
      <c r="CC90" s="136">
        <f t="shared" ca="1" si="91"/>
        <v>0</v>
      </c>
      <c r="CD90" s="136">
        <f t="shared" ca="1" si="91"/>
        <v>0</v>
      </c>
      <c r="CE90" s="136">
        <f t="shared" ca="1" si="91"/>
        <v>0</v>
      </c>
      <c r="CF90" s="136">
        <f t="shared" ca="1" si="91"/>
        <v>0</v>
      </c>
      <c r="CG90" s="136">
        <f t="shared" ca="1" si="91"/>
        <v>0</v>
      </c>
      <c r="CH90" s="136">
        <f t="shared" ca="1" si="91"/>
        <v>0</v>
      </c>
      <c r="CI90" s="136">
        <f t="shared" ca="1" si="91"/>
        <v>0</v>
      </c>
      <c r="CJ90" s="136">
        <f t="shared" ca="1" si="91"/>
        <v>0</v>
      </c>
      <c r="CK90" s="136">
        <f t="shared" ca="1" si="91"/>
        <v>0</v>
      </c>
      <c r="CL90" s="136">
        <f t="shared" ca="1" si="91"/>
        <v>0</v>
      </c>
      <c r="CM90" s="136">
        <f t="shared" ca="1" si="91"/>
        <v>0</v>
      </c>
      <c r="CN90" s="136">
        <f t="shared" ca="1" si="91"/>
        <v>0</v>
      </c>
      <c r="CO90" s="136">
        <f t="shared" ca="1" si="91"/>
        <v>0</v>
      </c>
      <c r="CP90" s="133" t="s">
        <v>15</v>
      </c>
    </row>
    <row r="91" spans="2:94" ht="15" customHeight="1" x14ac:dyDescent="0.2">
      <c r="D91" s="259"/>
      <c r="E91" s="269"/>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row>
    <row r="92" spans="2:94" s="133" customFormat="1" ht="15" customHeight="1" x14ac:dyDescent="0.2">
      <c r="D92" s="259" t="s">
        <v>194</v>
      </c>
      <c r="E92" s="259"/>
      <c r="F92" s="133" t="s">
        <v>229</v>
      </c>
      <c r="I92" s="283">
        <f>INDEX(Libor!$C$11:$DS$11, MATCH(I28,Libor!$C$9:$DS$9,0))</f>
        <v>1.4924999999999999E-3</v>
      </c>
      <c r="J92" s="283">
        <f>INDEX(Libor!$C$11:$DS$11, MATCH(J28,Libor!$C$9:$DS$9,0))</f>
        <v>1.5746E-3</v>
      </c>
      <c r="K92" s="283">
        <f>INDEX(Libor!$C$11:$DS$11, MATCH(K28,Libor!$C$9:$DS$9,0))</f>
        <v>1.6548000000000001E-3</v>
      </c>
      <c r="L92" s="283">
        <f>INDEX(Libor!$C$11:$DS$11, MATCH(L28,Libor!$C$9:$DS$9,0))</f>
        <v>1.7305000000000001E-3</v>
      </c>
      <c r="M92" s="283">
        <f>INDEX(Libor!$C$11:$DS$11, MATCH(M28,Libor!$C$9:$DS$9,0))</f>
        <v>1.7340000000000001E-3</v>
      </c>
      <c r="N92" s="283">
        <f>INDEX(Libor!$C$11:$DS$11, MATCH(N28,Libor!$C$9:$DS$9,0))</f>
        <v>1.6393E-3</v>
      </c>
      <c r="O92" s="283">
        <f>INDEX(Libor!$C$11:$DS$11, MATCH(O28,Libor!$C$9:$DS$9,0))</f>
        <v>1.4936000000000001E-3</v>
      </c>
      <c r="P92" s="283">
        <f>INDEX(Libor!$C$11:$DS$11, MATCH(P28,Libor!$C$9:$DS$9,0))</f>
        <v>1.3757999999999999E-3</v>
      </c>
      <c r="Q92" s="283">
        <f>INDEX(Libor!$C$11:$DS$11, MATCH(Q28,Libor!$C$9:$DS$9,0))</f>
        <v>1.3131E-3</v>
      </c>
      <c r="R92" s="283">
        <f>INDEX(Libor!$C$11:$DS$11, MATCH(R28,Libor!$C$9:$DS$9,0))</f>
        <v>1.3266E-3</v>
      </c>
      <c r="S92" s="283">
        <f>INDEX(Libor!$C$11:$DS$11, MATCH(S28,Libor!$C$9:$DS$9,0))</f>
        <v>1.3895999999999999E-3</v>
      </c>
      <c r="T92" s="283">
        <f>INDEX(Libor!$C$11:$DS$11, MATCH(T28,Libor!$C$9:$DS$9,0))</f>
        <v>1.4629000000000001E-3</v>
      </c>
      <c r="U92" s="283">
        <f>INDEX(Libor!$C$11:$DS$11, MATCH(U28,Libor!$C$9:$DS$9,0))</f>
        <v>1.5439E-3</v>
      </c>
      <c r="V92" s="283">
        <f>INDEX(Libor!$C$11:$DS$11, MATCH(V28,Libor!$C$9:$DS$9,0))</f>
        <v>1.6184999999999999E-3</v>
      </c>
      <c r="W92" s="283">
        <f>INDEX(Libor!$C$11:$DS$11, MATCH(W28,Libor!$C$9:$DS$9,0))</f>
        <v>1.6576E-3</v>
      </c>
      <c r="X92" s="283">
        <f>INDEX(Libor!$C$11:$DS$11, MATCH(X28,Libor!$C$9:$DS$9,0))</f>
        <v>1.6731000000000001E-3</v>
      </c>
      <c r="Y92" s="283">
        <f>INDEX(Libor!$C$11:$DS$11, MATCH(Y28,Libor!$C$9:$DS$9,0))</f>
        <v>1.6505000000000001E-3</v>
      </c>
      <c r="Z92" s="283">
        <f>INDEX(Libor!$C$11:$DS$11, MATCH(Z28,Libor!$C$9:$DS$9,0))</f>
        <v>1.572E-3</v>
      </c>
      <c r="AA92" s="283">
        <f>INDEX(Libor!$C$11:$DS$11, MATCH(AA28,Libor!$C$9:$DS$9,0))</f>
        <v>1.4832000000000001E-3</v>
      </c>
      <c r="AB92" s="283">
        <f>INDEX(Libor!$C$11:$DS$11, MATCH(AB28,Libor!$C$9:$DS$9,0))</f>
        <v>1.4182999999999999E-3</v>
      </c>
      <c r="AC92" s="283">
        <f>INDEX(Libor!$C$11:$DS$11, MATCH(AC28,Libor!$C$9:$DS$9,0))</f>
        <v>1.3636E-3</v>
      </c>
      <c r="AD92" s="283">
        <f>INDEX(Libor!$C$11:$DS$11, MATCH(AD28,Libor!$C$9:$DS$9,0))</f>
        <v>1.3674E-3</v>
      </c>
      <c r="AE92" s="283">
        <f>INDEX(Libor!$C$11:$DS$11, MATCH(AE28,Libor!$C$9:$DS$9,0))</f>
        <v>1.4319999999999999E-3</v>
      </c>
      <c r="AF92" s="283">
        <f>INDEX(Libor!$C$11:$DS$11, MATCH(AF28,Libor!$C$9:$DS$9,0))</f>
        <v>1.5107E-3</v>
      </c>
      <c r="AG92" s="283">
        <f>INDEX(Libor!$C$11:$DS$11, MATCH(AG28,Libor!$C$9:$DS$9,0))</f>
        <v>1.6359E-3</v>
      </c>
      <c r="AH92" s="283">
        <f>INDEX(Libor!$C$11:$DS$11, MATCH(AH28,Libor!$C$9:$DS$9,0))</f>
        <v>1.7925E-3</v>
      </c>
      <c r="AI92" s="283">
        <f>INDEX(Libor!$C$11:$DS$11, MATCH(AI28,Libor!$C$9:$DS$9,0))</f>
        <v>1.9195E-3</v>
      </c>
      <c r="AJ92" s="283">
        <f>INDEX(Libor!$C$11:$DS$11, MATCH(AJ28,Libor!$C$9:$DS$9,0))</f>
        <v>2.075E-3</v>
      </c>
      <c r="AK92" s="283">
        <f>INDEX(Libor!$C$11:$DS$11, MATCH(AK28,Libor!$C$9:$DS$9,0))</f>
        <v>2.2303000000000002E-3</v>
      </c>
      <c r="AL92" s="283">
        <f>INDEX(Libor!$C$11:$DS$11, MATCH(AL28,Libor!$C$9:$DS$9,0))</f>
        <v>2.3571E-3</v>
      </c>
      <c r="AM92" s="283">
        <f>INDEX(Libor!$C$11:$DS$11, MATCH(AM28,Libor!$C$9:$DS$9,0))</f>
        <v>2.4913000000000001E-3</v>
      </c>
      <c r="AN92" s="283">
        <f>INDEX(Libor!$C$11:$DS$11, MATCH(AN28,Libor!$C$9:$DS$9,0))</f>
        <v>2.6353000000000001E-3</v>
      </c>
      <c r="AO92" s="283">
        <f>INDEX(Libor!$C$11:$DS$11, MATCH(AO28,Libor!$C$9:$DS$9,0))</f>
        <v>2.7579000000000002E-3</v>
      </c>
      <c r="AP92" s="283">
        <f>INDEX(Libor!$C$11:$DS$11, MATCH(AP28,Libor!$C$9:$DS$9,0))</f>
        <v>2.8946000000000002E-3</v>
      </c>
      <c r="AQ92" s="283">
        <f>INDEX(Libor!$C$11:$DS$11, MATCH(AQ28,Libor!$C$9:$DS$9,0))</f>
        <v>3.0430000000000001E-3</v>
      </c>
      <c r="AR92" s="283">
        <f>INDEX(Libor!$C$11:$DS$11, MATCH(AR28,Libor!$C$9:$DS$9,0))</f>
        <v>3.1805000000000002E-3</v>
      </c>
      <c r="AS92" s="283">
        <f>INDEX(Libor!$C$11:$DS$11, MATCH(AS28,Libor!$C$9:$DS$9,0))</f>
        <v>3.3303E-3</v>
      </c>
      <c r="AT92" s="283">
        <f>INDEX(Libor!$C$11:$DS$11, MATCH(AT28,Libor!$C$9:$DS$9,0))</f>
        <v>3.4998E-3</v>
      </c>
      <c r="AU92" s="283">
        <f>INDEX(Libor!$C$11:$DS$11, MATCH(AU28,Libor!$C$9:$DS$9,0))</f>
        <v>3.6478000000000001E-3</v>
      </c>
      <c r="AV92" s="283">
        <f>INDEX(Libor!$C$11:$DS$11, MATCH(AV28,Libor!$C$9:$DS$9,0))</f>
        <v>3.8257999999999999E-3</v>
      </c>
      <c r="AW92" s="283">
        <f>INDEX(Libor!$C$11:$DS$11, MATCH(AW28,Libor!$C$9:$DS$9,0))</f>
        <v>4.0179999999999999E-3</v>
      </c>
      <c r="AX92" s="283">
        <f>INDEX(Libor!$C$11:$DS$11, MATCH(AX28,Libor!$C$9:$DS$9,0))</f>
        <v>4.1910999999999997E-3</v>
      </c>
      <c r="AY92" s="283">
        <f>INDEX(Libor!$C$11:$DS$11, MATCH(AY28,Libor!$C$9:$DS$9,0))</f>
        <v>4.3829000000000003E-3</v>
      </c>
      <c r="AZ92" s="283">
        <f>INDEX(Libor!$C$11:$DS$11, MATCH(AZ28,Libor!$C$9:$DS$9,0))</f>
        <v>4.5864E-3</v>
      </c>
      <c r="BA92" s="283">
        <f>INDEX(Libor!$C$11:$DS$11, MATCH(BA28,Libor!$C$9:$DS$9,0))</f>
        <v>4.7821000000000001E-3</v>
      </c>
      <c r="BB92" s="283">
        <f>INDEX(Libor!$C$11:$DS$11, MATCH(BB28,Libor!$C$9:$DS$9,0))</f>
        <v>4.9874999999999997E-3</v>
      </c>
      <c r="BC92" s="283">
        <f>INDEX(Libor!$C$11:$DS$11, MATCH(BC28,Libor!$C$9:$DS$9,0))</f>
        <v>5.2025999999999999E-3</v>
      </c>
      <c r="BD92" s="283">
        <f>INDEX(Libor!$C$11:$DS$11, MATCH(BD28,Libor!$C$9:$DS$9,0))</f>
        <v>5.4098999999999996E-3</v>
      </c>
      <c r="BE92" s="283">
        <f>INDEX(Libor!$C$11:$DS$11, MATCH(BE28,Libor!$C$9:$DS$9,0))</f>
        <v>5.6248000000000001E-3</v>
      </c>
      <c r="BF92" s="283">
        <f>INDEX(Libor!$C$11:$DS$11, MATCH(BF28,Libor!$C$9:$DS$9,0))</f>
        <v>5.8517999999999999E-3</v>
      </c>
      <c r="BG92" s="283">
        <f>INDEX(Libor!$C$11:$DS$11, MATCH(BG28,Libor!$C$9:$DS$9,0))</f>
        <v>6.0464999999999998E-3</v>
      </c>
      <c r="BH92" s="283">
        <f>INDEX(Libor!$C$11:$DS$11, MATCH(BH28,Libor!$C$9:$DS$9,0))</f>
        <v>6.2646000000000004E-3</v>
      </c>
      <c r="BI92" s="283">
        <f>INDEX(Libor!$C$11:$DS$11, MATCH(BI28,Libor!$C$9:$DS$9,0))</f>
        <v>6.4850000000000003E-3</v>
      </c>
      <c r="BJ92" s="283">
        <f>INDEX(Libor!$C$11:$DS$11, MATCH(BJ28,Libor!$C$9:$DS$9,0))</f>
        <v>6.6765000000000001E-3</v>
      </c>
      <c r="BK92" s="283">
        <f>INDEX(Libor!$C$11:$DS$11, MATCH(BK28,Libor!$C$9:$DS$9,0))</f>
        <v>6.8779000000000002E-3</v>
      </c>
      <c r="BL92" s="283">
        <f>INDEX(Libor!$C$11:$DS$11, MATCH(BL28,Libor!$C$9:$DS$9,0))</f>
        <v>7.0809999999999996E-3</v>
      </c>
      <c r="BM92" s="283">
        <f>INDEX(Libor!$C$11:$DS$11, MATCH(BM28,Libor!$C$9:$DS$9,0))</f>
        <v>7.2712000000000002E-3</v>
      </c>
      <c r="BN92" s="283">
        <f>INDEX(Libor!$C$11:$DS$11, MATCH(BN28,Libor!$C$9:$DS$9,0))</f>
        <v>7.4647000000000003E-3</v>
      </c>
      <c r="BO92" s="283">
        <f>INDEX(Libor!$C$11:$DS$11, MATCH(BO28,Libor!$C$9:$DS$9,0))</f>
        <v>7.6677999999999998E-3</v>
      </c>
      <c r="BP92" s="283">
        <f>INDEX(Libor!$C$11:$DS$11, MATCH(BP28,Libor!$C$9:$DS$9,0))</f>
        <v>7.8446000000000002E-3</v>
      </c>
      <c r="BQ92" s="283">
        <f>INDEX(Libor!$C$11:$DS$11, MATCH(BQ28,Libor!$C$9:$DS$9,0))</f>
        <v>8.0316999999999993E-3</v>
      </c>
      <c r="BR92" s="283">
        <f>INDEX(Libor!$C$11:$DS$11, MATCH(BR28,Libor!$C$9:$DS$9,0))</f>
        <v>8.2282999999999992E-3</v>
      </c>
      <c r="BS92" s="283">
        <f>INDEX(Libor!$C$11:$DS$11, MATCH(BS28,Libor!$C$9:$DS$9,0))</f>
        <v>8.3823999999999999E-3</v>
      </c>
      <c r="BT92" s="283">
        <f>INDEX(Libor!$C$11:$DS$11, MATCH(BT28,Libor!$C$9:$DS$9,0))</f>
        <v>8.5734000000000001E-3</v>
      </c>
      <c r="BU92" s="283">
        <f>INDEX(Libor!$C$11:$DS$11, MATCH(BU28,Libor!$C$9:$DS$9,0))</f>
        <v>8.7551E-3</v>
      </c>
      <c r="BV92" s="283">
        <f>INDEX(Libor!$C$11:$DS$11, MATCH(BV28,Libor!$C$9:$DS$9,0))</f>
        <v>8.9055999999999996E-3</v>
      </c>
      <c r="BW92" s="283">
        <f>INDEX(Libor!$C$11:$DS$11, MATCH(BW28,Libor!$C$9:$DS$9,0))</f>
        <v>9.0629999999999999E-3</v>
      </c>
      <c r="BX92" s="283">
        <f>INDEX(Libor!$C$11:$DS$11, MATCH(BX28,Libor!$C$9:$DS$9,0))</f>
        <v>9.2271999999999996E-3</v>
      </c>
      <c r="BY92" s="283">
        <f>INDEX(Libor!$C$11:$DS$11, MATCH(BY28,Libor!$C$9:$DS$9,0))</f>
        <v>9.3633999999999992E-3</v>
      </c>
      <c r="BZ92" s="283">
        <f>INDEX(Libor!$C$11:$DS$11, MATCH(BZ28,Libor!$C$9:$DS$9,0))</f>
        <v>9.5090000000000001E-3</v>
      </c>
      <c r="CA92" s="283">
        <f>INDEX(Libor!$C$11:$DS$11, MATCH(CA28,Libor!$C$9:$DS$9,0))</f>
        <v>9.6644999999999995E-3</v>
      </c>
      <c r="CB92" s="283">
        <f>INDEX(Libor!$C$11:$DS$11, MATCH(CB28,Libor!$C$9:$DS$9,0))</f>
        <v>9.7949000000000005E-3</v>
      </c>
      <c r="CC92" s="283">
        <f>INDEX(Libor!$C$11:$DS$11, MATCH(CC28,Libor!$C$9:$DS$9,0))</f>
        <v>9.9351000000000005E-3</v>
      </c>
      <c r="CD92" s="283">
        <f>INDEX(Libor!$C$11:$DS$11, MATCH(CD28,Libor!$C$9:$DS$9,0))</f>
        <v>1.0087E-2</v>
      </c>
      <c r="CE92" s="283">
        <f>INDEX(Libor!$C$11:$DS$11, MATCH(CE28,Libor!$C$9:$DS$9,0))</f>
        <v>1.0211700000000001E-2</v>
      </c>
      <c r="CF92" s="283">
        <f>INDEX(Libor!$C$11:$DS$11, MATCH(CF28,Libor!$C$9:$DS$9,0))</f>
        <v>1.0354800000000001E-2</v>
      </c>
      <c r="CG92" s="283">
        <f>INDEX(Libor!$C$11:$DS$11, MATCH(CG28,Libor!$C$9:$DS$9,0))</f>
        <v>1.0505199999999999E-2</v>
      </c>
      <c r="CH92" s="283">
        <f>INDEX(Libor!$C$11:$DS$11, MATCH(CH28,Libor!$C$9:$DS$9,0))</f>
        <v>1.06149E-2</v>
      </c>
      <c r="CI92" s="283">
        <f>INDEX(Libor!$C$11:$DS$11, MATCH(CI28,Libor!$C$9:$DS$9,0))</f>
        <v>1.07642E-2</v>
      </c>
      <c r="CJ92" s="283">
        <f>INDEX(Libor!$C$11:$DS$11, MATCH(CJ28,Libor!$C$9:$DS$9,0))</f>
        <v>1.0906900000000001E-2</v>
      </c>
      <c r="CK92" s="283">
        <f>INDEX(Libor!$C$11:$DS$11, MATCH(CK28,Libor!$C$9:$DS$9,0))</f>
        <v>1.10244E-2</v>
      </c>
      <c r="CL92" s="283">
        <f>INDEX(Libor!$C$11:$DS$11, MATCH(CL28,Libor!$C$9:$DS$9,0))</f>
        <v>1.1150500000000001E-2</v>
      </c>
      <c r="CM92" s="283">
        <f>INDEX(Libor!$C$11:$DS$11, MATCH(CM28,Libor!$C$9:$DS$9,0))</f>
        <v>1.12862E-2</v>
      </c>
      <c r="CN92" s="283">
        <f>INDEX(Libor!$C$11:$DS$11, MATCH(CN28,Libor!$C$9:$DS$9,0))</f>
        <v>1.1395799999999999E-2</v>
      </c>
      <c r="CO92" s="283">
        <f>INDEX(Libor!$C$11:$DS$11, MATCH(CO28,Libor!$C$9:$DS$9,0))</f>
        <v>1.15155E-2</v>
      </c>
      <c r="CP92" s="133" t="s">
        <v>15</v>
      </c>
    </row>
    <row r="93" spans="2:94" s="133" customFormat="1" ht="15" customHeight="1" x14ac:dyDescent="0.2">
      <c r="D93" s="259" t="s">
        <v>194</v>
      </c>
      <c r="E93" s="259"/>
      <c r="F93" s="133" t="s">
        <v>158</v>
      </c>
      <c r="G93" s="280">
        <f>ConstLoanSpread</f>
        <v>4.4999999999999998E-2</v>
      </c>
      <c r="I93" s="280">
        <f>$G$93</f>
        <v>4.4999999999999998E-2</v>
      </c>
      <c r="J93" s="280">
        <f t="shared" ref="J93:BU93" si="92">$G$93</f>
        <v>4.4999999999999998E-2</v>
      </c>
      <c r="K93" s="280">
        <f t="shared" si="92"/>
        <v>4.4999999999999998E-2</v>
      </c>
      <c r="L93" s="280">
        <f t="shared" si="92"/>
        <v>4.4999999999999998E-2</v>
      </c>
      <c r="M93" s="280">
        <f t="shared" si="92"/>
        <v>4.4999999999999998E-2</v>
      </c>
      <c r="N93" s="280">
        <f t="shared" si="92"/>
        <v>4.4999999999999998E-2</v>
      </c>
      <c r="O93" s="280">
        <f t="shared" si="92"/>
        <v>4.4999999999999998E-2</v>
      </c>
      <c r="P93" s="280">
        <f t="shared" si="92"/>
        <v>4.4999999999999998E-2</v>
      </c>
      <c r="Q93" s="280">
        <f t="shared" si="92"/>
        <v>4.4999999999999998E-2</v>
      </c>
      <c r="R93" s="280">
        <f t="shared" si="92"/>
        <v>4.4999999999999998E-2</v>
      </c>
      <c r="S93" s="280">
        <f t="shared" si="92"/>
        <v>4.4999999999999998E-2</v>
      </c>
      <c r="T93" s="280">
        <f t="shared" si="92"/>
        <v>4.4999999999999998E-2</v>
      </c>
      <c r="U93" s="280">
        <f t="shared" si="92"/>
        <v>4.4999999999999998E-2</v>
      </c>
      <c r="V93" s="280">
        <f t="shared" si="92"/>
        <v>4.4999999999999998E-2</v>
      </c>
      <c r="W93" s="280">
        <f t="shared" si="92"/>
        <v>4.4999999999999998E-2</v>
      </c>
      <c r="X93" s="280">
        <f t="shared" si="92"/>
        <v>4.4999999999999998E-2</v>
      </c>
      <c r="Y93" s="280">
        <f t="shared" si="92"/>
        <v>4.4999999999999998E-2</v>
      </c>
      <c r="Z93" s="280">
        <f t="shared" si="92"/>
        <v>4.4999999999999998E-2</v>
      </c>
      <c r="AA93" s="280">
        <f t="shared" si="92"/>
        <v>4.4999999999999998E-2</v>
      </c>
      <c r="AB93" s="280">
        <f t="shared" si="92"/>
        <v>4.4999999999999998E-2</v>
      </c>
      <c r="AC93" s="280">
        <f t="shared" si="92"/>
        <v>4.4999999999999998E-2</v>
      </c>
      <c r="AD93" s="280">
        <f t="shared" si="92"/>
        <v>4.4999999999999998E-2</v>
      </c>
      <c r="AE93" s="280">
        <f t="shared" si="92"/>
        <v>4.4999999999999998E-2</v>
      </c>
      <c r="AF93" s="280">
        <f t="shared" si="92"/>
        <v>4.4999999999999998E-2</v>
      </c>
      <c r="AG93" s="280">
        <f t="shared" si="92"/>
        <v>4.4999999999999998E-2</v>
      </c>
      <c r="AH93" s="280">
        <f t="shared" si="92"/>
        <v>4.4999999999999998E-2</v>
      </c>
      <c r="AI93" s="280">
        <f t="shared" si="92"/>
        <v>4.4999999999999998E-2</v>
      </c>
      <c r="AJ93" s="280">
        <f t="shared" si="92"/>
        <v>4.4999999999999998E-2</v>
      </c>
      <c r="AK93" s="280">
        <f t="shared" si="92"/>
        <v>4.4999999999999998E-2</v>
      </c>
      <c r="AL93" s="280">
        <f t="shared" si="92"/>
        <v>4.4999999999999998E-2</v>
      </c>
      <c r="AM93" s="280">
        <f t="shared" si="92"/>
        <v>4.4999999999999998E-2</v>
      </c>
      <c r="AN93" s="280">
        <f t="shared" si="92"/>
        <v>4.4999999999999998E-2</v>
      </c>
      <c r="AO93" s="280">
        <f t="shared" si="92"/>
        <v>4.4999999999999998E-2</v>
      </c>
      <c r="AP93" s="280">
        <f t="shared" si="92"/>
        <v>4.4999999999999998E-2</v>
      </c>
      <c r="AQ93" s="280">
        <f t="shared" si="92"/>
        <v>4.4999999999999998E-2</v>
      </c>
      <c r="AR93" s="280">
        <f t="shared" si="92"/>
        <v>4.4999999999999998E-2</v>
      </c>
      <c r="AS93" s="280">
        <f t="shared" si="92"/>
        <v>4.4999999999999998E-2</v>
      </c>
      <c r="AT93" s="280">
        <f t="shared" si="92"/>
        <v>4.4999999999999998E-2</v>
      </c>
      <c r="AU93" s="280">
        <f t="shared" si="92"/>
        <v>4.4999999999999998E-2</v>
      </c>
      <c r="AV93" s="280">
        <f t="shared" si="92"/>
        <v>4.4999999999999998E-2</v>
      </c>
      <c r="AW93" s="280">
        <f t="shared" si="92"/>
        <v>4.4999999999999998E-2</v>
      </c>
      <c r="AX93" s="280">
        <f t="shared" si="92"/>
        <v>4.4999999999999998E-2</v>
      </c>
      <c r="AY93" s="280">
        <f t="shared" si="92"/>
        <v>4.4999999999999998E-2</v>
      </c>
      <c r="AZ93" s="280">
        <f t="shared" si="92"/>
        <v>4.4999999999999998E-2</v>
      </c>
      <c r="BA93" s="280">
        <f t="shared" si="92"/>
        <v>4.4999999999999998E-2</v>
      </c>
      <c r="BB93" s="280">
        <f t="shared" si="92"/>
        <v>4.4999999999999998E-2</v>
      </c>
      <c r="BC93" s="280">
        <f t="shared" si="92"/>
        <v>4.4999999999999998E-2</v>
      </c>
      <c r="BD93" s="280">
        <f t="shared" si="92"/>
        <v>4.4999999999999998E-2</v>
      </c>
      <c r="BE93" s="280">
        <f t="shared" si="92"/>
        <v>4.4999999999999998E-2</v>
      </c>
      <c r="BF93" s="280">
        <f t="shared" si="92"/>
        <v>4.4999999999999998E-2</v>
      </c>
      <c r="BG93" s="280">
        <f t="shared" si="92"/>
        <v>4.4999999999999998E-2</v>
      </c>
      <c r="BH93" s="280">
        <f t="shared" si="92"/>
        <v>4.4999999999999998E-2</v>
      </c>
      <c r="BI93" s="280">
        <f t="shared" si="92"/>
        <v>4.4999999999999998E-2</v>
      </c>
      <c r="BJ93" s="280">
        <f t="shared" si="92"/>
        <v>4.4999999999999998E-2</v>
      </c>
      <c r="BK93" s="280">
        <f t="shared" si="92"/>
        <v>4.4999999999999998E-2</v>
      </c>
      <c r="BL93" s="280">
        <f t="shared" si="92"/>
        <v>4.4999999999999998E-2</v>
      </c>
      <c r="BM93" s="280">
        <f t="shared" si="92"/>
        <v>4.4999999999999998E-2</v>
      </c>
      <c r="BN93" s="280">
        <f t="shared" si="92"/>
        <v>4.4999999999999998E-2</v>
      </c>
      <c r="BO93" s="280">
        <f t="shared" si="92"/>
        <v>4.4999999999999998E-2</v>
      </c>
      <c r="BP93" s="280">
        <f t="shared" si="92"/>
        <v>4.4999999999999998E-2</v>
      </c>
      <c r="BQ93" s="280">
        <f t="shared" si="92"/>
        <v>4.4999999999999998E-2</v>
      </c>
      <c r="BR93" s="280">
        <f t="shared" si="92"/>
        <v>4.4999999999999998E-2</v>
      </c>
      <c r="BS93" s="280">
        <f t="shared" si="92"/>
        <v>4.4999999999999998E-2</v>
      </c>
      <c r="BT93" s="280">
        <f t="shared" si="92"/>
        <v>4.4999999999999998E-2</v>
      </c>
      <c r="BU93" s="280">
        <f t="shared" si="92"/>
        <v>4.4999999999999998E-2</v>
      </c>
      <c r="BV93" s="280">
        <f t="shared" ref="AD93:CO93" si="93">$G$93</f>
        <v>4.4999999999999998E-2</v>
      </c>
      <c r="BW93" s="280">
        <f t="shared" si="93"/>
        <v>4.4999999999999998E-2</v>
      </c>
      <c r="BX93" s="280">
        <f t="shared" si="93"/>
        <v>4.4999999999999998E-2</v>
      </c>
      <c r="BY93" s="280">
        <f t="shared" si="93"/>
        <v>4.4999999999999998E-2</v>
      </c>
      <c r="BZ93" s="280">
        <f t="shared" si="93"/>
        <v>4.4999999999999998E-2</v>
      </c>
      <c r="CA93" s="280">
        <f t="shared" si="93"/>
        <v>4.4999999999999998E-2</v>
      </c>
      <c r="CB93" s="280">
        <f t="shared" si="93"/>
        <v>4.4999999999999998E-2</v>
      </c>
      <c r="CC93" s="280">
        <f t="shared" si="93"/>
        <v>4.4999999999999998E-2</v>
      </c>
      <c r="CD93" s="280">
        <f t="shared" si="93"/>
        <v>4.4999999999999998E-2</v>
      </c>
      <c r="CE93" s="280">
        <f t="shared" si="93"/>
        <v>4.4999999999999998E-2</v>
      </c>
      <c r="CF93" s="280">
        <f t="shared" si="93"/>
        <v>4.4999999999999998E-2</v>
      </c>
      <c r="CG93" s="280">
        <f t="shared" si="93"/>
        <v>4.4999999999999998E-2</v>
      </c>
      <c r="CH93" s="280">
        <f t="shared" si="93"/>
        <v>4.4999999999999998E-2</v>
      </c>
      <c r="CI93" s="280">
        <f t="shared" si="93"/>
        <v>4.4999999999999998E-2</v>
      </c>
      <c r="CJ93" s="280">
        <f t="shared" si="93"/>
        <v>4.4999999999999998E-2</v>
      </c>
      <c r="CK93" s="280">
        <f t="shared" si="93"/>
        <v>4.4999999999999998E-2</v>
      </c>
      <c r="CL93" s="280">
        <f t="shared" si="93"/>
        <v>4.4999999999999998E-2</v>
      </c>
      <c r="CM93" s="280">
        <f t="shared" si="93"/>
        <v>4.4999999999999998E-2</v>
      </c>
      <c r="CN93" s="280">
        <f t="shared" si="93"/>
        <v>4.4999999999999998E-2</v>
      </c>
      <c r="CO93" s="280">
        <f t="shared" si="93"/>
        <v>4.4999999999999998E-2</v>
      </c>
      <c r="CP93" s="133" t="s">
        <v>15</v>
      </c>
    </row>
    <row r="94" spans="2:94" s="133" customFormat="1" ht="15" customHeight="1" x14ac:dyDescent="0.2">
      <c r="D94" s="259"/>
      <c r="E94" s="259"/>
      <c r="F94" s="133" t="s">
        <v>230</v>
      </c>
      <c r="I94" s="283">
        <f>SUM(I92:I93)</f>
        <v>4.6492499999999999E-2</v>
      </c>
      <c r="J94" s="283">
        <f t="shared" ref="J94:BU94" si="94">SUM(J92:J93)</f>
        <v>4.6574600000000001E-2</v>
      </c>
      <c r="K94" s="283">
        <f t="shared" si="94"/>
        <v>4.6654799999999996E-2</v>
      </c>
      <c r="L94" s="283">
        <f t="shared" si="94"/>
        <v>4.6730500000000001E-2</v>
      </c>
      <c r="M94" s="283">
        <f t="shared" si="94"/>
        <v>4.6733999999999998E-2</v>
      </c>
      <c r="N94" s="283">
        <f t="shared" si="94"/>
        <v>4.6639300000000002E-2</v>
      </c>
      <c r="O94" s="283">
        <f t="shared" si="94"/>
        <v>4.6493599999999996E-2</v>
      </c>
      <c r="P94" s="283">
        <f t="shared" si="94"/>
        <v>4.6375799999999995E-2</v>
      </c>
      <c r="Q94" s="283">
        <f t="shared" si="94"/>
        <v>4.6313099999999996E-2</v>
      </c>
      <c r="R94" s="283">
        <f t="shared" si="94"/>
        <v>4.6326599999999996E-2</v>
      </c>
      <c r="S94" s="283">
        <f t="shared" si="94"/>
        <v>4.6389599999999996E-2</v>
      </c>
      <c r="T94" s="283">
        <f t="shared" si="94"/>
        <v>4.6462900000000001E-2</v>
      </c>
      <c r="U94" s="283">
        <f t="shared" si="94"/>
        <v>4.6543899999999999E-2</v>
      </c>
      <c r="V94" s="283">
        <f t="shared" si="94"/>
        <v>4.66185E-2</v>
      </c>
      <c r="W94" s="283">
        <f t="shared" si="94"/>
        <v>4.66576E-2</v>
      </c>
      <c r="X94" s="283">
        <f t="shared" si="94"/>
        <v>4.6673099999999995E-2</v>
      </c>
      <c r="Y94" s="283">
        <f t="shared" si="94"/>
        <v>4.6650499999999998E-2</v>
      </c>
      <c r="Z94" s="283">
        <f t="shared" si="94"/>
        <v>4.6571999999999995E-2</v>
      </c>
      <c r="AA94" s="283">
        <f t="shared" si="94"/>
        <v>4.6483199999999995E-2</v>
      </c>
      <c r="AB94" s="283">
        <f t="shared" si="94"/>
        <v>4.6418299999999996E-2</v>
      </c>
      <c r="AC94" s="283">
        <f t="shared" si="94"/>
        <v>4.6363599999999998E-2</v>
      </c>
      <c r="AD94" s="283">
        <f t="shared" si="94"/>
        <v>4.6367399999999996E-2</v>
      </c>
      <c r="AE94" s="283">
        <f t="shared" si="94"/>
        <v>4.6432000000000001E-2</v>
      </c>
      <c r="AF94" s="283">
        <f t="shared" si="94"/>
        <v>4.6510699999999995E-2</v>
      </c>
      <c r="AG94" s="283">
        <f t="shared" si="94"/>
        <v>4.6635900000000001E-2</v>
      </c>
      <c r="AH94" s="283">
        <f t="shared" si="94"/>
        <v>4.6792500000000001E-2</v>
      </c>
      <c r="AI94" s="283">
        <f t="shared" si="94"/>
        <v>4.6919499999999996E-2</v>
      </c>
      <c r="AJ94" s="283">
        <f t="shared" si="94"/>
        <v>4.7074999999999999E-2</v>
      </c>
      <c r="AK94" s="283">
        <f t="shared" si="94"/>
        <v>4.7230299999999996E-2</v>
      </c>
      <c r="AL94" s="283">
        <f t="shared" si="94"/>
        <v>4.7357099999999999E-2</v>
      </c>
      <c r="AM94" s="283">
        <f t="shared" si="94"/>
        <v>4.74913E-2</v>
      </c>
      <c r="AN94" s="283">
        <f t="shared" si="94"/>
        <v>4.7635299999999998E-2</v>
      </c>
      <c r="AO94" s="283">
        <f t="shared" si="94"/>
        <v>4.7757899999999999E-2</v>
      </c>
      <c r="AP94" s="283">
        <f t="shared" si="94"/>
        <v>4.7894599999999996E-2</v>
      </c>
      <c r="AQ94" s="283">
        <f t="shared" si="94"/>
        <v>4.8042999999999995E-2</v>
      </c>
      <c r="AR94" s="283">
        <f t="shared" si="94"/>
        <v>4.8180500000000001E-2</v>
      </c>
      <c r="AS94" s="283">
        <f t="shared" si="94"/>
        <v>4.83303E-2</v>
      </c>
      <c r="AT94" s="283">
        <f t="shared" si="94"/>
        <v>4.8499799999999996E-2</v>
      </c>
      <c r="AU94" s="283">
        <f t="shared" si="94"/>
        <v>4.8647799999999998E-2</v>
      </c>
      <c r="AV94" s="283">
        <f t="shared" si="94"/>
        <v>4.8825799999999996E-2</v>
      </c>
      <c r="AW94" s="283">
        <f t="shared" si="94"/>
        <v>4.9017999999999999E-2</v>
      </c>
      <c r="AX94" s="283">
        <f t="shared" si="94"/>
        <v>4.9191100000000001E-2</v>
      </c>
      <c r="AY94" s="283">
        <f t="shared" si="94"/>
        <v>4.93829E-2</v>
      </c>
      <c r="AZ94" s="283">
        <f t="shared" si="94"/>
        <v>4.9586399999999996E-2</v>
      </c>
      <c r="BA94" s="283">
        <f t="shared" si="94"/>
        <v>4.9782099999999996E-2</v>
      </c>
      <c r="BB94" s="283">
        <f t="shared" si="94"/>
        <v>4.9987499999999997E-2</v>
      </c>
      <c r="BC94" s="283">
        <f t="shared" si="94"/>
        <v>5.02026E-2</v>
      </c>
      <c r="BD94" s="283">
        <f t="shared" si="94"/>
        <v>5.0409900000000001E-2</v>
      </c>
      <c r="BE94" s="283">
        <f t="shared" si="94"/>
        <v>5.0624799999999998E-2</v>
      </c>
      <c r="BF94" s="283">
        <f t="shared" si="94"/>
        <v>5.0851799999999996E-2</v>
      </c>
      <c r="BG94" s="283">
        <f t="shared" si="94"/>
        <v>5.1046499999999995E-2</v>
      </c>
      <c r="BH94" s="283">
        <f t="shared" si="94"/>
        <v>5.12646E-2</v>
      </c>
      <c r="BI94" s="283">
        <f t="shared" si="94"/>
        <v>5.1484999999999996E-2</v>
      </c>
      <c r="BJ94" s="283">
        <f t="shared" si="94"/>
        <v>5.16765E-2</v>
      </c>
      <c r="BK94" s="283">
        <f t="shared" si="94"/>
        <v>5.1877899999999998E-2</v>
      </c>
      <c r="BL94" s="283">
        <f t="shared" si="94"/>
        <v>5.2080999999999995E-2</v>
      </c>
      <c r="BM94" s="283">
        <f t="shared" si="94"/>
        <v>5.2271199999999997E-2</v>
      </c>
      <c r="BN94" s="283">
        <f t="shared" si="94"/>
        <v>5.2464699999999996E-2</v>
      </c>
      <c r="BO94" s="283">
        <f t="shared" si="94"/>
        <v>5.2667800000000001E-2</v>
      </c>
      <c r="BP94" s="283">
        <f t="shared" si="94"/>
        <v>5.2844599999999999E-2</v>
      </c>
      <c r="BQ94" s="283">
        <f t="shared" si="94"/>
        <v>5.3031700000000001E-2</v>
      </c>
      <c r="BR94" s="283">
        <f t="shared" si="94"/>
        <v>5.3228299999999999E-2</v>
      </c>
      <c r="BS94" s="283">
        <f t="shared" si="94"/>
        <v>5.3382399999999997E-2</v>
      </c>
      <c r="BT94" s="283">
        <f t="shared" si="94"/>
        <v>5.35734E-2</v>
      </c>
      <c r="BU94" s="283">
        <f t="shared" si="94"/>
        <v>5.37551E-2</v>
      </c>
      <c r="BV94" s="283">
        <f t="shared" ref="BV94:CO94" si="95">SUM(BV92:BV93)</f>
        <v>5.3905599999999998E-2</v>
      </c>
      <c r="BW94" s="283">
        <f t="shared" si="95"/>
        <v>5.4063E-2</v>
      </c>
      <c r="BX94" s="283">
        <f t="shared" si="95"/>
        <v>5.4227199999999996E-2</v>
      </c>
      <c r="BY94" s="283">
        <f t="shared" si="95"/>
        <v>5.4363399999999999E-2</v>
      </c>
      <c r="BZ94" s="283">
        <f t="shared" si="95"/>
        <v>5.4509000000000002E-2</v>
      </c>
      <c r="CA94" s="283">
        <f t="shared" si="95"/>
        <v>5.4664499999999998E-2</v>
      </c>
      <c r="CB94" s="283">
        <f t="shared" si="95"/>
        <v>5.4794900000000001E-2</v>
      </c>
      <c r="CC94" s="283">
        <f t="shared" si="95"/>
        <v>5.4935100000000001E-2</v>
      </c>
      <c r="CD94" s="283">
        <f t="shared" si="95"/>
        <v>5.5086999999999997E-2</v>
      </c>
      <c r="CE94" s="283">
        <f t="shared" si="95"/>
        <v>5.5211700000000002E-2</v>
      </c>
      <c r="CF94" s="283">
        <f t="shared" si="95"/>
        <v>5.5354799999999996E-2</v>
      </c>
      <c r="CG94" s="283">
        <f t="shared" si="95"/>
        <v>5.5505199999999998E-2</v>
      </c>
      <c r="CH94" s="283">
        <f t="shared" si="95"/>
        <v>5.5614899999999995E-2</v>
      </c>
      <c r="CI94" s="283">
        <f t="shared" si="95"/>
        <v>5.57642E-2</v>
      </c>
      <c r="CJ94" s="283">
        <f t="shared" si="95"/>
        <v>5.5906899999999995E-2</v>
      </c>
      <c r="CK94" s="283">
        <f t="shared" si="95"/>
        <v>5.6024400000000002E-2</v>
      </c>
      <c r="CL94" s="283">
        <f t="shared" si="95"/>
        <v>5.6150499999999999E-2</v>
      </c>
      <c r="CM94" s="283">
        <f t="shared" si="95"/>
        <v>5.6286199999999995E-2</v>
      </c>
      <c r="CN94" s="283">
        <f t="shared" si="95"/>
        <v>5.6395799999999996E-2</v>
      </c>
      <c r="CO94" s="283">
        <f t="shared" si="95"/>
        <v>5.6515499999999996E-2</v>
      </c>
      <c r="CP94" s="133" t="s">
        <v>15</v>
      </c>
    </row>
    <row r="95" spans="2:94" ht="15" customHeight="1" x14ac:dyDescent="0.2">
      <c r="D95" s="259"/>
      <c r="E95" s="269"/>
      <c r="F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row>
    <row r="96" spans="2:94" ht="15" customHeight="1" x14ac:dyDescent="0.2">
      <c r="B96" s="136">
        <f ca="1">SUM(I96:CO96)</f>
        <v>762069.27691992244</v>
      </c>
      <c r="C96" s="133" t="s">
        <v>231</v>
      </c>
      <c r="D96" s="259" t="s">
        <v>194</v>
      </c>
      <c r="E96" s="269"/>
      <c r="F96" s="133" t="s">
        <v>232</v>
      </c>
      <c r="I96" s="136">
        <f t="shared" ref="I96:AN96" si="96">I94*I87*DaysInMonth/ConstLoanType</f>
        <v>0</v>
      </c>
      <c r="J96" s="136">
        <f t="shared" si="96"/>
        <v>0</v>
      </c>
      <c r="K96" s="136">
        <f t="shared" ca="1" si="96"/>
        <v>0</v>
      </c>
      <c r="L96" s="136">
        <f t="shared" ca="1" si="96"/>
        <v>0</v>
      </c>
      <c r="M96" s="136">
        <f t="shared" ca="1" si="96"/>
        <v>0</v>
      </c>
      <c r="N96" s="136">
        <f t="shared" ca="1" si="96"/>
        <v>0</v>
      </c>
      <c r="O96" s="136">
        <f t="shared" ca="1" si="96"/>
        <v>0</v>
      </c>
      <c r="P96" s="136">
        <f t="shared" ca="1" si="96"/>
        <v>0</v>
      </c>
      <c r="Q96" s="136">
        <f t="shared" ca="1" si="96"/>
        <v>0</v>
      </c>
      <c r="R96" s="136">
        <f t="shared" ca="1" si="96"/>
        <v>0</v>
      </c>
      <c r="S96" s="136">
        <f t="shared" ca="1" si="96"/>
        <v>0</v>
      </c>
      <c r="T96" s="136">
        <f t="shared" ca="1" si="96"/>
        <v>0</v>
      </c>
      <c r="U96" s="136">
        <f t="shared" ca="1" si="96"/>
        <v>0</v>
      </c>
      <c r="V96" s="136">
        <f t="shared" ca="1" si="96"/>
        <v>0</v>
      </c>
      <c r="W96" s="136">
        <f t="shared" ca="1" si="96"/>
        <v>0</v>
      </c>
      <c r="X96" s="136">
        <f t="shared" ca="1" si="96"/>
        <v>0</v>
      </c>
      <c r="Y96" s="136">
        <f t="shared" ca="1" si="96"/>
        <v>1748.5123873063865</v>
      </c>
      <c r="Z96" s="136">
        <f t="shared" ca="1" si="96"/>
        <v>6778.3886035924443</v>
      </c>
      <c r="AA96" s="136">
        <f t="shared" ca="1" si="96"/>
        <v>11451.001930305723</v>
      </c>
      <c r="AB96" s="136">
        <f t="shared" ca="1" si="96"/>
        <v>16895.021205716435</v>
      </c>
      <c r="AC96" s="136">
        <f t="shared" ca="1" si="96"/>
        <v>21969.701774748974</v>
      </c>
      <c r="AD96" s="136">
        <f t="shared" ca="1" si="96"/>
        <v>26339.262332730814</v>
      </c>
      <c r="AE96" s="136">
        <f t="shared" ca="1" si="96"/>
        <v>33327.373751748426</v>
      </c>
      <c r="AF96" s="136">
        <f t="shared" ca="1" si="96"/>
        <v>37792.705912185782</v>
      </c>
      <c r="AG96" s="136">
        <f t="shared" ca="1" si="96"/>
        <v>41653.826514895642</v>
      </c>
      <c r="AH96" s="136">
        <f t="shared" ca="1" si="96"/>
        <v>47135.206921701443</v>
      </c>
      <c r="AI96" s="136">
        <f t="shared" ca="1" si="96"/>
        <v>42689.285091908911</v>
      </c>
      <c r="AJ96" s="136">
        <f t="shared" ca="1" si="96"/>
        <v>47419.775943561377</v>
      </c>
      <c r="AK96" s="136">
        <f t="shared" ca="1" si="96"/>
        <v>46041.496796406282</v>
      </c>
      <c r="AL96" s="136">
        <f t="shared" ca="1" si="96"/>
        <v>47703.942035832828</v>
      </c>
      <c r="AM96" s="136">
        <f t="shared" ca="1" si="96"/>
        <v>46295.927334934771</v>
      </c>
      <c r="AN96" s="136">
        <f t="shared" ca="1" si="96"/>
        <v>47984.179564616665</v>
      </c>
      <c r="AO96" s="136">
        <f t="shared" ref="AO96:BT96" ca="1" si="97">AO94*AO87*DaysInMonth/ConstLoanType</f>
        <v>48107.677483484003</v>
      </c>
      <c r="AP96" s="136">
        <f t="shared" ca="1" si="97"/>
        <v>46689.07613259201</v>
      </c>
      <c r="AQ96" s="136">
        <f t="shared" ca="1" si="97"/>
        <v>48394.865547669018</v>
      </c>
      <c r="AR96" s="136">
        <f t="shared" ca="1" si="97"/>
        <v>46967.779929393902</v>
      </c>
      <c r="AS96" s="136">
        <f t="shared" ca="1" si="97"/>
        <v>48684.269724590631</v>
      </c>
      <c r="AT96" s="136">
        <f t="shared" ca="1" si="97"/>
        <v>0</v>
      </c>
      <c r="AU96" s="136">
        <f t="shared" ca="1" si="97"/>
        <v>0</v>
      </c>
      <c r="AV96" s="136">
        <f t="shared" ca="1" si="97"/>
        <v>0</v>
      </c>
      <c r="AW96" s="136">
        <f t="shared" ca="1" si="97"/>
        <v>0</v>
      </c>
      <c r="AX96" s="136">
        <f t="shared" ca="1" si="97"/>
        <v>0</v>
      </c>
      <c r="AY96" s="136">
        <f t="shared" ca="1" si="97"/>
        <v>0</v>
      </c>
      <c r="AZ96" s="136">
        <f t="shared" ca="1" si="97"/>
        <v>0</v>
      </c>
      <c r="BA96" s="136">
        <f t="shared" ca="1" si="97"/>
        <v>0</v>
      </c>
      <c r="BB96" s="136">
        <f t="shared" ca="1" si="97"/>
        <v>0</v>
      </c>
      <c r="BC96" s="136">
        <f t="shared" ca="1" si="97"/>
        <v>0</v>
      </c>
      <c r="BD96" s="136">
        <f t="shared" ca="1" si="97"/>
        <v>0</v>
      </c>
      <c r="BE96" s="136">
        <f t="shared" ca="1" si="97"/>
        <v>0</v>
      </c>
      <c r="BF96" s="136">
        <f t="shared" ca="1" si="97"/>
        <v>0</v>
      </c>
      <c r="BG96" s="136">
        <f t="shared" ca="1" si="97"/>
        <v>0</v>
      </c>
      <c r="BH96" s="136">
        <f t="shared" ca="1" si="97"/>
        <v>0</v>
      </c>
      <c r="BI96" s="136">
        <f t="shared" ca="1" si="97"/>
        <v>0</v>
      </c>
      <c r="BJ96" s="136">
        <f t="shared" ca="1" si="97"/>
        <v>0</v>
      </c>
      <c r="BK96" s="136">
        <f t="shared" ca="1" si="97"/>
        <v>0</v>
      </c>
      <c r="BL96" s="136">
        <f t="shared" ca="1" si="97"/>
        <v>0</v>
      </c>
      <c r="BM96" s="136">
        <f t="shared" ca="1" si="97"/>
        <v>0</v>
      </c>
      <c r="BN96" s="136">
        <f t="shared" ca="1" si="97"/>
        <v>0</v>
      </c>
      <c r="BO96" s="136">
        <f t="shared" ca="1" si="97"/>
        <v>0</v>
      </c>
      <c r="BP96" s="136">
        <f t="shared" ca="1" si="97"/>
        <v>0</v>
      </c>
      <c r="BQ96" s="136">
        <f t="shared" ca="1" si="97"/>
        <v>0</v>
      </c>
      <c r="BR96" s="136">
        <f t="shared" ca="1" si="97"/>
        <v>0</v>
      </c>
      <c r="BS96" s="136">
        <f t="shared" ca="1" si="97"/>
        <v>0</v>
      </c>
      <c r="BT96" s="136">
        <f t="shared" ca="1" si="97"/>
        <v>0</v>
      </c>
      <c r="BU96" s="136">
        <f t="shared" ref="BU96:CO96" ca="1" si="98">BU94*BU87*DaysInMonth/ConstLoanType</f>
        <v>0</v>
      </c>
      <c r="BV96" s="136">
        <f t="shared" ca="1" si="98"/>
        <v>0</v>
      </c>
      <c r="BW96" s="136">
        <f t="shared" ca="1" si="98"/>
        <v>0</v>
      </c>
      <c r="BX96" s="136">
        <f t="shared" ca="1" si="98"/>
        <v>0</v>
      </c>
      <c r="BY96" s="136">
        <f t="shared" ca="1" si="98"/>
        <v>0</v>
      </c>
      <c r="BZ96" s="136">
        <f t="shared" ca="1" si="98"/>
        <v>0</v>
      </c>
      <c r="CA96" s="136">
        <f t="shared" ca="1" si="98"/>
        <v>0</v>
      </c>
      <c r="CB96" s="136">
        <f t="shared" ca="1" si="98"/>
        <v>0</v>
      </c>
      <c r="CC96" s="136">
        <f t="shared" ca="1" si="98"/>
        <v>0</v>
      </c>
      <c r="CD96" s="136">
        <f t="shared" ca="1" si="98"/>
        <v>0</v>
      </c>
      <c r="CE96" s="136">
        <f t="shared" ca="1" si="98"/>
        <v>0</v>
      </c>
      <c r="CF96" s="136">
        <f t="shared" ca="1" si="98"/>
        <v>0</v>
      </c>
      <c r="CG96" s="136">
        <f t="shared" ca="1" si="98"/>
        <v>0</v>
      </c>
      <c r="CH96" s="136">
        <f t="shared" ca="1" si="98"/>
        <v>0</v>
      </c>
      <c r="CI96" s="136">
        <f t="shared" ca="1" si="98"/>
        <v>0</v>
      </c>
      <c r="CJ96" s="136">
        <f t="shared" ca="1" si="98"/>
        <v>0</v>
      </c>
      <c r="CK96" s="136">
        <f t="shared" ca="1" si="98"/>
        <v>0</v>
      </c>
      <c r="CL96" s="136">
        <f t="shared" ca="1" si="98"/>
        <v>0</v>
      </c>
      <c r="CM96" s="136">
        <f t="shared" ca="1" si="98"/>
        <v>0</v>
      </c>
      <c r="CN96" s="136">
        <f t="shared" ca="1" si="98"/>
        <v>0</v>
      </c>
      <c r="CO96" s="136">
        <f t="shared" ca="1" si="98"/>
        <v>0</v>
      </c>
      <c r="CP96" s="133" t="s">
        <v>15</v>
      </c>
    </row>
    <row r="97" spans="2:94" ht="15" customHeight="1" x14ac:dyDescent="0.2">
      <c r="B97" s="136">
        <f ca="1">SUM(I97:CO97)</f>
        <v>197955.79441323061</v>
      </c>
      <c r="C97" s="133" t="s">
        <v>233</v>
      </c>
      <c r="D97" s="259" t="s">
        <v>194</v>
      </c>
      <c r="E97" s="269"/>
      <c r="F97" s="133" t="s">
        <v>234</v>
      </c>
      <c r="I97" s="136">
        <f t="shared" ref="I97:AN97" si="99">MAX(I96-NOI_Today,0)</f>
        <v>0</v>
      </c>
      <c r="J97" s="136">
        <f t="shared" ca="1" si="99"/>
        <v>0</v>
      </c>
      <c r="K97" s="136">
        <f t="shared" ca="1" si="99"/>
        <v>0</v>
      </c>
      <c r="L97" s="136">
        <f t="shared" ca="1" si="99"/>
        <v>0</v>
      </c>
      <c r="M97" s="136">
        <f t="shared" ca="1" si="99"/>
        <v>0</v>
      </c>
      <c r="N97" s="136">
        <f t="shared" ca="1" si="99"/>
        <v>0</v>
      </c>
      <c r="O97" s="136">
        <f t="shared" ca="1" si="99"/>
        <v>0</v>
      </c>
      <c r="P97" s="136">
        <f t="shared" ca="1" si="99"/>
        <v>0</v>
      </c>
      <c r="Q97" s="136">
        <f t="shared" ca="1" si="99"/>
        <v>0</v>
      </c>
      <c r="R97" s="136">
        <f t="shared" ca="1" si="99"/>
        <v>0</v>
      </c>
      <c r="S97" s="136">
        <f t="shared" ca="1" si="99"/>
        <v>0</v>
      </c>
      <c r="T97" s="136">
        <f t="shared" ca="1" si="99"/>
        <v>0</v>
      </c>
      <c r="U97" s="136">
        <f t="shared" ca="1" si="99"/>
        <v>0</v>
      </c>
      <c r="V97" s="136">
        <f t="shared" ca="1" si="99"/>
        <v>0</v>
      </c>
      <c r="W97" s="136">
        <f t="shared" ca="1" si="99"/>
        <v>0</v>
      </c>
      <c r="X97" s="136">
        <f t="shared" ca="1" si="99"/>
        <v>0</v>
      </c>
      <c r="Y97" s="136">
        <f t="shared" ca="1" si="99"/>
        <v>1748.5123873063865</v>
      </c>
      <c r="Z97" s="136">
        <f t="shared" ca="1" si="99"/>
        <v>6778.3886035924443</v>
      </c>
      <c r="AA97" s="136">
        <f t="shared" ca="1" si="99"/>
        <v>11451.001930305723</v>
      </c>
      <c r="AB97" s="136">
        <f t="shared" ca="1" si="99"/>
        <v>16895.021205716435</v>
      </c>
      <c r="AC97" s="136">
        <f t="shared" ca="1" si="99"/>
        <v>21969.701774748974</v>
      </c>
      <c r="AD97" s="136">
        <f t="shared" ca="1" si="99"/>
        <v>26339.262332730814</v>
      </c>
      <c r="AE97" s="136">
        <f t="shared" ca="1" si="99"/>
        <v>33327.373751748426</v>
      </c>
      <c r="AF97" s="136">
        <f t="shared" ca="1" si="99"/>
        <v>37792.705912185782</v>
      </c>
      <c r="AG97" s="136">
        <f t="shared" ca="1" si="99"/>
        <v>41653.826514895642</v>
      </c>
      <c r="AH97" s="136">
        <f t="shared" ca="1" si="99"/>
        <v>0</v>
      </c>
      <c r="AI97" s="136">
        <f t="shared" ca="1" si="99"/>
        <v>0</v>
      </c>
      <c r="AJ97" s="136">
        <f t="shared" ca="1" si="99"/>
        <v>0</v>
      </c>
      <c r="AK97" s="136">
        <f t="shared" ca="1" si="99"/>
        <v>0</v>
      </c>
      <c r="AL97" s="136">
        <f t="shared" ca="1" si="99"/>
        <v>0</v>
      </c>
      <c r="AM97" s="136">
        <f t="shared" ca="1" si="99"/>
        <v>0</v>
      </c>
      <c r="AN97" s="136">
        <f t="shared" ca="1" si="99"/>
        <v>0</v>
      </c>
      <c r="AO97" s="136">
        <f t="shared" ref="AO97:BT97" ca="1" si="100">MAX(AO96-NOI_Today,0)</f>
        <v>0</v>
      </c>
      <c r="AP97" s="136">
        <f t="shared" ca="1" si="100"/>
        <v>0</v>
      </c>
      <c r="AQ97" s="136">
        <f t="shared" ca="1" si="100"/>
        <v>0</v>
      </c>
      <c r="AR97" s="136">
        <f t="shared" ca="1" si="100"/>
        <v>0</v>
      </c>
      <c r="AS97" s="136">
        <f t="shared" ca="1" si="100"/>
        <v>0</v>
      </c>
      <c r="AT97" s="136">
        <f t="shared" ca="1" si="100"/>
        <v>0</v>
      </c>
      <c r="AU97" s="136">
        <f t="shared" ca="1" si="100"/>
        <v>0</v>
      </c>
      <c r="AV97" s="136">
        <f t="shared" ca="1" si="100"/>
        <v>0</v>
      </c>
      <c r="AW97" s="136">
        <f t="shared" ca="1" si="100"/>
        <v>0</v>
      </c>
      <c r="AX97" s="136">
        <f t="shared" ca="1" si="100"/>
        <v>0</v>
      </c>
      <c r="AY97" s="136">
        <f t="shared" ca="1" si="100"/>
        <v>0</v>
      </c>
      <c r="AZ97" s="136">
        <f t="shared" ca="1" si="100"/>
        <v>0</v>
      </c>
      <c r="BA97" s="136">
        <f t="shared" ca="1" si="100"/>
        <v>0</v>
      </c>
      <c r="BB97" s="136">
        <f t="shared" ca="1" si="100"/>
        <v>0</v>
      </c>
      <c r="BC97" s="136">
        <f t="shared" ca="1" si="100"/>
        <v>0</v>
      </c>
      <c r="BD97" s="136">
        <f t="shared" ca="1" si="100"/>
        <v>0</v>
      </c>
      <c r="BE97" s="136">
        <f t="shared" ca="1" si="100"/>
        <v>0</v>
      </c>
      <c r="BF97" s="136">
        <f t="shared" ca="1" si="100"/>
        <v>0</v>
      </c>
      <c r="BG97" s="136">
        <f t="shared" ca="1" si="100"/>
        <v>0</v>
      </c>
      <c r="BH97" s="136">
        <f t="shared" ca="1" si="100"/>
        <v>0</v>
      </c>
      <c r="BI97" s="136">
        <f t="shared" ca="1" si="100"/>
        <v>0</v>
      </c>
      <c r="BJ97" s="136">
        <f t="shared" ca="1" si="100"/>
        <v>0</v>
      </c>
      <c r="BK97" s="136">
        <f t="shared" ca="1" si="100"/>
        <v>0</v>
      </c>
      <c r="BL97" s="136">
        <f t="shared" ca="1" si="100"/>
        <v>0</v>
      </c>
      <c r="BM97" s="136">
        <f t="shared" ca="1" si="100"/>
        <v>0</v>
      </c>
      <c r="BN97" s="136">
        <f t="shared" ca="1" si="100"/>
        <v>0</v>
      </c>
      <c r="BO97" s="136">
        <f t="shared" ca="1" si="100"/>
        <v>0</v>
      </c>
      <c r="BP97" s="136">
        <f t="shared" ca="1" si="100"/>
        <v>0</v>
      </c>
      <c r="BQ97" s="136">
        <f t="shared" ca="1" si="100"/>
        <v>0</v>
      </c>
      <c r="BR97" s="136">
        <f t="shared" ca="1" si="100"/>
        <v>0</v>
      </c>
      <c r="BS97" s="136">
        <f t="shared" ca="1" si="100"/>
        <v>0</v>
      </c>
      <c r="BT97" s="136">
        <f t="shared" ca="1" si="100"/>
        <v>0</v>
      </c>
      <c r="BU97" s="136">
        <f t="shared" ref="BU97:CO97" ca="1" si="101">MAX(BU96-NOI_Today,0)</f>
        <v>0</v>
      </c>
      <c r="BV97" s="136">
        <f t="shared" ca="1" si="101"/>
        <v>0</v>
      </c>
      <c r="BW97" s="136">
        <f t="shared" ca="1" si="101"/>
        <v>0</v>
      </c>
      <c r="BX97" s="136">
        <f t="shared" ca="1" si="101"/>
        <v>0</v>
      </c>
      <c r="BY97" s="136">
        <f t="shared" ca="1" si="101"/>
        <v>0</v>
      </c>
      <c r="BZ97" s="136">
        <f t="shared" ca="1" si="101"/>
        <v>0</v>
      </c>
      <c r="CA97" s="136">
        <f t="shared" ca="1" si="101"/>
        <v>0</v>
      </c>
      <c r="CB97" s="136">
        <f t="shared" ca="1" si="101"/>
        <v>0</v>
      </c>
      <c r="CC97" s="136">
        <f t="shared" ca="1" si="101"/>
        <v>0</v>
      </c>
      <c r="CD97" s="136">
        <f t="shared" ca="1" si="101"/>
        <v>0</v>
      </c>
      <c r="CE97" s="136">
        <f t="shared" ca="1" si="101"/>
        <v>0</v>
      </c>
      <c r="CF97" s="136">
        <f t="shared" ca="1" si="101"/>
        <v>0</v>
      </c>
      <c r="CG97" s="136">
        <f t="shared" ca="1" si="101"/>
        <v>0</v>
      </c>
      <c r="CH97" s="136">
        <f t="shared" ca="1" si="101"/>
        <v>0</v>
      </c>
      <c r="CI97" s="136">
        <f t="shared" ca="1" si="101"/>
        <v>0</v>
      </c>
      <c r="CJ97" s="136">
        <f t="shared" ca="1" si="101"/>
        <v>0</v>
      </c>
      <c r="CK97" s="136">
        <f t="shared" ca="1" si="101"/>
        <v>0</v>
      </c>
      <c r="CL97" s="136">
        <f t="shared" ca="1" si="101"/>
        <v>0</v>
      </c>
      <c r="CM97" s="136">
        <f t="shared" ca="1" si="101"/>
        <v>0</v>
      </c>
      <c r="CN97" s="136">
        <f t="shared" ca="1" si="101"/>
        <v>0</v>
      </c>
      <c r="CO97" s="136">
        <f t="shared" ca="1" si="101"/>
        <v>0</v>
      </c>
      <c r="CP97" s="133" t="s">
        <v>15</v>
      </c>
    </row>
    <row r="98" spans="2:94" ht="15" customHeight="1" x14ac:dyDescent="0.2">
      <c r="D98" s="259"/>
      <c r="E98" s="269"/>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row>
    <row r="99" spans="2:94" ht="15" x14ac:dyDescent="0.25">
      <c r="D99" s="259"/>
      <c r="E99" s="269"/>
      <c r="F99" s="146" t="s">
        <v>351</v>
      </c>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row>
    <row r="100" spans="2:94" ht="15" customHeight="1" x14ac:dyDescent="0.2">
      <c r="D100" s="259"/>
      <c r="E100" s="269"/>
      <c r="F100" s="133" t="s">
        <v>222</v>
      </c>
      <c r="I100" s="136">
        <f>H104</f>
        <v>0</v>
      </c>
      <c r="J100" s="136">
        <f t="shared" ref="J100:BU100" ca="1" si="102">I104</f>
        <v>0</v>
      </c>
      <c r="K100" s="136">
        <f t="shared" ca="1" si="102"/>
        <v>0</v>
      </c>
      <c r="L100" s="136">
        <f t="shared" ca="1" si="102"/>
        <v>0</v>
      </c>
      <c r="M100" s="136">
        <f t="shared" ca="1" si="102"/>
        <v>0</v>
      </c>
      <c r="N100" s="136">
        <f t="shared" ca="1" si="102"/>
        <v>0</v>
      </c>
      <c r="O100" s="136">
        <f t="shared" ca="1" si="102"/>
        <v>0</v>
      </c>
      <c r="P100" s="136">
        <f t="shared" ca="1" si="102"/>
        <v>0</v>
      </c>
      <c r="Q100" s="136">
        <f t="shared" ca="1" si="102"/>
        <v>0</v>
      </c>
      <c r="R100" s="136">
        <f t="shared" ca="1" si="102"/>
        <v>0</v>
      </c>
      <c r="S100" s="136">
        <f t="shared" ca="1" si="102"/>
        <v>0</v>
      </c>
      <c r="T100" s="136">
        <f t="shared" ca="1" si="102"/>
        <v>0</v>
      </c>
      <c r="U100" s="136">
        <f t="shared" ca="1" si="102"/>
        <v>0</v>
      </c>
      <c r="V100" s="136">
        <f t="shared" ca="1" si="102"/>
        <v>0</v>
      </c>
      <c r="W100" s="136">
        <f t="shared" ca="1" si="102"/>
        <v>0</v>
      </c>
      <c r="X100" s="136">
        <f t="shared" ca="1" si="102"/>
        <v>0</v>
      </c>
      <c r="Y100" s="136">
        <f t="shared" ca="1" si="102"/>
        <v>0</v>
      </c>
      <c r="Z100" s="136">
        <f t="shared" ca="1" si="102"/>
        <v>0</v>
      </c>
      <c r="AA100" s="136">
        <f t="shared" ca="1" si="102"/>
        <v>0</v>
      </c>
      <c r="AB100" s="136">
        <f t="shared" ca="1" si="102"/>
        <v>0</v>
      </c>
      <c r="AC100" s="136">
        <f t="shared" ca="1" si="102"/>
        <v>0</v>
      </c>
      <c r="AD100" s="136">
        <f t="shared" ca="1" si="102"/>
        <v>0</v>
      </c>
      <c r="AE100" s="136">
        <f t="shared" ca="1" si="102"/>
        <v>0</v>
      </c>
      <c r="AF100" s="136">
        <f t="shared" ca="1" si="102"/>
        <v>0</v>
      </c>
      <c r="AG100" s="136">
        <f t="shared" ca="1" si="102"/>
        <v>0</v>
      </c>
      <c r="AH100" s="136">
        <f t="shared" ca="1" si="102"/>
        <v>0</v>
      </c>
      <c r="AI100" s="136">
        <f t="shared" ca="1" si="102"/>
        <v>0</v>
      </c>
      <c r="AJ100" s="136">
        <f t="shared" ca="1" si="102"/>
        <v>0</v>
      </c>
      <c r="AK100" s="136">
        <f t="shared" ca="1" si="102"/>
        <v>0</v>
      </c>
      <c r="AL100" s="136">
        <f t="shared" ca="1" si="102"/>
        <v>0</v>
      </c>
      <c r="AM100" s="136">
        <f t="shared" ca="1" si="102"/>
        <v>0</v>
      </c>
      <c r="AN100" s="136">
        <f t="shared" ca="1" si="102"/>
        <v>0</v>
      </c>
      <c r="AO100" s="136">
        <f t="shared" ca="1" si="102"/>
        <v>0</v>
      </c>
      <c r="AP100" s="136">
        <f t="shared" ca="1" si="102"/>
        <v>0</v>
      </c>
      <c r="AQ100" s="136">
        <f t="shared" ca="1" si="102"/>
        <v>0</v>
      </c>
      <c r="AR100" s="136">
        <f t="shared" ca="1" si="102"/>
        <v>0</v>
      </c>
      <c r="AS100" s="136">
        <f t="shared" ca="1" si="102"/>
        <v>0</v>
      </c>
      <c r="AT100" s="136">
        <f t="shared" ca="1" si="102"/>
        <v>35005242.318935432</v>
      </c>
      <c r="AU100" s="136">
        <f t="shared" ca="1" si="102"/>
        <v>34976548.815204494</v>
      </c>
      <c r="AV100" s="136">
        <f t="shared" ca="1" si="102"/>
        <v>34947687.932701789</v>
      </c>
      <c r="AW100" s="136">
        <f t="shared" ca="1" si="102"/>
        <v>34918658.695051156</v>
      </c>
      <c r="AX100" s="136">
        <f t="shared" ca="1" si="102"/>
        <v>34889460.12018089</v>
      </c>
      <c r="AY100" s="136">
        <f t="shared" ca="1" si="102"/>
        <v>34860091.220290549</v>
      </c>
      <c r="AZ100" s="136">
        <f t="shared" ca="1" si="102"/>
        <v>34830551.001817517</v>
      </c>
      <c r="BA100" s="136">
        <f t="shared" ca="1" si="102"/>
        <v>34800838.465403385</v>
      </c>
      <c r="BB100" s="136">
        <f t="shared" ca="1" si="102"/>
        <v>34770952.605860174</v>
      </c>
      <c r="BC100" s="136">
        <f t="shared" ca="1" si="102"/>
        <v>34740892.412136294</v>
      </c>
      <c r="BD100" s="136">
        <f t="shared" ca="1" si="102"/>
        <v>34710656.867282361</v>
      </c>
      <c r="BE100" s="136">
        <f t="shared" ca="1" si="102"/>
        <v>34680244.948416777</v>
      </c>
      <c r="BF100" s="136">
        <f t="shared" ca="1" si="102"/>
        <v>34649655.626691148</v>
      </c>
      <c r="BG100" s="136">
        <f t="shared" ca="1" si="102"/>
        <v>34618887.867255449</v>
      </c>
      <c r="BH100" s="136">
        <f t="shared" ca="1" si="102"/>
        <v>34587940.629223041</v>
      </c>
      <c r="BI100" s="136">
        <f t="shared" ca="1" si="102"/>
        <v>34556812.865635447</v>
      </c>
      <c r="BJ100" s="136">
        <f t="shared" ca="1" si="102"/>
        <v>34525503.523426928</v>
      </c>
      <c r="BK100" s="136">
        <f t="shared" ca="1" si="102"/>
        <v>34494011.543388851</v>
      </c>
      <c r="BL100" s="136">
        <f t="shared" ca="1" si="102"/>
        <v>34462335.860133886</v>
      </c>
      <c r="BM100" s="136">
        <f t="shared" ca="1" si="102"/>
        <v>34430475.402059935</v>
      </c>
      <c r="BN100" s="136">
        <f t="shared" ca="1" si="102"/>
        <v>34398429.091313891</v>
      </c>
      <c r="BO100" s="136">
        <f t="shared" ca="1" si="102"/>
        <v>34366195.843755156</v>
      </c>
      <c r="BP100" s="136">
        <f t="shared" ca="1" si="102"/>
        <v>34333774.568918996</v>
      </c>
      <c r="BQ100" s="136">
        <f t="shared" ca="1" si="102"/>
        <v>34301164.169979624</v>
      </c>
      <c r="BR100" s="136">
        <f t="shared" ca="1" si="102"/>
        <v>34268363.543713108</v>
      </c>
      <c r="BS100" s="136">
        <f t="shared" ca="1" si="102"/>
        <v>34235371.580460034</v>
      </c>
      <c r="BT100" s="136">
        <f t="shared" ca="1" si="102"/>
        <v>34202187.164087988</v>
      </c>
      <c r="BU100" s="136">
        <f t="shared" ca="1" si="102"/>
        <v>34168809.171953775</v>
      </c>
      <c r="BV100" s="136">
        <f t="shared" ref="BV100:CO100" ca="1" si="103">BU104</f>
        <v>34135236.474865444</v>
      </c>
      <c r="BW100" s="136">
        <f t="shared" ca="1" si="103"/>
        <v>34101467.937044099</v>
      </c>
      <c r="BX100" s="136">
        <f t="shared" ca="1" si="103"/>
        <v>34067502.416085459</v>
      </c>
      <c r="BY100" s="136">
        <f t="shared" ca="1" si="103"/>
        <v>34033338.762921229</v>
      </c>
      <c r="BZ100" s="136">
        <f t="shared" ca="1" si="103"/>
        <v>33998975.821780205</v>
      </c>
      <c r="CA100" s="136">
        <f t="shared" ca="1" si="103"/>
        <v>33964412.43014919</v>
      </c>
      <c r="CB100" s="136">
        <f t="shared" ca="1" si="103"/>
        <v>33929647.418733664</v>
      </c>
      <c r="CC100" s="136">
        <f t="shared" ca="1" si="103"/>
        <v>33894679.61141821</v>
      </c>
      <c r="CD100" s="136">
        <f t="shared" ca="1" si="103"/>
        <v>0</v>
      </c>
      <c r="CE100" s="136">
        <f t="shared" ca="1" si="103"/>
        <v>0</v>
      </c>
      <c r="CF100" s="136">
        <f t="shared" ca="1" si="103"/>
        <v>0</v>
      </c>
      <c r="CG100" s="136">
        <f t="shared" ca="1" si="103"/>
        <v>0</v>
      </c>
      <c r="CH100" s="136">
        <f t="shared" ca="1" si="103"/>
        <v>0</v>
      </c>
      <c r="CI100" s="136">
        <f t="shared" ca="1" si="103"/>
        <v>0</v>
      </c>
      <c r="CJ100" s="136">
        <f t="shared" ca="1" si="103"/>
        <v>0</v>
      </c>
      <c r="CK100" s="136">
        <f t="shared" ca="1" si="103"/>
        <v>0</v>
      </c>
      <c r="CL100" s="136">
        <f t="shared" ca="1" si="103"/>
        <v>0</v>
      </c>
      <c r="CM100" s="136">
        <f t="shared" ca="1" si="103"/>
        <v>0</v>
      </c>
      <c r="CN100" s="136">
        <f t="shared" ca="1" si="103"/>
        <v>0</v>
      </c>
      <c r="CO100" s="136">
        <f t="shared" ca="1" si="103"/>
        <v>0</v>
      </c>
      <c r="CP100" s="133" t="s">
        <v>15</v>
      </c>
    </row>
    <row r="101" spans="2:94" ht="15" customHeight="1" x14ac:dyDescent="0.2">
      <c r="B101" s="136">
        <f ca="1">SUM(I101:CO101)</f>
        <v>35005242.318935432</v>
      </c>
      <c r="D101" s="259" t="s">
        <v>194</v>
      </c>
      <c r="E101" s="269"/>
      <c r="F101" s="133" t="s">
        <v>223</v>
      </c>
      <c r="I101" s="136">
        <f t="shared" ref="I101:AN101" ca="1" si="104">PermanentLoanOBalance*(Today=PermanentLoanOriginationDate)</f>
        <v>0</v>
      </c>
      <c r="J101" s="136">
        <f t="shared" ca="1" si="104"/>
        <v>0</v>
      </c>
      <c r="K101" s="136">
        <f t="shared" ca="1" si="104"/>
        <v>0</v>
      </c>
      <c r="L101" s="136">
        <f t="shared" ca="1" si="104"/>
        <v>0</v>
      </c>
      <c r="M101" s="136">
        <f t="shared" ca="1" si="104"/>
        <v>0</v>
      </c>
      <c r="N101" s="136">
        <f t="shared" ca="1" si="104"/>
        <v>0</v>
      </c>
      <c r="O101" s="136">
        <f t="shared" ca="1" si="104"/>
        <v>0</v>
      </c>
      <c r="P101" s="136">
        <f t="shared" ca="1" si="104"/>
        <v>0</v>
      </c>
      <c r="Q101" s="136">
        <f t="shared" ca="1" si="104"/>
        <v>0</v>
      </c>
      <c r="R101" s="136">
        <f t="shared" ca="1" si="104"/>
        <v>0</v>
      </c>
      <c r="S101" s="136">
        <f t="shared" ca="1" si="104"/>
        <v>0</v>
      </c>
      <c r="T101" s="136">
        <f t="shared" ca="1" si="104"/>
        <v>0</v>
      </c>
      <c r="U101" s="136">
        <f t="shared" ca="1" si="104"/>
        <v>0</v>
      </c>
      <c r="V101" s="136">
        <f t="shared" ca="1" si="104"/>
        <v>0</v>
      </c>
      <c r="W101" s="136">
        <f t="shared" ca="1" si="104"/>
        <v>0</v>
      </c>
      <c r="X101" s="136">
        <f t="shared" ca="1" si="104"/>
        <v>0</v>
      </c>
      <c r="Y101" s="136">
        <f t="shared" ca="1" si="104"/>
        <v>0</v>
      </c>
      <c r="Z101" s="136">
        <f t="shared" ca="1" si="104"/>
        <v>0</v>
      </c>
      <c r="AA101" s="136">
        <f t="shared" ca="1" si="104"/>
        <v>0</v>
      </c>
      <c r="AB101" s="136">
        <f t="shared" ca="1" si="104"/>
        <v>0</v>
      </c>
      <c r="AC101" s="136">
        <f t="shared" ca="1" si="104"/>
        <v>0</v>
      </c>
      <c r="AD101" s="136">
        <f t="shared" ca="1" si="104"/>
        <v>0</v>
      </c>
      <c r="AE101" s="136">
        <f t="shared" ca="1" si="104"/>
        <v>0</v>
      </c>
      <c r="AF101" s="136">
        <f t="shared" ca="1" si="104"/>
        <v>0</v>
      </c>
      <c r="AG101" s="136">
        <f t="shared" ca="1" si="104"/>
        <v>0</v>
      </c>
      <c r="AH101" s="136">
        <f t="shared" ca="1" si="104"/>
        <v>0</v>
      </c>
      <c r="AI101" s="136">
        <f t="shared" ca="1" si="104"/>
        <v>0</v>
      </c>
      <c r="AJ101" s="136">
        <f t="shared" ca="1" si="104"/>
        <v>0</v>
      </c>
      <c r="AK101" s="136">
        <f t="shared" ca="1" si="104"/>
        <v>0</v>
      </c>
      <c r="AL101" s="136">
        <f t="shared" ca="1" si="104"/>
        <v>0</v>
      </c>
      <c r="AM101" s="136">
        <f t="shared" ca="1" si="104"/>
        <v>0</v>
      </c>
      <c r="AN101" s="136">
        <f t="shared" ca="1" si="104"/>
        <v>0</v>
      </c>
      <c r="AO101" s="136">
        <f t="shared" ref="AO101:BT101" ca="1" si="105">PermanentLoanOBalance*(Today=PermanentLoanOriginationDate)</f>
        <v>0</v>
      </c>
      <c r="AP101" s="136">
        <f t="shared" ca="1" si="105"/>
        <v>0</v>
      </c>
      <c r="AQ101" s="136">
        <f t="shared" ca="1" si="105"/>
        <v>0</v>
      </c>
      <c r="AR101" s="136">
        <f t="shared" ca="1" si="105"/>
        <v>0</v>
      </c>
      <c r="AS101" s="136">
        <f t="shared" ca="1" si="105"/>
        <v>35005242.318935432</v>
      </c>
      <c r="AT101" s="136">
        <f t="shared" ca="1" si="105"/>
        <v>0</v>
      </c>
      <c r="AU101" s="136">
        <f t="shared" ca="1" si="105"/>
        <v>0</v>
      </c>
      <c r="AV101" s="136">
        <f t="shared" ca="1" si="105"/>
        <v>0</v>
      </c>
      <c r="AW101" s="136">
        <f t="shared" ca="1" si="105"/>
        <v>0</v>
      </c>
      <c r="AX101" s="136">
        <f t="shared" ca="1" si="105"/>
        <v>0</v>
      </c>
      <c r="AY101" s="136">
        <f t="shared" ca="1" si="105"/>
        <v>0</v>
      </c>
      <c r="AZ101" s="136">
        <f t="shared" ca="1" si="105"/>
        <v>0</v>
      </c>
      <c r="BA101" s="136">
        <f t="shared" ca="1" si="105"/>
        <v>0</v>
      </c>
      <c r="BB101" s="136">
        <f t="shared" ca="1" si="105"/>
        <v>0</v>
      </c>
      <c r="BC101" s="136">
        <f t="shared" ca="1" si="105"/>
        <v>0</v>
      </c>
      <c r="BD101" s="136">
        <f t="shared" ca="1" si="105"/>
        <v>0</v>
      </c>
      <c r="BE101" s="136">
        <f t="shared" ca="1" si="105"/>
        <v>0</v>
      </c>
      <c r="BF101" s="136">
        <f t="shared" ca="1" si="105"/>
        <v>0</v>
      </c>
      <c r="BG101" s="136">
        <f t="shared" ca="1" si="105"/>
        <v>0</v>
      </c>
      <c r="BH101" s="136">
        <f t="shared" ca="1" si="105"/>
        <v>0</v>
      </c>
      <c r="BI101" s="136">
        <f t="shared" ca="1" si="105"/>
        <v>0</v>
      </c>
      <c r="BJ101" s="136">
        <f t="shared" ca="1" si="105"/>
        <v>0</v>
      </c>
      <c r="BK101" s="136">
        <f t="shared" ca="1" si="105"/>
        <v>0</v>
      </c>
      <c r="BL101" s="136">
        <f t="shared" ca="1" si="105"/>
        <v>0</v>
      </c>
      <c r="BM101" s="136">
        <f t="shared" ca="1" si="105"/>
        <v>0</v>
      </c>
      <c r="BN101" s="136">
        <f t="shared" ca="1" si="105"/>
        <v>0</v>
      </c>
      <c r="BO101" s="136">
        <f t="shared" ca="1" si="105"/>
        <v>0</v>
      </c>
      <c r="BP101" s="136">
        <f t="shared" ca="1" si="105"/>
        <v>0</v>
      </c>
      <c r="BQ101" s="136">
        <f t="shared" ca="1" si="105"/>
        <v>0</v>
      </c>
      <c r="BR101" s="136">
        <f t="shared" ca="1" si="105"/>
        <v>0</v>
      </c>
      <c r="BS101" s="136">
        <f t="shared" ca="1" si="105"/>
        <v>0</v>
      </c>
      <c r="BT101" s="136">
        <f t="shared" ca="1" si="105"/>
        <v>0</v>
      </c>
      <c r="BU101" s="136">
        <f t="shared" ref="AD101:CO101" ca="1" si="106">PermanentLoanOBalance*(Today=PermanentLoanOriginationDate)</f>
        <v>0</v>
      </c>
      <c r="BV101" s="136">
        <f t="shared" ca="1" si="106"/>
        <v>0</v>
      </c>
      <c r="BW101" s="136">
        <f t="shared" ca="1" si="106"/>
        <v>0</v>
      </c>
      <c r="BX101" s="136">
        <f t="shared" ca="1" si="106"/>
        <v>0</v>
      </c>
      <c r="BY101" s="136">
        <f t="shared" ca="1" si="106"/>
        <v>0</v>
      </c>
      <c r="BZ101" s="136">
        <f t="shared" ca="1" si="106"/>
        <v>0</v>
      </c>
      <c r="CA101" s="136">
        <f t="shared" ca="1" si="106"/>
        <v>0</v>
      </c>
      <c r="CB101" s="136">
        <f t="shared" ca="1" si="106"/>
        <v>0</v>
      </c>
      <c r="CC101" s="136">
        <f t="shared" ca="1" si="106"/>
        <v>0</v>
      </c>
      <c r="CD101" s="136">
        <f t="shared" ca="1" si="106"/>
        <v>0</v>
      </c>
      <c r="CE101" s="136">
        <f t="shared" ca="1" si="106"/>
        <v>0</v>
      </c>
      <c r="CF101" s="136">
        <f t="shared" ca="1" si="106"/>
        <v>0</v>
      </c>
      <c r="CG101" s="136">
        <f t="shared" ca="1" si="106"/>
        <v>0</v>
      </c>
      <c r="CH101" s="136">
        <f t="shared" ca="1" si="106"/>
        <v>0</v>
      </c>
      <c r="CI101" s="136">
        <f t="shared" ca="1" si="106"/>
        <v>0</v>
      </c>
      <c r="CJ101" s="136">
        <f t="shared" ca="1" si="106"/>
        <v>0</v>
      </c>
      <c r="CK101" s="136">
        <f t="shared" ca="1" si="106"/>
        <v>0</v>
      </c>
      <c r="CL101" s="136">
        <f t="shared" ca="1" si="106"/>
        <v>0</v>
      </c>
      <c r="CM101" s="136">
        <f t="shared" ca="1" si="106"/>
        <v>0</v>
      </c>
      <c r="CN101" s="136">
        <f t="shared" ca="1" si="106"/>
        <v>0</v>
      </c>
      <c r="CO101" s="136">
        <f t="shared" ca="1" si="106"/>
        <v>0</v>
      </c>
      <c r="CP101" s="133" t="s">
        <v>15</v>
      </c>
    </row>
    <row r="102" spans="2:94" ht="15" customHeight="1" x14ac:dyDescent="0.2">
      <c r="B102" s="136">
        <f ca="1">SUM(I102:CO102)</f>
        <v>-1145734.4937086741</v>
      </c>
      <c r="D102" s="259" t="s">
        <v>199</v>
      </c>
      <c r="E102" s="269"/>
      <c r="F102" s="133" t="s">
        <v>235</v>
      </c>
      <c r="I102" s="136">
        <f ca="1">-I107</f>
        <v>0</v>
      </c>
      <c r="J102" s="136">
        <f t="shared" ref="J102:BU102" ca="1" si="107">-J107</f>
        <v>0</v>
      </c>
      <c r="K102" s="136">
        <f t="shared" ca="1" si="107"/>
        <v>0</v>
      </c>
      <c r="L102" s="136">
        <f t="shared" ca="1" si="107"/>
        <v>0</v>
      </c>
      <c r="M102" s="136">
        <f t="shared" ca="1" si="107"/>
        <v>0</v>
      </c>
      <c r="N102" s="136">
        <f t="shared" ca="1" si="107"/>
        <v>0</v>
      </c>
      <c r="O102" s="136">
        <f t="shared" ca="1" si="107"/>
        <v>0</v>
      </c>
      <c r="P102" s="136">
        <f t="shared" ca="1" si="107"/>
        <v>0</v>
      </c>
      <c r="Q102" s="136">
        <f t="shared" ca="1" si="107"/>
        <v>0</v>
      </c>
      <c r="R102" s="136">
        <f t="shared" ca="1" si="107"/>
        <v>0</v>
      </c>
      <c r="S102" s="136">
        <f t="shared" ca="1" si="107"/>
        <v>0</v>
      </c>
      <c r="T102" s="136">
        <f t="shared" ca="1" si="107"/>
        <v>0</v>
      </c>
      <c r="U102" s="136">
        <f t="shared" ca="1" si="107"/>
        <v>0</v>
      </c>
      <c r="V102" s="136">
        <f t="shared" ca="1" si="107"/>
        <v>0</v>
      </c>
      <c r="W102" s="136">
        <f t="shared" ca="1" si="107"/>
        <v>0</v>
      </c>
      <c r="X102" s="136">
        <f t="shared" ca="1" si="107"/>
        <v>0</v>
      </c>
      <c r="Y102" s="136">
        <f t="shared" ca="1" si="107"/>
        <v>0</v>
      </c>
      <c r="Z102" s="136">
        <f t="shared" ca="1" si="107"/>
        <v>0</v>
      </c>
      <c r="AA102" s="136">
        <f t="shared" ca="1" si="107"/>
        <v>0</v>
      </c>
      <c r="AB102" s="136">
        <f t="shared" ca="1" si="107"/>
        <v>0</v>
      </c>
      <c r="AC102" s="136">
        <f t="shared" ca="1" si="107"/>
        <v>0</v>
      </c>
      <c r="AD102" s="136">
        <f t="shared" ca="1" si="107"/>
        <v>0</v>
      </c>
      <c r="AE102" s="136">
        <f t="shared" ca="1" si="107"/>
        <v>0</v>
      </c>
      <c r="AF102" s="136">
        <f t="shared" ca="1" si="107"/>
        <v>0</v>
      </c>
      <c r="AG102" s="136">
        <f t="shared" ca="1" si="107"/>
        <v>0</v>
      </c>
      <c r="AH102" s="136">
        <f t="shared" ca="1" si="107"/>
        <v>0</v>
      </c>
      <c r="AI102" s="136">
        <f t="shared" ca="1" si="107"/>
        <v>0</v>
      </c>
      <c r="AJ102" s="136">
        <f t="shared" ca="1" si="107"/>
        <v>0</v>
      </c>
      <c r="AK102" s="136">
        <f t="shared" ca="1" si="107"/>
        <v>0</v>
      </c>
      <c r="AL102" s="136">
        <f t="shared" ca="1" si="107"/>
        <v>0</v>
      </c>
      <c r="AM102" s="136">
        <f t="shared" ca="1" si="107"/>
        <v>0</v>
      </c>
      <c r="AN102" s="136">
        <f t="shared" ca="1" si="107"/>
        <v>0</v>
      </c>
      <c r="AO102" s="136">
        <f t="shared" ca="1" si="107"/>
        <v>0</v>
      </c>
      <c r="AP102" s="136">
        <f t="shared" ca="1" si="107"/>
        <v>0</v>
      </c>
      <c r="AQ102" s="136">
        <f t="shared" ca="1" si="107"/>
        <v>0</v>
      </c>
      <c r="AR102" s="136">
        <f t="shared" ca="1" si="107"/>
        <v>0</v>
      </c>
      <c r="AS102" s="136">
        <f t="shared" ca="1" si="107"/>
        <v>0</v>
      </c>
      <c r="AT102" s="136">
        <f t="shared" ca="1" si="107"/>
        <v>-28693.50373094005</v>
      </c>
      <c r="AU102" s="136">
        <f t="shared" ca="1" si="107"/>
        <v>-28860.88250270384</v>
      </c>
      <c r="AV102" s="136">
        <f t="shared" ca="1" si="107"/>
        <v>-29029.237650636263</v>
      </c>
      <c r="AW102" s="136">
        <f t="shared" ca="1" si="107"/>
        <v>-29198.574870264973</v>
      </c>
      <c r="AX102" s="136">
        <f t="shared" ca="1" si="107"/>
        <v>-29368.899890341505</v>
      </c>
      <c r="AY102" s="136">
        <f t="shared" ca="1" si="107"/>
        <v>-29540.218473035173</v>
      </c>
      <c r="AZ102" s="136">
        <f t="shared" ca="1" si="107"/>
        <v>-29712.536414127855</v>
      </c>
      <c r="BA102" s="136">
        <f t="shared" ca="1" si="107"/>
        <v>-29885.859543210303</v>
      </c>
      <c r="BB102" s="136">
        <f t="shared" ca="1" si="107"/>
        <v>-30060.193723879056</v>
      </c>
      <c r="BC102" s="136">
        <f t="shared" ca="1" si="107"/>
        <v>-30235.544853935018</v>
      </c>
      <c r="BD102" s="136">
        <f t="shared" ca="1" si="107"/>
        <v>-30411.918865582935</v>
      </c>
      <c r="BE102" s="136">
        <f t="shared" ca="1" si="107"/>
        <v>-30589.32172563218</v>
      </c>
      <c r="BF102" s="136">
        <f t="shared" ca="1" si="107"/>
        <v>-30767.759435698332</v>
      </c>
      <c r="BG102" s="136">
        <f t="shared" ca="1" si="107"/>
        <v>-30947.238032406574</v>
      </c>
      <c r="BH102" s="136">
        <f t="shared" ca="1" si="107"/>
        <v>-31127.763587595662</v>
      </c>
      <c r="BI102" s="136">
        <f t="shared" ca="1" si="107"/>
        <v>-31309.342208523245</v>
      </c>
      <c r="BJ102" s="136">
        <f t="shared" ca="1" si="107"/>
        <v>-31491.980038072972</v>
      </c>
      <c r="BK102" s="136">
        <f t="shared" ca="1" si="107"/>
        <v>-31675.683254961768</v>
      </c>
      <c r="BL102" s="136">
        <f t="shared" ca="1" si="107"/>
        <v>-31860.458073949034</v>
      </c>
      <c r="BM102" s="136">
        <f t="shared" ca="1" si="107"/>
        <v>-32046.310746047093</v>
      </c>
      <c r="BN102" s="136">
        <f t="shared" ca="1" si="107"/>
        <v>-32233.247558732342</v>
      </c>
      <c r="BO102" s="136">
        <f t="shared" ca="1" si="107"/>
        <v>-32421.274836158293</v>
      </c>
      <c r="BP102" s="136">
        <f t="shared" ca="1" si="107"/>
        <v>-32610.398939369246</v>
      </c>
      <c r="BQ102" s="136">
        <f t="shared" ca="1" si="107"/>
        <v>-32800.626266515581</v>
      </c>
      <c r="BR102" s="136">
        <f t="shared" ca="1" si="107"/>
        <v>-32991.963253070251</v>
      </c>
      <c r="BS102" s="136">
        <f t="shared" ca="1" si="107"/>
        <v>-33184.416372046515</v>
      </c>
      <c r="BT102" s="136">
        <f t="shared" ca="1" si="107"/>
        <v>-33377.992134216765</v>
      </c>
      <c r="BU102" s="136">
        <f t="shared" ca="1" si="107"/>
        <v>-33572.697088333021</v>
      </c>
      <c r="BV102" s="136">
        <f t="shared" ref="BV102:CO102" ca="1" si="108">-BV107</f>
        <v>-33768.537821348291</v>
      </c>
      <c r="BW102" s="136">
        <f t="shared" ca="1" si="108"/>
        <v>-33965.520958639478</v>
      </c>
      <c r="BX102" s="136">
        <f t="shared" ca="1" si="108"/>
        <v>-34163.653164231509</v>
      </c>
      <c r="BY102" s="136">
        <f t="shared" ca="1" si="108"/>
        <v>-34362.941141022864</v>
      </c>
      <c r="BZ102" s="136">
        <f t="shared" ca="1" si="108"/>
        <v>-34563.3916310122</v>
      </c>
      <c r="CA102" s="136">
        <f t="shared" ca="1" si="108"/>
        <v>-34765.011415526445</v>
      </c>
      <c r="CB102" s="136">
        <f t="shared" ca="1" si="108"/>
        <v>-34967.807315450336</v>
      </c>
      <c r="CC102" s="136">
        <f t="shared" ca="1" si="108"/>
        <v>-35171.786191457184</v>
      </c>
      <c r="CD102" s="136">
        <f t="shared" ca="1" si="108"/>
        <v>0</v>
      </c>
      <c r="CE102" s="136">
        <f t="shared" ca="1" si="108"/>
        <v>0</v>
      </c>
      <c r="CF102" s="136">
        <f t="shared" ca="1" si="108"/>
        <v>0</v>
      </c>
      <c r="CG102" s="136">
        <f t="shared" ca="1" si="108"/>
        <v>0</v>
      </c>
      <c r="CH102" s="136">
        <f t="shared" ca="1" si="108"/>
        <v>0</v>
      </c>
      <c r="CI102" s="136">
        <f t="shared" ca="1" si="108"/>
        <v>0</v>
      </c>
      <c r="CJ102" s="136">
        <f t="shared" ca="1" si="108"/>
        <v>0</v>
      </c>
      <c r="CK102" s="136">
        <f t="shared" ca="1" si="108"/>
        <v>0</v>
      </c>
      <c r="CL102" s="136">
        <f t="shared" ca="1" si="108"/>
        <v>0</v>
      </c>
      <c r="CM102" s="136">
        <f t="shared" ca="1" si="108"/>
        <v>0</v>
      </c>
      <c r="CN102" s="136">
        <f t="shared" ca="1" si="108"/>
        <v>0</v>
      </c>
      <c r="CO102" s="136">
        <f t="shared" ca="1" si="108"/>
        <v>0</v>
      </c>
      <c r="CP102" s="133" t="s">
        <v>15</v>
      </c>
    </row>
    <row r="103" spans="2:94" ht="15" customHeight="1" x14ac:dyDescent="0.2">
      <c r="B103" s="136">
        <f ca="1">SUM(I103:CO103)</f>
        <v>-33859507.825226754</v>
      </c>
      <c r="D103" s="259" t="s">
        <v>199</v>
      </c>
      <c r="E103" s="269"/>
      <c r="F103" s="133" t="s">
        <v>227</v>
      </c>
      <c r="I103" s="136">
        <f t="shared" ref="I103:AN103" ca="1" si="109">-SUM(I100:I102)*(Today=PermanentLoanMaturityDate)</f>
        <v>0</v>
      </c>
      <c r="J103" s="136">
        <f t="shared" ca="1" si="109"/>
        <v>0</v>
      </c>
      <c r="K103" s="136">
        <f t="shared" ca="1" si="109"/>
        <v>0</v>
      </c>
      <c r="L103" s="136">
        <f t="shared" ca="1" si="109"/>
        <v>0</v>
      </c>
      <c r="M103" s="136">
        <f t="shared" ca="1" si="109"/>
        <v>0</v>
      </c>
      <c r="N103" s="136">
        <f t="shared" ca="1" si="109"/>
        <v>0</v>
      </c>
      <c r="O103" s="136">
        <f t="shared" ca="1" si="109"/>
        <v>0</v>
      </c>
      <c r="P103" s="136">
        <f t="shared" ca="1" si="109"/>
        <v>0</v>
      </c>
      <c r="Q103" s="136">
        <f t="shared" ca="1" si="109"/>
        <v>0</v>
      </c>
      <c r="R103" s="136">
        <f t="shared" ca="1" si="109"/>
        <v>0</v>
      </c>
      <c r="S103" s="136">
        <f t="shared" ca="1" si="109"/>
        <v>0</v>
      </c>
      <c r="T103" s="136">
        <f t="shared" ca="1" si="109"/>
        <v>0</v>
      </c>
      <c r="U103" s="136">
        <f t="shared" ca="1" si="109"/>
        <v>0</v>
      </c>
      <c r="V103" s="136">
        <f t="shared" ca="1" si="109"/>
        <v>0</v>
      </c>
      <c r="W103" s="136">
        <f t="shared" ca="1" si="109"/>
        <v>0</v>
      </c>
      <c r="X103" s="136">
        <f t="shared" ca="1" si="109"/>
        <v>0</v>
      </c>
      <c r="Y103" s="136">
        <f t="shared" ca="1" si="109"/>
        <v>0</v>
      </c>
      <c r="Z103" s="136">
        <f t="shared" ca="1" si="109"/>
        <v>0</v>
      </c>
      <c r="AA103" s="136">
        <f t="shared" ca="1" si="109"/>
        <v>0</v>
      </c>
      <c r="AB103" s="136">
        <f t="shared" ca="1" si="109"/>
        <v>0</v>
      </c>
      <c r="AC103" s="136">
        <f t="shared" ca="1" si="109"/>
        <v>0</v>
      </c>
      <c r="AD103" s="136">
        <f t="shared" ca="1" si="109"/>
        <v>0</v>
      </c>
      <c r="AE103" s="136">
        <f t="shared" ca="1" si="109"/>
        <v>0</v>
      </c>
      <c r="AF103" s="136">
        <f t="shared" ca="1" si="109"/>
        <v>0</v>
      </c>
      <c r="AG103" s="136">
        <f t="shared" ca="1" si="109"/>
        <v>0</v>
      </c>
      <c r="AH103" s="136">
        <f t="shared" ca="1" si="109"/>
        <v>0</v>
      </c>
      <c r="AI103" s="136">
        <f t="shared" ca="1" si="109"/>
        <v>0</v>
      </c>
      <c r="AJ103" s="136">
        <f t="shared" ca="1" si="109"/>
        <v>0</v>
      </c>
      <c r="AK103" s="136">
        <f t="shared" ca="1" si="109"/>
        <v>0</v>
      </c>
      <c r="AL103" s="136">
        <f t="shared" ca="1" si="109"/>
        <v>0</v>
      </c>
      <c r="AM103" s="136">
        <f t="shared" ca="1" si="109"/>
        <v>0</v>
      </c>
      <c r="AN103" s="136">
        <f t="shared" ca="1" si="109"/>
        <v>0</v>
      </c>
      <c r="AO103" s="136">
        <f t="shared" ref="AO103:BT103" ca="1" si="110">-SUM(AO100:AO102)*(Today=PermanentLoanMaturityDate)</f>
        <v>0</v>
      </c>
      <c r="AP103" s="136">
        <f t="shared" ca="1" si="110"/>
        <v>0</v>
      </c>
      <c r="AQ103" s="136">
        <f t="shared" ca="1" si="110"/>
        <v>0</v>
      </c>
      <c r="AR103" s="136">
        <f t="shared" ca="1" si="110"/>
        <v>0</v>
      </c>
      <c r="AS103" s="136">
        <f t="shared" ca="1" si="110"/>
        <v>0</v>
      </c>
      <c r="AT103" s="136">
        <f t="shared" ca="1" si="110"/>
        <v>0</v>
      </c>
      <c r="AU103" s="136">
        <f t="shared" ca="1" si="110"/>
        <v>0</v>
      </c>
      <c r="AV103" s="136">
        <f t="shared" ca="1" si="110"/>
        <v>0</v>
      </c>
      <c r="AW103" s="136">
        <f t="shared" ca="1" si="110"/>
        <v>0</v>
      </c>
      <c r="AX103" s="136">
        <f t="shared" ca="1" si="110"/>
        <v>0</v>
      </c>
      <c r="AY103" s="136">
        <f t="shared" ca="1" si="110"/>
        <v>0</v>
      </c>
      <c r="AZ103" s="136">
        <f t="shared" ca="1" si="110"/>
        <v>0</v>
      </c>
      <c r="BA103" s="136">
        <f t="shared" ca="1" si="110"/>
        <v>0</v>
      </c>
      <c r="BB103" s="136">
        <f t="shared" ca="1" si="110"/>
        <v>0</v>
      </c>
      <c r="BC103" s="136">
        <f t="shared" ca="1" si="110"/>
        <v>0</v>
      </c>
      <c r="BD103" s="136">
        <f t="shared" ca="1" si="110"/>
        <v>0</v>
      </c>
      <c r="BE103" s="136">
        <f t="shared" ca="1" si="110"/>
        <v>0</v>
      </c>
      <c r="BF103" s="136">
        <f t="shared" ca="1" si="110"/>
        <v>0</v>
      </c>
      <c r="BG103" s="136">
        <f t="shared" ca="1" si="110"/>
        <v>0</v>
      </c>
      <c r="BH103" s="136">
        <f t="shared" ca="1" si="110"/>
        <v>0</v>
      </c>
      <c r="BI103" s="136">
        <f t="shared" ca="1" si="110"/>
        <v>0</v>
      </c>
      <c r="BJ103" s="136">
        <f t="shared" ca="1" si="110"/>
        <v>0</v>
      </c>
      <c r="BK103" s="136">
        <f t="shared" ca="1" si="110"/>
        <v>0</v>
      </c>
      <c r="BL103" s="136">
        <f t="shared" ca="1" si="110"/>
        <v>0</v>
      </c>
      <c r="BM103" s="136">
        <f t="shared" ca="1" si="110"/>
        <v>0</v>
      </c>
      <c r="BN103" s="136">
        <f t="shared" ca="1" si="110"/>
        <v>0</v>
      </c>
      <c r="BO103" s="136">
        <f t="shared" ca="1" si="110"/>
        <v>0</v>
      </c>
      <c r="BP103" s="136">
        <f t="shared" ca="1" si="110"/>
        <v>0</v>
      </c>
      <c r="BQ103" s="136">
        <f t="shared" ca="1" si="110"/>
        <v>0</v>
      </c>
      <c r="BR103" s="136">
        <f t="shared" ca="1" si="110"/>
        <v>0</v>
      </c>
      <c r="BS103" s="136">
        <f t="shared" ca="1" si="110"/>
        <v>0</v>
      </c>
      <c r="BT103" s="136">
        <f t="shared" ca="1" si="110"/>
        <v>0</v>
      </c>
      <c r="BU103" s="136">
        <f t="shared" ref="BU103:CO103" ca="1" si="111">-SUM(BU100:BU102)*(Today=PermanentLoanMaturityDate)</f>
        <v>0</v>
      </c>
      <c r="BV103" s="136">
        <f t="shared" ca="1" si="111"/>
        <v>0</v>
      </c>
      <c r="BW103" s="136">
        <f t="shared" ca="1" si="111"/>
        <v>0</v>
      </c>
      <c r="BX103" s="136">
        <f t="shared" ca="1" si="111"/>
        <v>0</v>
      </c>
      <c r="BY103" s="136">
        <f t="shared" ca="1" si="111"/>
        <v>0</v>
      </c>
      <c r="BZ103" s="136">
        <f t="shared" ca="1" si="111"/>
        <v>0</v>
      </c>
      <c r="CA103" s="136">
        <f t="shared" ca="1" si="111"/>
        <v>0</v>
      </c>
      <c r="CB103" s="136">
        <f t="shared" ca="1" si="111"/>
        <v>0</v>
      </c>
      <c r="CC103" s="136">
        <f t="shared" ca="1" si="111"/>
        <v>-33859507.825226754</v>
      </c>
      <c r="CD103" s="136">
        <f t="shared" ca="1" si="111"/>
        <v>0</v>
      </c>
      <c r="CE103" s="136">
        <f t="shared" ca="1" si="111"/>
        <v>0</v>
      </c>
      <c r="CF103" s="136">
        <f t="shared" ca="1" si="111"/>
        <v>0</v>
      </c>
      <c r="CG103" s="136">
        <f t="shared" ca="1" si="111"/>
        <v>0</v>
      </c>
      <c r="CH103" s="136">
        <f t="shared" ca="1" si="111"/>
        <v>0</v>
      </c>
      <c r="CI103" s="136">
        <f t="shared" ca="1" si="111"/>
        <v>0</v>
      </c>
      <c r="CJ103" s="136">
        <f t="shared" ca="1" si="111"/>
        <v>0</v>
      </c>
      <c r="CK103" s="136">
        <f t="shared" ca="1" si="111"/>
        <v>0</v>
      </c>
      <c r="CL103" s="136">
        <f t="shared" ca="1" si="111"/>
        <v>0</v>
      </c>
      <c r="CM103" s="136">
        <f t="shared" ca="1" si="111"/>
        <v>0</v>
      </c>
      <c r="CN103" s="136">
        <f t="shared" ca="1" si="111"/>
        <v>0</v>
      </c>
      <c r="CO103" s="136">
        <f t="shared" ca="1" si="111"/>
        <v>0</v>
      </c>
      <c r="CP103" s="133" t="s">
        <v>15</v>
      </c>
    </row>
    <row r="104" spans="2:94" ht="15" customHeight="1" x14ac:dyDescent="0.2">
      <c r="D104" s="259"/>
      <c r="E104" s="269"/>
      <c r="F104" s="133" t="s">
        <v>224</v>
      </c>
      <c r="I104" s="136">
        <f ca="1">SUM(I100:I103)</f>
        <v>0</v>
      </c>
      <c r="J104" s="136">
        <f t="shared" ref="J104:BU104" ca="1" si="112">SUM(J100:J103)</f>
        <v>0</v>
      </c>
      <c r="K104" s="136">
        <f t="shared" ca="1" si="112"/>
        <v>0</v>
      </c>
      <c r="L104" s="136">
        <f t="shared" ca="1" si="112"/>
        <v>0</v>
      </c>
      <c r="M104" s="136">
        <f t="shared" ca="1" si="112"/>
        <v>0</v>
      </c>
      <c r="N104" s="136">
        <f t="shared" ca="1" si="112"/>
        <v>0</v>
      </c>
      <c r="O104" s="136">
        <f t="shared" ca="1" si="112"/>
        <v>0</v>
      </c>
      <c r="P104" s="136">
        <f t="shared" ca="1" si="112"/>
        <v>0</v>
      </c>
      <c r="Q104" s="136">
        <f t="shared" ca="1" si="112"/>
        <v>0</v>
      </c>
      <c r="R104" s="136">
        <f t="shared" ca="1" si="112"/>
        <v>0</v>
      </c>
      <c r="S104" s="136">
        <f t="shared" ca="1" si="112"/>
        <v>0</v>
      </c>
      <c r="T104" s="136">
        <f t="shared" ca="1" si="112"/>
        <v>0</v>
      </c>
      <c r="U104" s="136">
        <f t="shared" ca="1" si="112"/>
        <v>0</v>
      </c>
      <c r="V104" s="136">
        <f t="shared" ca="1" si="112"/>
        <v>0</v>
      </c>
      <c r="W104" s="136">
        <f t="shared" ca="1" si="112"/>
        <v>0</v>
      </c>
      <c r="X104" s="136">
        <f t="shared" ca="1" si="112"/>
        <v>0</v>
      </c>
      <c r="Y104" s="136">
        <f t="shared" ca="1" si="112"/>
        <v>0</v>
      </c>
      <c r="Z104" s="136">
        <f t="shared" ca="1" si="112"/>
        <v>0</v>
      </c>
      <c r="AA104" s="136">
        <f t="shared" ca="1" si="112"/>
        <v>0</v>
      </c>
      <c r="AB104" s="136">
        <f t="shared" ca="1" si="112"/>
        <v>0</v>
      </c>
      <c r="AC104" s="136">
        <f t="shared" ca="1" si="112"/>
        <v>0</v>
      </c>
      <c r="AD104" s="136">
        <f t="shared" ca="1" si="112"/>
        <v>0</v>
      </c>
      <c r="AE104" s="136">
        <f t="shared" ca="1" si="112"/>
        <v>0</v>
      </c>
      <c r="AF104" s="136">
        <f t="shared" ca="1" si="112"/>
        <v>0</v>
      </c>
      <c r="AG104" s="136">
        <f t="shared" ca="1" si="112"/>
        <v>0</v>
      </c>
      <c r="AH104" s="136">
        <f t="shared" ca="1" si="112"/>
        <v>0</v>
      </c>
      <c r="AI104" s="136">
        <f t="shared" ca="1" si="112"/>
        <v>0</v>
      </c>
      <c r="AJ104" s="136">
        <f t="shared" ca="1" si="112"/>
        <v>0</v>
      </c>
      <c r="AK104" s="136">
        <f t="shared" ca="1" si="112"/>
        <v>0</v>
      </c>
      <c r="AL104" s="136">
        <f t="shared" ca="1" si="112"/>
        <v>0</v>
      </c>
      <c r="AM104" s="136">
        <f t="shared" ca="1" si="112"/>
        <v>0</v>
      </c>
      <c r="AN104" s="136">
        <f t="shared" ca="1" si="112"/>
        <v>0</v>
      </c>
      <c r="AO104" s="136">
        <f t="shared" ca="1" si="112"/>
        <v>0</v>
      </c>
      <c r="AP104" s="136">
        <f t="shared" ca="1" si="112"/>
        <v>0</v>
      </c>
      <c r="AQ104" s="136">
        <f t="shared" ca="1" si="112"/>
        <v>0</v>
      </c>
      <c r="AR104" s="136">
        <f t="shared" ca="1" si="112"/>
        <v>0</v>
      </c>
      <c r="AS104" s="136">
        <f t="shared" ca="1" si="112"/>
        <v>35005242.318935432</v>
      </c>
      <c r="AT104" s="136">
        <f t="shared" ca="1" si="112"/>
        <v>34976548.815204494</v>
      </c>
      <c r="AU104" s="136">
        <f t="shared" ca="1" si="112"/>
        <v>34947687.932701789</v>
      </c>
      <c r="AV104" s="136">
        <f t="shared" ca="1" si="112"/>
        <v>34918658.695051156</v>
      </c>
      <c r="AW104" s="136">
        <f t="shared" ca="1" si="112"/>
        <v>34889460.12018089</v>
      </c>
      <c r="AX104" s="136">
        <f t="shared" ca="1" si="112"/>
        <v>34860091.220290549</v>
      </c>
      <c r="AY104" s="136">
        <f t="shared" ca="1" si="112"/>
        <v>34830551.001817517</v>
      </c>
      <c r="AZ104" s="136">
        <f t="shared" ca="1" si="112"/>
        <v>34800838.465403385</v>
      </c>
      <c r="BA104" s="136">
        <f t="shared" ca="1" si="112"/>
        <v>34770952.605860174</v>
      </c>
      <c r="BB104" s="136">
        <f t="shared" ca="1" si="112"/>
        <v>34740892.412136294</v>
      </c>
      <c r="BC104" s="136">
        <f t="shared" ca="1" si="112"/>
        <v>34710656.867282361</v>
      </c>
      <c r="BD104" s="136">
        <f t="shared" ca="1" si="112"/>
        <v>34680244.948416777</v>
      </c>
      <c r="BE104" s="136">
        <f t="shared" ca="1" si="112"/>
        <v>34649655.626691148</v>
      </c>
      <c r="BF104" s="136">
        <f t="shared" ca="1" si="112"/>
        <v>34618887.867255449</v>
      </c>
      <c r="BG104" s="136">
        <f t="shared" ca="1" si="112"/>
        <v>34587940.629223041</v>
      </c>
      <c r="BH104" s="136">
        <f t="shared" ca="1" si="112"/>
        <v>34556812.865635447</v>
      </c>
      <c r="BI104" s="136">
        <f t="shared" ca="1" si="112"/>
        <v>34525503.523426928</v>
      </c>
      <c r="BJ104" s="136">
        <f t="shared" ca="1" si="112"/>
        <v>34494011.543388851</v>
      </c>
      <c r="BK104" s="136">
        <f t="shared" ca="1" si="112"/>
        <v>34462335.860133886</v>
      </c>
      <c r="BL104" s="136">
        <f t="shared" ca="1" si="112"/>
        <v>34430475.402059935</v>
      </c>
      <c r="BM104" s="136">
        <f t="shared" ca="1" si="112"/>
        <v>34398429.091313891</v>
      </c>
      <c r="BN104" s="136">
        <f t="shared" ca="1" si="112"/>
        <v>34366195.843755156</v>
      </c>
      <c r="BO104" s="136">
        <f t="shared" ca="1" si="112"/>
        <v>34333774.568918996</v>
      </c>
      <c r="BP104" s="136">
        <f t="shared" ca="1" si="112"/>
        <v>34301164.169979624</v>
      </c>
      <c r="BQ104" s="136">
        <f t="shared" ca="1" si="112"/>
        <v>34268363.543713108</v>
      </c>
      <c r="BR104" s="136">
        <f t="shared" ca="1" si="112"/>
        <v>34235371.580460034</v>
      </c>
      <c r="BS104" s="136">
        <f t="shared" ca="1" si="112"/>
        <v>34202187.164087988</v>
      </c>
      <c r="BT104" s="136">
        <f t="shared" ca="1" si="112"/>
        <v>34168809.171953775</v>
      </c>
      <c r="BU104" s="136">
        <f t="shared" ca="1" si="112"/>
        <v>34135236.474865444</v>
      </c>
      <c r="BV104" s="136">
        <f t="shared" ref="BV104:CO104" ca="1" si="113">SUM(BV100:BV103)</f>
        <v>34101467.937044099</v>
      </c>
      <c r="BW104" s="136">
        <f t="shared" ca="1" si="113"/>
        <v>34067502.416085459</v>
      </c>
      <c r="BX104" s="136">
        <f t="shared" ca="1" si="113"/>
        <v>34033338.762921229</v>
      </c>
      <c r="BY104" s="136">
        <f t="shared" ca="1" si="113"/>
        <v>33998975.821780205</v>
      </c>
      <c r="BZ104" s="136">
        <f t="shared" ca="1" si="113"/>
        <v>33964412.43014919</v>
      </c>
      <c r="CA104" s="136">
        <f t="shared" ca="1" si="113"/>
        <v>33929647.418733664</v>
      </c>
      <c r="CB104" s="136">
        <f t="shared" ca="1" si="113"/>
        <v>33894679.61141821</v>
      </c>
      <c r="CC104" s="136">
        <f t="shared" ca="1" si="113"/>
        <v>0</v>
      </c>
      <c r="CD104" s="136">
        <f t="shared" ca="1" si="113"/>
        <v>0</v>
      </c>
      <c r="CE104" s="136">
        <f t="shared" ca="1" si="113"/>
        <v>0</v>
      </c>
      <c r="CF104" s="136">
        <f t="shared" ca="1" si="113"/>
        <v>0</v>
      </c>
      <c r="CG104" s="136">
        <f t="shared" ca="1" si="113"/>
        <v>0</v>
      </c>
      <c r="CH104" s="136">
        <f t="shared" ca="1" si="113"/>
        <v>0</v>
      </c>
      <c r="CI104" s="136">
        <f t="shared" ca="1" si="113"/>
        <v>0</v>
      </c>
      <c r="CJ104" s="136">
        <f t="shared" ca="1" si="113"/>
        <v>0</v>
      </c>
      <c r="CK104" s="136">
        <f t="shared" ca="1" si="113"/>
        <v>0</v>
      </c>
      <c r="CL104" s="136">
        <f t="shared" ca="1" si="113"/>
        <v>0</v>
      </c>
      <c r="CM104" s="136">
        <f t="shared" ca="1" si="113"/>
        <v>0</v>
      </c>
      <c r="CN104" s="136">
        <f t="shared" ca="1" si="113"/>
        <v>0</v>
      </c>
      <c r="CO104" s="136">
        <f t="shared" ca="1" si="113"/>
        <v>0</v>
      </c>
      <c r="CP104" s="133" t="s">
        <v>15</v>
      </c>
    </row>
    <row r="105" spans="2:94" ht="15" customHeight="1" x14ac:dyDescent="0.2">
      <c r="D105" s="259"/>
      <c r="E105" s="269"/>
      <c r="F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row>
    <row r="106" spans="2:94" ht="15" customHeight="1" x14ac:dyDescent="0.2">
      <c r="B106" s="136">
        <f ca="1">SUM(I106:CO106)</f>
        <v>7238332.5275816098</v>
      </c>
      <c r="C106" s="133" t="s">
        <v>236</v>
      </c>
      <c r="D106" s="259" t="s">
        <v>194</v>
      </c>
      <c r="E106" s="269"/>
      <c r="F106" s="133" t="s">
        <v>232</v>
      </c>
      <c r="I106" s="136">
        <f t="shared" ref="I106:AN106" si="114">I100*PermanentLoanRate/12</f>
        <v>0</v>
      </c>
      <c r="J106" s="136">
        <f t="shared" ca="1" si="114"/>
        <v>0</v>
      </c>
      <c r="K106" s="136">
        <f t="shared" ca="1" si="114"/>
        <v>0</v>
      </c>
      <c r="L106" s="136">
        <f t="shared" ca="1" si="114"/>
        <v>0</v>
      </c>
      <c r="M106" s="136">
        <f t="shared" ca="1" si="114"/>
        <v>0</v>
      </c>
      <c r="N106" s="136">
        <f t="shared" ca="1" si="114"/>
        <v>0</v>
      </c>
      <c r="O106" s="136">
        <f t="shared" ca="1" si="114"/>
        <v>0</v>
      </c>
      <c r="P106" s="136">
        <f t="shared" ca="1" si="114"/>
        <v>0</v>
      </c>
      <c r="Q106" s="136">
        <f t="shared" ca="1" si="114"/>
        <v>0</v>
      </c>
      <c r="R106" s="136">
        <f t="shared" ca="1" si="114"/>
        <v>0</v>
      </c>
      <c r="S106" s="136">
        <f t="shared" ca="1" si="114"/>
        <v>0</v>
      </c>
      <c r="T106" s="136">
        <f t="shared" ca="1" si="114"/>
        <v>0</v>
      </c>
      <c r="U106" s="136">
        <f t="shared" ca="1" si="114"/>
        <v>0</v>
      </c>
      <c r="V106" s="136">
        <f t="shared" ca="1" si="114"/>
        <v>0</v>
      </c>
      <c r="W106" s="136">
        <f t="shared" ca="1" si="114"/>
        <v>0</v>
      </c>
      <c r="X106" s="136">
        <f t="shared" ca="1" si="114"/>
        <v>0</v>
      </c>
      <c r="Y106" s="136">
        <f t="shared" ca="1" si="114"/>
        <v>0</v>
      </c>
      <c r="Z106" s="136">
        <f t="shared" ca="1" si="114"/>
        <v>0</v>
      </c>
      <c r="AA106" s="136">
        <f t="shared" ca="1" si="114"/>
        <v>0</v>
      </c>
      <c r="AB106" s="136">
        <f t="shared" ca="1" si="114"/>
        <v>0</v>
      </c>
      <c r="AC106" s="136">
        <f t="shared" ca="1" si="114"/>
        <v>0</v>
      </c>
      <c r="AD106" s="136">
        <f t="shared" ca="1" si="114"/>
        <v>0</v>
      </c>
      <c r="AE106" s="136">
        <f t="shared" ca="1" si="114"/>
        <v>0</v>
      </c>
      <c r="AF106" s="136">
        <f t="shared" ca="1" si="114"/>
        <v>0</v>
      </c>
      <c r="AG106" s="136">
        <f t="shared" ca="1" si="114"/>
        <v>0</v>
      </c>
      <c r="AH106" s="136">
        <f t="shared" ca="1" si="114"/>
        <v>0</v>
      </c>
      <c r="AI106" s="136">
        <f t="shared" ca="1" si="114"/>
        <v>0</v>
      </c>
      <c r="AJ106" s="136">
        <f t="shared" ca="1" si="114"/>
        <v>0</v>
      </c>
      <c r="AK106" s="136">
        <f t="shared" ca="1" si="114"/>
        <v>0</v>
      </c>
      <c r="AL106" s="136">
        <f t="shared" ca="1" si="114"/>
        <v>0</v>
      </c>
      <c r="AM106" s="136">
        <f t="shared" ca="1" si="114"/>
        <v>0</v>
      </c>
      <c r="AN106" s="136">
        <f t="shared" ca="1" si="114"/>
        <v>0</v>
      </c>
      <c r="AO106" s="136">
        <f t="shared" ref="AO106:BT106" ca="1" si="115">AO100*PermanentLoanRate/12</f>
        <v>0</v>
      </c>
      <c r="AP106" s="136">
        <f t="shared" ca="1" si="115"/>
        <v>0</v>
      </c>
      <c r="AQ106" s="136">
        <f t="shared" ca="1" si="115"/>
        <v>0</v>
      </c>
      <c r="AR106" s="136">
        <f t="shared" ca="1" si="115"/>
        <v>0</v>
      </c>
      <c r="AS106" s="136">
        <f t="shared" ca="1" si="115"/>
        <v>0</v>
      </c>
      <c r="AT106" s="136">
        <f t="shared" ca="1" si="115"/>
        <v>204197.24686045668</v>
      </c>
      <c r="AU106" s="136">
        <f t="shared" ca="1" si="115"/>
        <v>204029.86808869289</v>
      </c>
      <c r="AV106" s="136">
        <f t="shared" ca="1" si="115"/>
        <v>203861.51294076047</v>
      </c>
      <c r="AW106" s="136">
        <f t="shared" ca="1" si="115"/>
        <v>203692.17572113176</v>
      </c>
      <c r="AX106" s="136">
        <f t="shared" ca="1" si="115"/>
        <v>203521.85070105523</v>
      </c>
      <c r="AY106" s="136">
        <f t="shared" ca="1" si="115"/>
        <v>203350.53211836156</v>
      </c>
      <c r="AZ106" s="136">
        <f t="shared" ca="1" si="115"/>
        <v>203178.21417726888</v>
      </c>
      <c r="BA106" s="136">
        <f t="shared" ca="1" si="115"/>
        <v>203004.89104818643</v>
      </c>
      <c r="BB106" s="136">
        <f t="shared" ca="1" si="115"/>
        <v>202830.55686751768</v>
      </c>
      <c r="BC106" s="136">
        <f t="shared" ca="1" si="115"/>
        <v>202655.20573746171</v>
      </c>
      <c r="BD106" s="136">
        <f t="shared" ca="1" si="115"/>
        <v>202478.8317258138</v>
      </c>
      <c r="BE106" s="136">
        <f t="shared" ca="1" si="115"/>
        <v>202301.42886576455</v>
      </c>
      <c r="BF106" s="136">
        <f t="shared" ca="1" si="115"/>
        <v>202122.9911556984</v>
      </c>
      <c r="BG106" s="136">
        <f t="shared" ca="1" si="115"/>
        <v>201943.51255899016</v>
      </c>
      <c r="BH106" s="136">
        <f t="shared" ca="1" si="115"/>
        <v>201762.98700380107</v>
      </c>
      <c r="BI106" s="136">
        <f t="shared" ca="1" si="115"/>
        <v>201581.40838287349</v>
      </c>
      <c r="BJ106" s="136">
        <f t="shared" ca="1" si="115"/>
        <v>201398.77055332376</v>
      </c>
      <c r="BK106" s="136">
        <f t="shared" ca="1" si="115"/>
        <v>201215.06733643496</v>
      </c>
      <c r="BL106" s="136">
        <f t="shared" ca="1" si="115"/>
        <v>201030.2925174477</v>
      </c>
      <c r="BM106" s="136">
        <f t="shared" ca="1" si="115"/>
        <v>200844.43984534964</v>
      </c>
      <c r="BN106" s="136">
        <f t="shared" ca="1" si="115"/>
        <v>200657.50303266439</v>
      </c>
      <c r="BO106" s="136">
        <f t="shared" ca="1" si="115"/>
        <v>200469.47575523844</v>
      </c>
      <c r="BP106" s="136">
        <f t="shared" ca="1" si="115"/>
        <v>200280.35165202749</v>
      </c>
      <c r="BQ106" s="136">
        <f t="shared" ca="1" si="115"/>
        <v>200090.12432488115</v>
      </c>
      <c r="BR106" s="136">
        <f t="shared" ca="1" si="115"/>
        <v>199898.78733832648</v>
      </c>
      <c r="BS106" s="136">
        <f t="shared" ca="1" si="115"/>
        <v>199706.33421935022</v>
      </c>
      <c r="BT106" s="136">
        <f t="shared" ca="1" si="115"/>
        <v>199512.75845717997</v>
      </c>
      <c r="BU106" s="136">
        <f t="shared" ref="BU106:CO106" ca="1" si="116">BU100*PermanentLoanRate/12</f>
        <v>199318.05350306371</v>
      </c>
      <c r="BV106" s="136">
        <f t="shared" ca="1" si="116"/>
        <v>199122.21277004844</v>
      </c>
      <c r="BW106" s="136">
        <f t="shared" ca="1" si="116"/>
        <v>198925.22963275725</v>
      </c>
      <c r="BX106" s="136">
        <f t="shared" ca="1" si="116"/>
        <v>198727.09742716522</v>
      </c>
      <c r="BY106" s="136">
        <f t="shared" ca="1" si="116"/>
        <v>198527.80945037387</v>
      </c>
      <c r="BZ106" s="136">
        <f t="shared" ca="1" si="116"/>
        <v>198327.35896038453</v>
      </c>
      <c r="CA106" s="136">
        <f t="shared" ca="1" si="116"/>
        <v>198125.73917587029</v>
      </c>
      <c r="CB106" s="136">
        <f t="shared" ca="1" si="116"/>
        <v>197922.9432759464</v>
      </c>
      <c r="CC106" s="136">
        <f t="shared" ca="1" si="116"/>
        <v>197718.96439993955</v>
      </c>
      <c r="CD106" s="136">
        <f t="shared" ca="1" si="116"/>
        <v>0</v>
      </c>
      <c r="CE106" s="136">
        <f t="shared" ca="1" si="116"/>
        <v>0</v>
      </c>
      <c r="CF106" s="136">
        <f t="shared" ca="1" si="116"/>
        <v>0</v>
      </c>
      <c r="CG106" s="136">
        <f t="shared" ca="1" si="116"/>
        <v>0</v>
      </c>
      <c r="CH106" s="136">
        <f t="shared" ca="1" si="116"/>
        <v>0</v>
      </c>
      <c r="CI106" s="136">
        <f t="shared" ca="1" si="116"/>
        <v>0</v>
      </c>
      <c r="CJ106" s="136">
        <f t="shared" ca="1" si="116"/>
        <v>0</v>
      </c>
      <c r="CK106" s="136">
        <f t="shared" ca="1" si="116"/>
        <v>0</v>
      </c>
      <c r="CL106" s="136">
        <f t="shared" ca="1" si="116"/>
        <v>0</v>
      </c>
      <c r="CM106" s="136">
        <f t="shared" ca="1" si="116"/>
        <v>0</v>
      </c>
      <c r="CN106" s="136">
        <f t="shared" ca="1" si="116"/>
        <v>0</v>
      </c>
      <c r="CO106" s="136">
        <f t="shared" ca="1" si="116"/>
        <v>0</v>
      </c>
      <c r="CP106" s="133" t="s">
        <v>15</v>
      </c>
    </row>
    <row r="107" spans="2:94" ht="15" customHeight="1" x14ac:dyDescent="0.2">
      <c r="B107" s="136">
        <f ca="1">SUM(I107:CO107)</f>
        <v>1145734.4937086741</v>
      </c>
      <c r="C107" s="133" t="s">
        <v>237</v>
      </c>
      <c r="D107" s="259" t="s">
        <v>194</v>
      </c>
      <c r="E107" s="269"/>
      <c r="F107" s="133" t="s">
        <v>235</v>
      </c>
      <c r="I107" s="136">
        <f ca="1">I109-I106</f>
        <v>0</v>
      </c>
      <c r="J107" s="136">
        <f t="shared" ref="J107:BU107" ca="1" si="117">J109-J106</f>
        <v>0</v>
      </c>
      <c r="K107" s="136">
        <f t="shared" ca="1" si="117"/>
        <v>0</v>
      </c>
      <c r="L107" s="136">
        <f t="shared" ca="1" si="117"/>
        <v>0</v>
      </c>
      <c r="M107" s="136">
        <f t="shared" ca="1" si="117"/>
        <v>0</v>
      </c>
      <c r="N107" s="136">
        <f t="shared" ca="1" si="117"/>
        <v>0</v>
      </c>
      <c r="O107" s="136">
        <f t="shared" ca="1" si="117"/>
        <v>0</v>
      </c>
      <c r="P107" s="136">
        <f t="shared" ca="1" si="117"/>
        <v>0</v>
      </c>
      <c r="Q107" s="136">
        <f t="shared" ca="1" si="117"/>
        <v>0</v>
      </c>
      <c r="R107" s="136">
        <f t="shared" ca="1" si="117"/>
        <v>0</v>
      </c>
      <c r="S107" s="136">
        <f t="shared" ca="1" si="117"/>
        <v>0</v>
      </c>
      <c r="T107" s="136">
        <f t="shared" ca="1" si="117"/>
        <v>0</v>
      </c>
      <c r="U107" s="136">
        <f t="shared" ca="1" si="117"/>
        <v>0</v>
      </c>
      <c r="V107" s="136">
        <f t="shared" ca="1" si="117"/>
        <v>0</v>
      </c>
      <c r="W107" s="136">
        <f t="shared" ca="1" si="117"/>
        <v>0</v>
      </c>
      <c r="X107" s="136">
        <f t="shared" ca="1" si="117"/>
        <v>0</v>
      </c>
      <c r="Y107" s="136">
        <f t="shared" ca="1" si="117"/>
        <v>0</v>
      </c>
      <c r="Z107" s="136">
        <f t="shared" ca="1" si="117"/>
        <v>0</v>
      </c>
      <c r="AA107" s="136">
        <f t="shared" ca="1" si="117"/>
        <v>0</v>
      </c>
      <c r="AB107" s="136">
        <f t="shared" ca="1" si="117"/>
        <v>0</v>
      </c>
      <c r="AC107" s="136">
        <f t="shared" ca="1" si="117"/>
        <v>0</v>
      </c>
      <c r="AD107" s="136">
        <f t="shared" ca="1" si="117"/>
        <v>0</v>
      </c>
      <c r="AE107" s="136">
        <f t="shared" ca="1" si="117"/>
        <v>0</v>
      </c>
      <c r="AF107" s="136">
        <f t="shared" ca="1" si="117"/>
        <v>0</v>
      </c>
      <c r="AG107" s="136">
        <f t="shared" ca="1" si="117"/>
        <v>0</v>
      </c>
      <c r="AH107" s="136">
        <f t="shared" ca="1" si="117"/>
        <v>0</v>
      </c>
      <c r="AI107" s="136">
        <f t="shared" ca="1" si="117"/>
        <v>0</v>
      </c>
      <c r="AJ107" s="136">
        <f t="shared" ca="1" si="117"/>
        <v>0</v>
      </c>
      <c r="AK107" s="136">
        <f t="shared" ca="1" si="117"/>
        <v>0</v>
      </c>
      <c r="AL107" s="136">
        <f t="shared" ca="1" si="117"/>
        <v>0</v>
      </c>
      <c r="AM107" s="136">
        <f t="shared" ca="1" si="117"/>
        <v>0</v>
      </c>
      <c r="AN107" s="136">
        <f t="shared" ca="1" si="117"/>
        <v>0</v>
      </c>
      <c r="AO107" s="136">
        <f t="shared" ca="1" si="117"/>
        <v>0</v>
      </c>
      <c r="AP107" s="136">
        <f t="shared" ca="1" si="117"/>
        <v>0</v>
      </c>
      <c r="AQ107" s="136">
        <f t="shared" ca="1" si="117"/>
        <v>0</v>
      </c>
      <c r="AR107" s="136">
        <f t="shared" ca="1" si="117"/>
        <v>0</v>
      </c>
      <c r="AS107" s="136">
        <f t="shared" ca="1" si="117"/>
        <v>0</v>
      </c>
      <c r="AT107" s="136">
        <f t="shared" ca="1" si="117"/>
        <v>28693.50373094005</v>
      </c>
      <c r="AU107" s="136">
        <f t="shared" ca="1" si="117"/>
        <v>28860.88250270384</v>
      </c>
      <c r="AV107" s="136">
        <f t="shared" ca="1" si="117"/>
        <v>29029.237650636263</v>
      </c>
      <c r="AW107" s="136">
        <f t="shared" ca="1" si="117"/>
        <v>29198.574870264973</v>
      </c>
      <c r="AX107" s="136">
        <f t="shared" ca="1" si="117"/>
        <v>29368.899890341505</v>
      </c>
      <c r="AY107" s="136">
        <f t="shared" ca="1" si="117"/>
        <v>29540.218473035173</v>
      </c>
      <c r="AZ107" s="136">
        <f t="shared" ca="1" si="117"/>
        <v>29712.536414127855</v>
      </c>
      <c r="BA107" s="136">
        <f t="shared" ca="1" si="117"/>
        <v>29885.859543210303</v>
      </c>
      <c r="BB107" s="136">
        <f t="shared" ca="1" si="117"/>
        <v>30060.193723879056</v>
      </c>
      <c r="BC107" s="136">
        <f t="shared" ca="1" si="117"/>
        <v>30235.544853935018</v>
      </c>
      <c r="BD107" s="136">
        <f t="shared" ca="1" si="117"/>
        <v>30411.918865582935</v>
      </c>
      <c r="BE107" s="136">
        <f t="shared" ca="1" si="117"/>
        <v>30589.32172563218</v>
      </c>
      <c r="BF107" s="136">
        <f t="shared" ca="1" si="117"/>
        <v>30767.759435698332</v>
      </c>
      <c r="BG107" s="136">
        <f t="shared" ca="1" si="117"/>
        <v>30947.238032406574</v>
      </c>
      <c r="BH107" s="136">
        <f t="shared" ca="1" si="117"/>
        <v>31127.763587595662</v>
      </c>
      <c r="BI107" s="136">
        <f t="shared" ca="1" si="117"/>
        <v>31309.342208523245</v>
      </c>
      <c r="BJ107" s="136">
        <f t="shared" ca="1" si="117"/>
        <v>31491.980038072972</v>
      </c>
      <c r="BK107" s="136">
        <f t="shared" ca="1" si="117"/>
        <v>31675.683254961768</v>
      </c>
      <c r="BL107" s="136">
        <f t="shared" ca="1" si="117"/>
        <v>31860.458073949034</v>
      </c>
      <c r="BM107" s="136">
        <f t="shared" ca="1" si="117"/>
        <v>32046.310746047093</v>
      </c>
      <c r="BN107" s="136">
        <f t="shared" ca="1" si="117"/>
        <v>32233.247558732342</v>
      </c>
      <c r="BO107" s="136">
        <f t="shared" ca="1" si="117"/>
        <v>32421.274836158293</v>
      </c>
      <c r="BP107" s="136">
        <f t="shared" ca="1" si="117"/>
        <v>32610.398939369246</v>
      </c>
      <c r="BQ107" s="136">
        <f t="shared" ca="1" si="117"/>
        <v>32800.626266515581</v>
      </c>
      <c r="BR107" s="136">
        <f t="shared" ca="1" si="117"/>
        <v>32991.963253070251</v>
      </c>
      <c r="BS107" s="136">
        <f t="shared" ca="1" si="117"/>
        <v>33184.416372046515</v>
      </c>
      <c r="BT107" s="136">
        <f t="shared" ca="1" si="117"/>
        <v>33377.992134216765</v>
      </c>
      <c r="BU107" s="136">
        <f t="shared" ca="1" si="117"/>
        <v>33572.697088333021</v>
      </c>
      <c r="BV107" s="136">
        <f t="shared" ref="BV107:CO107" ca="1" si="118">BV109-BV106</f>
        <v>33768.537821348291</v>
      </c>
      <c r="BW107" s="136">
        <f t="shared" ca="1" si="118"/>
        <v>33965.520958639478</v>
      </c>
      <c r="BX107" s="136">
        <f t="shared" ca="1" si="118"/>
        <v>34163.653164231509</v>
      </c>
      <c r="BY107" s="136">
        <f t="shared" ca="1" si="118"/>
        <v>34362.941141022864</v>
      </c>
      <c r="BZ107" s="136">
        <f t="shared" ca="1" si="118"/>
        <v>34563.3916310122</v>
      </c>
      <c r="CA107" s="136">
        <f t="shared" ca="1" si="118"/>
        <v>34765.011415526445</v>
      </c>
      <c r="CB107" s="136">
        <f t="shared" ca="1" si="118"/>
        <v>34967.807315450336</v>
      </c>
      <c r="CC107" s="136">
        <f t="shared" ca="1" si="118"/>
        <v>35171.786191457184</v>
      </c>
      <c r="CD107" s="136">
        <f t="shared" ca="1" si="118"/>
        <v>0</v>
      </c>
      <c r="CE107" s="136">
        <f t="shared" ca="1" si="118"/>
        <v>0</v>
      </c>
      <c r="CF107" s="136">
        <f t="shared" ca="1" si="118"/>
        <v>0</v>
      </c>
      <c r="CG107" s="136">
        <f t="shared" ca="1" si="118"/>
        <v>0</v>
      </c>
      <c r="CH107" s="136">
        <f t="shared" ca="1" si="118"/>
        <v>0</v>
      </c>
      <c r="CI107" s="136">
        <f t="shared" ca="1" si="118"/>
        <v>0</v>
      </c>
      <c r="CJ107" s="136">
        <f t="shared" ca="1" si="118"/>
        <v>0</v>
      </c>
      <c r="CK107" s="136">
        <f t="shared" ca="1" si="118"/>
        <v>0</v>
      </c>
      <c r="CL107" s="136">
        <f t="shared" ca="1" si="118"/>
        <v>0</v>
      </c>
      <c r="CM107" s="136">
        <f t="shared" ca="1" si="118"/>
        <v>0</v>
      </c>
      <c r="CN107" s="136">
        <f t="shared" ca="1" si="118"/>
        <v>0</v>
      </c>
      <c r="CO107" s="136">
        <f t="shared" ca="1" si="118"/>
        <v>0</v>
      </c>
      <c r="CP107" s="133" t="s">
        <v>15</v>
      </c>
    </row>
    <row r="108" spans="2:94" ht="15" customHeight="1" x14ac:dyDescent="0.2">
      <c r="D108" s="259"/>
      <c r="E108" s="269"/>
      <c r="F108" s="284" t="s">
        <v>293</v>
      </c>
      <c r="I108" s="285">
        <f t="shared" ref="I108:AN108" si="119">(Today&gt;PermanentLoanOriginationDate)*(Today&lt;=PermanentLoanMaturityDate)</f>
        <v>0</v>
      </c>
      <c r="J108" s="285">
        <f t="shared" si="119"/>
        <v>0</v>
      </c>
      <c r="K108" s="285">
        <f t="shared" si="119"/>
        <v>0</v>
      </c>
      <c r="L108" s="285">
        <f t="shared" si="119"/>
        <v>0</v>
      </c>
      <c r="M108" s="285">
        <f t="shared" si="119"/>
        <v>0</v>
      </c>
      <c r="N108" s="285">
        <f t="shared" si="119"/>
        <v>0</v>
      </c>
      <c r="O108" s="285">
        <f t="shared" si="119"/>
        <v>0</v>
      </c>
      <c r="P108" s="285">
        <f t="shared" si="119"/>
        <v>0</v>
      </c>
      <c r="Q108" s="285">
        <f t="shared" si="119"/>
        <v>0</v>
      </c>
      <c r="R108" s="285">
        <f t="shared" si="119"/>
        <v>0</v>
      </c>
      <c r="S108" s="285">
        <f t="shared" si="119"/>
        <v>0</v>
      </c>
      <c r="T108" s="285">
        <f t="shared" si="119"/>
        <v>0</v>
      </c>
      <c r="U108" s="285">
        <f t="shared" si="119"/>
        <v>0</v>
      </c>
      <c r="V108" s="285">
        <f t="shared" si="119"/>
        <v>0</v>
      </c>
      <c r="W108" s="285">
        <f t="shared" si="119"/>
        <v>0</v>
      </c>
      <c r="X108" s="285">
        <f t="shared" si="119"/>
        <v>0</v>
      </c>
      <c r="Y108" s="285">
        <f t="shared" si="119"/>
        <v>0</v>
      </c>
      <c r="Z108" s="285">
        <f t="shared" si="119"/>
        <v>0</v>
      </c>
      <c r="AA108" s="285">
        <f t="shared" si="119"/>
        <v>0</v>
      </c>
      <c r="AB108" s="285">
        <f t="shared" si="119"/>
        <v>0</v>
      </c>
      <c r="AC108" s="285">
        <f t="shared" si="119"/>
        <v>0</v>
      </c>
      <c r="AD108" s="285">
        <f t="shared" si="119"/>
        <v>0</v>
      </c>
      <c r="AE108" s="285">
        <f t="shared" si="119"/>
        <v>0</v>
      </c>
      <c r="AF108" s="285">
        <f t="shared" si="119"/>
        <v>0</v>
      </c>
      <c r="AG108" s="285">
        <f t="shared" si="119"/>
        <v>0</v>
      </c>
      <c r="AH108" s="285">
        <f t="shared" si="119"/>
        <v>0</v>
      </c>
      <c r="AI108" s="285">
        <f t="shared" si="119"/>
        <v>0</v>
      </c>
      <c r="AJ108" s="285">
        <f t="shared" si="119"/>
        <v>0</v>
      </c>
      <c r="AK108" s="285">
        <f t="shared" si="119"/>
        <v>0</v>
      </c>
      <c r="AL108" s="285">
        <f t="shared" si="119"/>
        <v>0</v>
      </c>
      <c r="AM108" s="285">
        <f t="shared" si="119"/>
        <v>0</v>
      </c>
      <c r="AN108" s="285">
        <f t="shared" si="119"/>
        <v>0</v>
      </c>
      <c r="AO108" s="285">
        <f t="shared" ref="AO108:BT108" si="120">(Today&gt;PermanentLoanOriginationDate)*(Today&lt;=PermanentLoanMaturityDate)</f>
        <v>0</v>
      </c>
      <c r="AP108" s="285">
        <f t="shared" si="120"/>
        <v>0</v>
      </c>
      <c r="AQ108" s="285">
        <f t="shared" si="120"/>
        <v>0</v>
      </c>
      <c r="AR108" s="285">
        <f t="shared" si="120"/>
        <v>0</v>
      </c>
      <c r="AS108" s="285">
        <f t="shared" si="120"/>
        <v>0</v>
      </c>
      <c r="AT108" s="285">
        <f t="shared" si="120"/>
        <v>1</v>
      </c>
      <c r="AU108" s="285">
        <f t="shared" si="120"/>
        <v>1</v>
      </c>
      <c r="AV108" s="285">
        <f t="shared" si="120"/>
        <v>1</v>
      </c>
      <c r="AW108" s="285">
        <f t="shared" si="120"/>
        <v>1</v>
      </c>
      <c r="AX108" s="285">
        <f t="shared" si="120"/>
        <v>1</v>
      </c>
      <c r="AY108" s="285">
        <f t="shared" si="120"/>
        <v>1</v>
      </c>
      <c r="AZ108" s="285">
        <f t="shared" si="120"/>
        <v>1</v>
      </c>
      <c r="BA108" s="285">
        <f t="shared" si="120"/>
        <v>1</v>
      </c>
      <c r="BB108" s="285">
        <f t="shared" si="120"/>
        <v>1</v>
      </c>
      <c r="BC108" s="285">
        <f t="shared" si="120"/>
        <v>1</v>
      </c>
      <c r="BD108" s="285">
        <f t="shared" si="120"/>
        <v>1</v>
      </c>
      <c r="BE108" s="285">
        <f t="shared" si="120"/>
        <v>1</v>
      </c>
      <c r="BF108" s="285">
        <f t="shared" si="120"/>
        <v>1</v>
      </c>
      <c r="BG108" s="285">
        <f t="shared" si="120"/>
        <v>1</v>
      </c>
      <c r="BH108" s="285">
        <f t="shared" si="120"/>
        <v>1</v>
      </c>
      <c r="BI108" s="285">
        <f t="shared" si="120"/>
        <v>1</v>
      </c>
      <c r="BJ108" s="285">
        <f t="shared" si="120"/>
        <v>1</v>
      </c>
      <c r="BK108" s="285">
        <f t="shared" si="120"/>
        <v>1</v>
      </c>
      <c r="BL108" s="285">
        <f t="shared" si="120"/>
        <v>1</v>
      </c>
      <c r="BM108" s="285">
        <f t="shared" si="120"/>
        <v>1</v>
      </c>
      <c r="BN108" s="285">
        <f t="shared" si="120"/>
        <v>1</v>
      </c>
      <c r="BO108" s="285">
        <f t="shared" si="120"/>
        <v>1</v>
      </c>
      <c r="BP108" s="285">
        <f t="shared" si="120"/>
        <v>1</v>
      </c>
      <c r="BQ108" s="285">
        <f t="shared" si="120"/>
        <v>1</v>
      </c>
      <c r="BR108" s="285">
        <f t="shared" si="120"/>
        <v>1</v>
      </c>
      <c r="BS108" s="285">
        <f t="shared" si="120"/>
        <v>1</v>
      </c>
      <c r="BT108" s="285">
        <f t="shared" si="120"/>
        <v>1</v>
      </c>
      <c r="BU108" s="285">
        <f t="shared" ref="AD108:CO108" si="121">(Today&gt;PermanentLoanOriginationDate)*(Today&lt;=PermanentLoanMaturityDate)</f>
        <v>1</v>
      </c>
      <c r="BV108" s="285">
        <f t="shared" si="121"/>
        <v>1</v>
      </c>
      <c r="BW108" s="285">
        <f t="shared" si="121"/>
        <v>1</v>
      </c>
      <c r="BX108" s="285">
        <f t="shared" si="121"/>
        <v>1</v>
      </c>
      <c r="BY108" s="285">
        <f t="shared" si="121"/>
        <v>1</v>
      </c>
      <c r="BZ108" s="285">
        <f t="shared" si="121"/>
        <v>1</v>
      </c>
      <c r="CA108" s="285">
        <f t="shared" si="121"/>
        <v>1</v>
      </c>
      <c r="CB108" s="285">
        <f t="shared" si="121"/>
        <v>1</v>
      </c>
      <c r="CC108" s="285">
        <f t="shared" si="121"/>
        <v>1</v>
      </c>
      <c r="CD108" s="285">
        <f t="shared" si="121"/>
        <v>0</v>
      </c>
      <c r="CE108" s="285">
        <f t="shared" si="121"/>
        <v>0</v>
      </c>
      <c r="CF108" s="285">
        <f t="shared" si="121"/>
        <v>0</v>
      </c>
      <c r="CG108" s="285">
        <f t="shared" si="121"/>
        <v>0</v>
      </c>
      <c r="CH108" s="285">
        <f t="shared" si="121"/>
        <v>0</v>
      </c>
      <c r="CI108" s="285">
        <f t="shared" si="121"/>
        <v>0</v>
      </c>
      <c r="CJ108" s="285">
        <f t="shared" si="121"/>
        <v>0</v>
      </c>
      <c r="CK108" s="285">
        <f t="shared" si="121"/>
        <v>0</v>
      </c>
      <c r="CL108" s="285">
        <f t="shared" si="121"/>
        <v>0</v>
      </c>
      <c r="CM108" s="285">
        <f t="shared" si="121"/>
        <v>0</v>
      </c>
      <c r="CN108" s="285">
        <f t="shared" si="121"/>
        <v>0</v>
      </c>
      <c r="CO108" s="285">
        <f t="shared" si="121"/>
        <v>0</v>
      </c>
      <c r="CP108" s="133" t="s">
        <v>15</v>
      </c>
    </row>
    <row r="109" spans="2:94" ht="15" customHeight="1" x14ac:dyDescent="0.2">
      <c r="B109" s="136">
        <f ca="1">SUM(I109:CO109)</f>
        <v>8384067.0212902771</v>
      </c>
      <c r="D109" s="259" t="s">
        <v>194</v>
      </c>
      <c r="E109" s="269"/>
      <c r="F109" s="133" t="s">
        <v>238</v>
      </c>
      <c r="I109" s="136">
        <f t="shared" ref="I109:AN109" ca="1" si="122">(PermanentLoanOBalance*PermanentLoanMortgageConstant/12)*PermanentLoanDebtServiceDummy</f>
        <v>0</v>
      </c>
      <c r="J109" s="136">
        <f t="shared" ca="1" si="122"/>
        <v>0</v>
      </c>
      <c r="K109" s="136">
        <f t="shared" ca="1" si="122"/>
        <v>0</v>
      </c>
      <c r="L109" s="136">
        <f t="shared" ca="1" si="122"/>
        <v>0</v>
      </c>
      <c r="M109" s="136">
        <f t="shared" ca="1" si="122"/>
        <v>0</v>
      </c>
      <c r="N109" s="136">
        <f t="shared" ca="1" si="122"/>
        <v>0</v>
      </c>
      <c r="O109" s="136">
        <f t="shared" ca="1" si="122"/>
        <v>0</v>
      </c>
      <c r="P109" s="136">
        <f t="shared" ca="1" si="122"/>
        <v>0</v>
      </c>
      <c r="Q109" s="136">
        <f t="shared" ca="1" si="122"/>
        <v>0</v>
      </c>
      <c r="R109" s="136">
        <f t="shared" ca="1" si="122"/>
        <v>0</v>
      </c>
      <c r="S109" s="136">
        <f t="shared" ca="1" si="122"/>
        <v>0</v>
      </c>
      <c r="T109" s="136">
        <f t="shared" ca="1" si="122"/>
        <v>0</v>
      </c>
      <c r="U109" s="136">
        <f t="shared" ca="1" si="122"/>
        <v>0</v>
      </c>
      <c r="V109" s="136">
        <f t="shared" ca="1" si="122"/>
        <v>0</v>
      </c>
      <c r="W109" s="136">
        <f t="shared" ca="1" si="122"/>
        <v>0</v>
      </c>
      <c r="X109" s="136">
        <f t="shared" ca="1" si="122"/>
        <v>0</v>
      </c>
      <c r="Y109" s="136">
        <f t="shared" ca="1" si="122"/>
        <v>0</v>
      </c>
      <c r="Z109" s="136">
        <f t="shared" ca="1" si="122"/>
        <v>0</v>
      </c>
      <c r="AA109" s="136">
        <f t="shared" ca="1" si="122"/>
        <v>0</v>
      </c>
      <c r="AB109" s="136">
        <f t="shared" ca="1" si="122"/>
        <v>0</v>
      </c>
      <c r="AC109" s="136">
        <f t="shared" ca="1" si="122"/>
        <v>0</v>
      </c>
      <c r="AD109" s="136">
        <f t="shared" ca="1" si="122"/>
        <v>0</v>
      </c>
      <c r="AE109" s="136">
        <f t="shared" ca="1" si="122"/>
        <v>0</v>
      </c>
      <c r="AF109" s="136">
        <f t="shared" ca="1" si="122"/>
        <v>0</v>
      </c>
      <c r="AG109" s="136">
        <f t="shared" ca="1" si="122"/>
        <v>0</v>
      </c>
      <c r="AH109" s="136">
        <f t="shared" ca="1" si="122"/>
        <v>0</v>
      </c>
      <c r="AI109" s="136">
        <f t="shared" ca="1" si="122"/>
        <v>0</v>
      </c>
      <c r="AJ109" s="136">
        <f t="shared" ca="1" si="122"/>
        <v>0</v>
      </c>
      <c r="AK109" s="136">
        <f t="shared" ca="1" si="122"/>
        <v>0</v>
      </c>
      <c r="AL109" s="136">
        <f t="shared" ca="1" si="122"/>
        <v>0</v>
      </c>
      <c r="AM109" s="136">
        <f t="shared" ca="1" si="122"/>
        <v>0</v>
      </c>
      <c r="AN109" s="136">
        <f t="shared" ca="1" si="122"/>
        <v>0</v>
      </c>
      <c r="AO109" s="136">
        <f t="shared" ref="AO109:BT109" ca="1" si="123">(PermanentLoanOBalance*PermanentLoanMortgageConstant/12)*PermanentLoanDebtServiceDummy</f>
        <v>0</v>
      </c>
      <c r="AP109" s="136">
        <f t="shared" ca="1" si="123"/>
        <v>0</v>
      </c>
      <c r="AQ109" s="136">
        <f t="shared" ca="1" si="123"/>
        <v>0</v>
      </c>
      <c r="AR109" s="136">
        <f t="shared" ca="1" si="123"/>
        <v>0</v>
      </c>
      <c r="AS109" s="136">
        <f t="shared" ca="1" si="123"/>
        <v>0</v>
      </c>
      <c r="AT109" s="136">
        <f t="shared" ca="1" si="123"/>
        <v>232890.75059139673</v>
      </c>
      <c r="AU109" s="136">
        <f t="shared" ca="1" si="123"/>
        <v>232890.75059139673</v>
      </c>
      <c r="AV109" s="136">
        <f t="shared" ca="1" si="123"/>
        <v>232890.75059139673</v>
      </c>
      <c r="AW109" s="136">
        <f t="shared" ca="1" si="123"/>
        <v>232890.75059139673</v>
      </c>
      <c r="AX109" s="136">
        <f t="shared" ca="1" si="123"/>
        <v>232890.75059139673</v>
      </c>
      <c r="AY109" s="136">
        <f t="shared" ca="1" si="123"/>
        <v>232890.75059139673</v>
      </c>
      <c r="AZ109" s="136">
        <f t="shared" ca="1" si="123"/>
        <v>232890.75059139673</v>
      </c>
      <c r="BA109" s="136">
        <f t="shared" ca="1" si="123"/>
        <v>232890.75059139673</v>
      </c>
      <c r="BB109" s="136">
        <f t="shared" ca="1" si="123"/>
        <v>232890.75059139673</v>
      </c>
      <c r="BC109" s="136">
        <f t="shared" ca="1" si="123"/>
        <v>232890.75059139673</v>
      </c>
      <c r="BD109" s="136">
        <f t="shared" ca="1" si="123"/>
        <v>232890.75059139673</v>
      </c>
      <c r="BE109" s="136">
        <f t="shared" ca="1" si="123"/>
        <v>232890.75059139673</v>
      </c>
      <c r="BF109" s="136">
        <f t="shared" ca="1" si="123"/>
        <v>232890.75059139673</v>
      </c>
      <c r="BG109" s="136">
        <f t="shared" ca="1" si="123"/>
        <v>232890.75059139673</v>
      </c>
      <c r="BH109" s="136">
        <f t="shared" ca="1" si="123"/>
        <v>232890.75059139673</v>
      </c>
      <c r="BI109" s="136">
        <f t="shared" ca="1" si="123"/>
        <v>232890.75059139673</v>
      </c>
      <c r="BJ109" s="136">
        <f t="shared" ca="1" si="123"/>
        <v>232890.75059139673</v>
      </c>
      <c r="BK109" s="136">
        <f t="shared" ca="1" si="123"/>
        <v>232890.75059139673</v>
      </c>
      <c r="BL109" s="136">
        <f t="shared" ca="1" si="123"/>
        <v>232890.75059139673</v>
      </c>
      <c r="BM109" s="136">
        <f t="shared" ca="1" si="123"/>
        <v>232890.75059139673</v>
      </c>
      <c r="BN109" s="136">
        <f t="shared" ca="1" si="123"/>
        <v>232890.75059139673</v>
      </c>
      <c r="BO109" s="136">
        <f t="shared" ca="1" si="123"/>
        <v>232890.75059139673</v>
      </c>
      <c r="BP109" s="136">
        <f t="shared" ca="1" si="123"/>
        <v>232890.75059139673</v>
      </c>
      <c r="BQ109" s="136">
        <f t="shared" ca="1" si="123"/>
        <v>232890.75059139673</v>
      </c>
      <c r="BR109" s="136">
        <f t="shared" ca="1" si="123"/>
        <v>232890.75059139673</v>
      </c>
      <c r="BS109" s="136">
        <f t="shared" ca="1" si="123"/>
        <v>232890.75059139673</v>
      </c>
      <c r="BT109" s="136">
        <f t="shared" ca="1" si="123"/>
        <v>232890.75059139673</v>
      </c>
      <c r="BU109" s="136">
        <f t="shared" ref="AD109:CO109" ca="1" si="124">(PermanentLoanOBalance*PermanentLoanMortgageConstant/12)*PermanentLoanDebtServiceDummy</f>
        <v>232890.75059139673</v>
      </c>
      <c r="BV109" s="136">
        <f t="shared" ca="1" si="124"/>
        <v>232890.75059139673</v>
      </c>
      <c r="BW109" s="136">
        <f t="shared" ca="1" si="124"/>
        <v>232890.75059139673</v>
      </c>
      <c r="BX109" s="136">
        <f t="shared" ca="1" si="124"/>
        <v>232890.75059139673</v>
      </c>
      <c r="BY109" s="136">
        <f t="shared" ca="1" si="124"/>
        <v>232890.75059139673</v>
      </c>
      <c r="BZ109" s="136">
        <f t="shared" ca="1" si="124"/>
        <v>232890.75059139673</v>
      </c>
      <c r="CA109" s="136">
        <f t="shared" ca="1" si="124"/>
        <v>232890.75059139673</v>
      </c>
      <c r="CB109" s="136">
        <f t="shared" ca="1" si="124"/>
        <v>232890.75059139673</v>
      </c>
      <c r="CC109" s="136">
        <f t="shared" ca="1" si="124"/>
        <v>232890.75059139673</v>
      </c>
      <c r="CD109" s="136">
        <f t="shared" ca="1" si="124"/>
        <v>0</v>
      </c>
      <c r="CE109" s="136">
        <f t="shared" ca="1" si="124"/>
        <v>0</v>
      </c>
      <c r="CF109" s="136">
        <f t="shared" ca="1" si="124"/>
        <v>0</v>
      </c>
      <c r="CG109" s="136">
        <f t="shared" ca="1" si="124"/>
        <v>0</v>
      </c>
      <c r="CH109" s="136">
        <f t="shared" ca="1" si="124"/>
        <v>0</v>
      </c>
      <c r="CI109" s="136">
        <f t="shared" ca="1" si="124"/>
        <v>0</v>
      </c>
      <c r="CJ109" s="136">
        <f t="shared" ca="1" si="124"/>
        <v>0</v>
      </c>
      <c r="CK109" s="136">
        <f t="shared" ca="1" si="124"/>
        <v>0</v>
      </c>
      <c r="CL109" s="136">
        <f t="shared" ca="1" si="124"/>
        <v>0</v>
      </c>
      <c r="CM109" s="136">
        <f t="shared" ca="1" si="124"/>
        <v>0</v>
      </c>
      <c r="CN109" s="136">
        <f t="shared" ca="1" si="124"/>
        <v>0</v>
      </c>
      <c r="CO109" s="136">
        <f t="shared" ca="1" si="124"/>
        <v>0</v>
      </c>
      <c r="CP109" s="133" t="s">
        <v>15</v>
      </c>
    </row>
    <row r="110" spans="2:94" ht="15" customHeight="1" x14ac:dyDescent="0.2">
      <c r="D110" s="259"/>
      <c r="E110" s="269"/>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row>
    <row r="111" spans="2:94" ht="15" customHeight="1" x14ac:dyDescent="0.25">
      <c r="D111" s="259"/>
      <c r="E111" s="269"/>
      <c r="F111" s="132" t="s">
        <v>239</v>
      </c>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row>
    <row r="112" spans="2:94" ht="15" customHeight="1" x14ac:dyDescent="0.2">
      <c r="D112" s="259"/>
      <c r="E112" s="269"/>
      <c r="H112" s="24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row>
    <row r="113" spans="1:94" ht="15" customHeight="1" x14ac:dyDescent="0.2">
      <c r="B113" s="136">
        <f ca="1">SUM(I113:CO113)</f>
        <v>24618322.976195</v>
      </c>
      <c r="D113" s="259"/>
      <c r="E113" s="269"/>
      <c r="F113" s="133" t="s">
        <v>193</v>
      </c>
      <c r="H113" s="243"/>
      <c r="I113" s="136">
        <f ca="1">I55</f>
        <v>-8175223.9014285719</v>
      </c>
      <c r="J113" s="136">
        <f t="shared" ref="J113:AN113" ca="1" si="125">J55</f>
        <v>-311434.77285714279</v>
      </c>
      <c r="K113" s="136">
        <f t="shared" ca="1" si="125"/>
        <v>-311434.77285714279</v>
      </c>
      <c r="L113" s="136">
        <f t="shared" ca="1" si="125"/>
        <v>-334774.57285714283</v>
      </c>
      <c r="M113" s="136">
        <f t="shared" ca="1" si="125"/>
        <v>-317269.7228571428</v>
      </c>
      <c r="N113" s="136">
        <f t="shared" ca="1" si="125"/>
        <v>-268256.14285714284</v>
      </c>
      <c r="O113" s="136">
        <f t="shared" ca="1" si="125"/>
        <v>-455644.58496240602</v>
      </c>
      <c r="P113" s="136">
        <f t="shared" ca="1" si="125"/>
        <v>-697211.51496240601</v>
      </c>
      <c r="Q113" s="136">
        <f t="shared" ca="1" si="125"/>
        <v>-697211.51496240601</v>
      </c>
      <c r="R113" s="136">
        <f t="shared" ca="1" si="125"/>
        <v>-576691.49939849414</v>
      </c>
      <c r="S113" s="136">
        <f t="shared" ca="1" si="125"/>
        <v>0</v>
      </c>
      <c r="T113" s="136">
        <f t="shared" ca="1" si="125"/>
        <v>0</v>
      </c>
      <c r="U113" s="136">
        <f t="shared" ca="1" si="125"/>
        <v>0</v>
      </c>
      <c r="V113" s="136">
        <f t="shared" ca="1" si="125"/>
        <v>0</v>
      </c>
      <c r="W113" s="136">
        <f t="shared" ca="1" si="125"/>
        <v>0</v>
      </c>
      <c r="X113" s="136">
        <f t="shared" ca="1" si="125"/>
        <v>0</v>
      </c>
      <c r="Y113" s="136">
        <f t="shared" ca="1" si="125"/>
        <v>0</v>
      </c>
      <c r="Z113" s="136">
        <f t="shared" ca="1" si="125"/>
        <v>0</v>
      </c>
      <c r="AA113" s="136">
        <f t="shared" ca="1" si="125"/>
        <v>0</v>
      </c>
      <c r="AB113" s="136">
        <f t="shared" ca="1" si="125"/>
        <v>0</v>
      </c>
      <c r="AC113" s="136">
        <f t="shared" ca="1" si="125"/>
        <v>0</v>
      </c>
      <c r="AD113" s="136">
        <f t="shared" ca="1" si="125"/>
        <v>0</v>
      </c>
      <c r="AE113" s="136">
        <f t="shared" ca="1" si="125"/>
        <v>0</v>
      </c>
      <c r="AF113" s="136">
        <f t="shared" ca="1" si="125"/>
        <v>0</v>
      </c>
      <c r="AG113" s="136">
        <f t="shared" ca="1" si="125"/>
        <v>0</v>
      </c>
      <c r="AH113" s="136">
        <f t="shared" ca="1" si="125"/>
        <v>0</v>
      </c>
      <c r="AI113" s="136">
        <f t="shared" ca="1" si="125"/>
        <v>0</v>
      </c>
      <c r="AJ113" s="136">
        <f t="shared" ca="1" si="125"/>
        <v>0</v>
      </c>
      <c r="AK113" s="136">
        <f t="shared" ca="1" si="125"/>
        <v>0</v>
      </c>
      <c r="AL113" s="136">
        <f t="shared" ca="1" si="125"/>
        <v>0</v>
      </c>
      <c r="AM113" s="136">
        <f t="shared" ca="1" si="125"/>
        <v>0</v>
      </c>
      <c r="AN113" s="136">
        <f t="shared" ca="1" si="125"/>
        <v>0</v>
      </c>
      <c r="AO113" s="136">
        <f t="shared" ref="AO113:BT113" ca="1" si="126">AO55</f>
        <v>0</v>
      </c>
      <c r="AP113" s="136">
        <f t="shared" ca="1" si="126"/>
        <v>0</v>
      </c>
      <c r="AQ113" s="136">
        <f t="shared" ca="1" si="126"/>
        <v>0</v>
      </c>
      <c r="AR113" s="136">
        <f t="shared" ca="1" si="126"/>
        <v>0</v>
      </c>
      <c r="AS113" s="136">
        <f t="shared" ca="1" si="126"/>
        <v>20377454.355182163</v>
      </c>
      <c r="AT113" s="136">
        <f t="shared" ca="1" si="126"/>
        <v>110073.79706883527</v>
      </c>
      <c r="AU113" s="136">
        <f t="shared" ca="1" si="126"/>
        <v>110073.79706883527</v>
      </c>
      <c r="AV113" s="136">
        <f t="shared" ca="1" si="126"/>
        <v>110073.79706883527</v>
      </c>
      <c r="AW113" s="136">
        <f t="shared" ca="1" si="126"/>
        <v>110073.79706883527</v>
      </c>
      <c r="AX113" s="136">
        <f t="shared" ca="1" si="126"/>
        <v>110073.79706883527</v>
      </c>
      <c r="AY113" s="136">
        <f t="shared" ca="1" si="126"/>
        <v>110073.79706883527</v>
      </c>
      <c r="AZ113" s="136">
        <f t="shared" ca="1" si="126"/>
        <v>110073.79706883527</v>
      </c>
      <c r="BA113" s="136">
        <f t="shared" ca="1" si="126"/>
        <v>110073.79706883527</v>
      </c>
      <c r="BB113" s="136">
        <f t="shared" ca="1" si="126"/>
        <v>110073.79706883527</v>
      </c>
      <c r="BC113" s="136">
        <f t="shared" ca="1" si="126"/>
        <v>110073.79706883527</v>
      </c>
      <c r="BD113" s="136">
        <f t="shared" ca="1" si="126"/>
        <v>110073.79706883527</v>
      </c>
      <c r="BE113" s="136">
        <f t="shared" ca="1" si="126"/>
        <v>110073.79706883527</v>
      </c>
      <c r="BF113" s="136">
        <f t="shared" ca="1" si="126"/>
        <v>92276.448121092428</v>
      </c>
      <c r="BG113" s="136">
        <f t="shared" ca="1" si="126"/>
        <v>92276.448121092428</v>
      </c>
      <c r="BH113" s="136">
        <f t="shared" ca="1" si="126"/>
        <v>92276.448121092428</v>
      </c>
      <c r="BI113" s="136">
        <f t="shared" ca="1" si="126"/>
        <v>92276.448121092428</v>
      </c>
      <c r="BJ113" s="136">
        <f t="shared" ca="1" si="126"/>
        <v>92276.448121092428</v>
      </c>
      <c r="BK113" s="136">
        <f t="shared" ca="1" si="126"/>
        <v>92276.448121092428</v>
      </c>
      <c r="BL113" s="136">
        <f t="shared" ca="1" si="126"/>
        <v>92276.448121092428</v>
      </c>
      <c r="BM113" s="136">
        <f t="shared" ca="1" si="126"/>
        <v>92276.448121092428</v>
      </c>
      <c r="BN113" s="136">
        <f t="shared" ca="1" si="126"/>
        <v>92276.448121092428</v>
      </c>
      <c r="BO113" s="136">
        <f t="shared" ca="1" si="126"/>
        <v>92276.448121092428</v>
      </c>
      <c r="BP113" s="136">
        <f t="shared" ca="1" si="126"/>
        <v>92276.448121092428</v>
      </c>
      <c r="BQ113" s="136">
        <f t="shared" ca="1" si="126"/>
        <v>92276.448121092428</v>
      </c>
      <c r="BR113" s="136">
        <f t="shared" ca="1" si="126"/>
        <v>106921.35986988785</v>
      </c>
      <c r="BS113" s="136">
        <f t="shared" ca="1" si="126"/>
        <v>106921.35986988785</v>
      </c>
      <c r="BT113" s="136">
        <f t="shared" ca="1" si="126"/>
        <v>106921.35986988785</v>
      </c>
      <c r="BU113" s="136">
        <f t="shared" ref="BU113:CO113" ca="1" si="127">BU55</f>
        <v>106921.35986988785</v>
      </c>
      <c r="BV113" s="136">
        <f t="shared" ca="1" si="127"/>
        <v>106921.35986988785</v>
      </c>
      <c r="BW113" s="136">
        <f t="shared" ca="1" si="127"/>
        <v>106921.35986988785</v>
      </c>
      <c r="BX113" s="136">
        <f t="shared" ca="1" si="127"/>
        <v>106921.35986988785</v>
      </c>
      <c r="BY113" s="136">
        <f t="shared" ca="1" si="127"/>
        <v>106921.35986988785</v>
      </c>
      <c r="BZ113" s="136">
        <f t="shared" ca="1" si="127"/>
        <v>106921.35986988785</v>
      </c>
      <c r="CA113" s="136">
        <f t="shared" ca="1" si="127"/>
        <v>106921.35986988785</v>
      </c>
      <c r="CB113" s="136">
        <f t="shared" ca="1" si="127"/>
        <v>106921.35986988785</v>
      </c>
      <c r="CC113" s="136">
        <f t="shared" ca="1" si="127"/>
        <v>12781683.720164917</v>
      </c>
      <c r="CD113" s="136">
        <f t="shared" ca="1" si="127"/>
        <v>0</v>
      </c>
      <c r="CE113" s="136">
        <f t="shared" ca="1" si="127"/>
        <v>0</v>
      </c>
      <c r="CF113" s="136">
        <f t="shared" ca="1" si="127"/>
        <v>0</v>
      </c>
      <c r="CG113" s="136">
        <f t="shared" ca="1" si="127"/>
        <v>0</v>
      </c>
      <c r="CH113" s="136">
        <f t="shared" ca="1" si="127"/>
        <v>0</v>
      </c>
      <c r="CI113" s="136">
        <f t="shared" ca="1" si="127"/>
        <v>0</v>
      </c>
      <c r="CJ113" s="136">
        <f t="shared" ca="1" si="127"/>
        <v>0</v>
      </c>
      <c r="CK113" s="136">
        <f t="shared" ca="1" si="127"/>
        <v>0</v>
      </c>
      <c r="CL113" s="136">
        <f t="shared" ca="1" si="127"/>
        <v>0</v>
      </c>
      <c r="CM113" s="136">
        <f t="shared" ca="1" si="127"/>
        <v>0</v>
      </c>
      <c r="CN113" s="136">
        <f t="shared" ca="1" si="127"/>
        <v>0</v>
      </c>
      <c r="CO113" s="136">
        <f t="shared" ca="1" si="127"/>
        <v>0</v>
      </c>
      <c r="CP113" s="133" t="s">
        <v>15</v>
      </c>
    </row>
    <row r="114" spans="1:94" ht="15" customHeight="1" x14ac:dyDescent="0.2">
      <c r="B114" s="136">
        <f>SUM(I114:CO114)</f>
        <v>-50000</v>
      </c>
      <c r="D114" s="259" t="s">
        <v>199</v>
      </c>
      <c r="E114" s="269"/>
      <c r="F114" s="133" t="s">
        <v>240</v>
      </c>
      <c r="H114" s="286">
        <v>0.01</v>
      </c>
      <c r="I114" s="136">
        <f>-(Today=ClosingDate)*LandCost*AcquisitionFee</f>
        <v>-50000</v>
      </c>
      <c r="J114" s="136">
        <f t="shared" ref="J114:AN114" si="128">-(Today=ClosingDate)*LandCost*AcquisitionFee</f>
        <v>0</v>
      </c>
      <c r="K114" s="136">
        <f t="shared" si="128"/>
        <v>0</v>
      </c>
      <c r="L114" s="136">
        <f t="shared" si="128"/>
        <v>0</v>
      </c>
      <c r="M114" s="136">
        <f t="shared" si="128"/>
        <v>0</v>
      </c>
      <c r="N114" s="136">
        <f t="shared" si="128"/>
        <v>0</v>
      </c>
      <c r="O114" s="136">
        <f t="shared" si="128"/>
        <v>0</v>
      </c>
      <c r="P114" s="136">
        <f t="shared" si="128"/>
        <v>0</v>
      </c>
      <c r="Q114" s="136">
        <f t="shared" si="128"/>
        <v>0</v>
      </c>
      <c r="R114" s="136">
        <f t="shared" si="128"/>
        <v>0</v>
      </c>
      <c r="S114" s="136">
        <f t="shared" si="128"/>
        <v>0</v>
      </c>
      <c r="T114" s="136">
        <f t="shared" si="128"/>
        <v>0</v>
      </c>
      <c r="U114" s="136">
        <f t="shared" si="128"/>
        <v>0</v>
      </c>
      <c r="V114" s="136">
        <f t="shared" si="128"/>
        <v>0</v>
      </c>
      <c r="W114" s="136">
        <f t="shared" si="128"/>
        <v>0</v>
      </c>
      <c r="X114" s="136">
        <f t="shared" si="128"/>
        <v>0</v>
      </c>
      <c r="Y114" s="136">
        <f t="shared" si="128"/>
        <v>0</v>
      </c>
      <c r="Z114" s="136">
        <f t="shared" si="128"/>
        <v>0</v>
      </c>
      <c r="AA114" s="136">
        <f t="shared" si="128"/>
        <v>0</v>
      </c>
      <c r="AB114" s="136">
        <f t="shared" si="128"/>
        <v>0</v>
      </c>
      <c r="AC114" s="136">
        <f t="shared" si="128"/>
        <v>0</v>
      </c>
      <c r="AD114" s="136">
        <f t="shared" si="128"/>
        <v>0</v>
      </c>
      <c r="AE114" s="136">
        <f t="shared" si="128"/>
        <v>0</v>
      </c>
      <c r="AF114" s="136">
        <f t="shared" si="128"/>
        <v>0</v>
      </c>
      <c r="AG114" s="136">
        <f t="shared" si="128"/>
        <v>0</v>
      </c>
      <c r="AH114" s="136">
        <f t="shared" si="128"/>
        <v>0</v>
      </c>
      <c r="AI114" s="136">
        <f t="shared" si="128"/>
        <v>0</v>
      </c>
      <c r="AJ114" s="136">
        <f t="shared" si="128"/>
        <v>0</v>
      </c>
      <c r="AK114" s="136">
        <f t="shared" si="128"/>
        <v>0</v>
      </c>
      <c r="AL114" s="136">
        <f t="shared" si="128"/>
        <v>0</v>
      </c>
      <c r="AM114" s="136">
        <f t="shared" si="128"/>
        <v>0</v>
      </c>
      <c r="AN114" s="136">
        <f t="shared" si="128"/>
        <v>0</v>
      </c>
      <c r="AO114" s="136">
        <f t="shared" ref="AO114:BT114" si="129">-(Today=ClosingDate)*LandCost*AcquisitionFee</f>
        <v>0</v>
      </c>
      <c r="AP114" s="136">
        <f t="shared" si="129"/>
        <v>0</v>
      </c>
      <c r="AQ114" s="136">
        <f t="shared" si="129"/>
        <v>0</v>
      </c>
      <c r="AR114" s="136">
        <f t="shared" si="129"/>
        <v>0</v>
      </c>
      <c r="AS114" s="136">
        <f t="shared" si="129"/>
        <v>0</v>
      </c>
      <c r="AT114" s="136">
        <f t="shared" si="129"/>
        <v>0</v>
      </c>
      <c r="AU114" s="136">
        <f t="shared" si="129"/>
        <v>0</v>
      </c>
      <c r="AV114" s="136">
        <f t="shared" si="129"/>
        <v>0</v>
      </c>
      <c r="AW114" s="136">
        <f t="shared" si="129"/>
        <v>0</v>
      </c>
      <c r="AX114" s="136">
        <f t="shared" si="129"/>
        <v>0</v>
      </c>
      <c r="AY114" s="136">
        <f t="shared" si="129"/>
        <v>0</v>
      </c>
      <c r="AZ114" s="136">
        <f t="shared" si="129"/>
        <v>0</v>
      </c>
      <c r="BA114" s="136">
        <f t="shared" si="129"/>
        <v>0</v>
      </c>
      <c r="BB114" s="136">
        <f t="shared" si="129"/>
        <v>0</v>
      </c>
      <c r="BC114" s="136">
        <f t="shared" si="129"/>
        <v>0</v>
      </c>
      <c r="BD114" s="136">
        <f t="shared" si="129"/>
        <v>0</v>
      </c>
      <c r="BE114" s="136">
        <f t="shared" si="129"/>
        <v>0</v>
      </c>
      <c r="BF114" s="136">
        <f t="shared" si="129"/>
        <v>0</v>
      </c>
      <c r="BG114" s="136">
        <f t="shared" si="129"/>
        <v>0</v>
      </c>
      <c r="BH114" s="136">
        <f t="shared" si="129"/>
        <v>0</v>
      </c>
      <c r="BI114" s="136">
        <f t="shared" si="129"/>
        <v>0</v>
      </c>
      <c r="BJ114" s="136">
        <f t="shared" si="129"/>
        <v>0</v>
      </c>
      <c r="BK114" s="136">
        <f t="shared" si="129"/>
        <v>0</v>
      </c>
      <c r="BL114" s="136">
        <f t="shared" si="129"/>
        <v>0</v>
      </c>
      <c r="BM114" s="136">
        <f t="shared" si="129"/>
        <v>0</v>
      </c>
      <c r="BN114" s="136">
        <f t="shared" si="129"/>
        <v>0</v>
      </c>
      <c r="BO114" s="136">
        <f t="shared" si="129"/>
        <v>0</v>
      </c>
      <c r="BP114" s="136">
        <f t="shared" si="129"/>
        <v>0</v>
      </c>
      <c r="BQ114" s="136">
        <f t="shared" si="129"/>
        <v>0</v>
      </c>
      <c r="BR114" s="136">
        <f t="shared" si="129"/>
        <v>0</v>
      </c>
      <c r="BS114" s="136">
        <f t="shared" si="129"/>
        <v>0</v>
      </c>
      <c r="BT114" s="136">
        <f t="shared" si="129"/>
        <v>0</v>
      </c>
      <c r="BU114" s="136">
        <f t="shared" ref="AD114:CO114" si="130">-(Today=ClosingDate)*LandCost*AcquisitionFee</f>
        <v>0</v>
      </c>
      <c r="BV114" s="136">
        <f t="shared" si="130"/>
        <v>0</v>
      </c>
      <c r="BW114" s="136">
        <f t="shared" si="130"/>
        <v>0</v>
      </c>
      <c r="BX114" s="136">
        <f t="shared" si="130"/>
        <v>0</v>
      </c>
      <c r="BY114" s="136">
        <f t="shared" si="130"/>
        <v>0</v>
      </c>
      <c r="BZ114" s="136">
        <f t="shared" si="130"/>
        <v>0</v>
      </c>
      <c r="CA114" s="136">
        <f t="shared" si="130"/>
        <v>0</v>
      </c>
      <c r="CB114" s="136">
        <f t="shared" si="130"/>
        <v>0</v>
      </c>
      <c r="CC114" s="136">
        <f t="shared" si="130"/>
        <v>0</v>
      </c>
      <c r="CD114" s="136">
        <f t="shared" si="130"/>
        <v>0</v>
      </c>
      <c r="CE114" s="136">
        <f t="shared" si="130"/>
        <v>0</v>
      </c>
      <c r="CF114" s="136">
        <f t="shared" si="130"/>
        <v>0</v>
      </c>
      <c r="CG114" s="136">
        <f t="shared" si="130"/>
        <v>0</v>
      </c>
      <c r="CH114" s="136">
        <f t="shared" si="130"/>
        <v>0</v>
      </c>
      <c r="CI114" s="136">
        <f t="shared" si="130"/>
        <v>0</v>
      </c>
      <c r="CJ114" s="136">
        <f t="shared" si="130"/>
        <v>0</v>
      </c>
      <c r="CK114" s="136">
        <f t="shared" si="130"/>
        <v>0</v>
      </c>
      <c r="CL114" s="136">
        <f t="shared" si="130"/>
        <v>0</v>
      </c>
      <c r="CM114" s="136">
        <f t="shared" si="130"/>
        <v>0</v>
      </c>
      <c r="CN114" s="136">
        <f t="shared" si="130"/>
        <v>0</v>
      </c>
      <c r="CO114" s="136">
        <f t="shared" si="130"/>
        <v>0</v>
      </c>
      <c r="CP114" s="133" t="s">
        <v>15</v>
      </c>
    </row>
    <row r="115" spans="1:94" ht="15" customHeight="1" x14ac:dyDescent="0.2">
      <c r="B115" s="136">
        <f ca="1">SUM(I115:CO115)</f>
        <v>-276196.17108556395</v>
      </c>
      <c r="C115" s="133" t="s">
        <v>366</v>
      </c>
      <c r="D115" s="259" t="s">
        <v>199</v>
      </c>
      <c r="E115" s="269"/>
      <c r="F115" s="133" t="s">
        <v>241</v>
      </c>
      <c r="H115" s="286">
        <v>8.0000000000000002E-3</v>
      </c>
      <c r="I115" s="136">
        <f t="shared" ref="I115:AN115" ca="1" si="131">-CumulEquityInvested*AssetManagementFee/12*(Today&lt;=ExitDate)</f>
        <v>-5450.1492676190483</v>
      </c>
      <c r="J115" s="136">
        <f t="shared" ca="1" si="131"/>
        <v>-5657.7724495238108</v>
      </c>
      <c r="K115" s="136">
        <f t="shared" ca="1" si="131"/>
        <v>-5865.3956314285724</v>
      </c>
      <c r="L115" s="136">
        <f t="shared" ca="1" si="131"/>
        <v>-6088.5786800000014</v>
      </c>
      <c r="M115" s="136">
        <f t="shared" ca="1" si="131"/>
        <v>-6300.0918285714288</v>
      </c>
      <c r="N115" s="136">
        <f t="shared" ca="1" si="131"/>
        <v>-6478.9292571428587</v>
      </c>
      <c r="O115" s="136">
        <f t="shared" ca="1" si="131"/>
        <v>-6782.6923137844615</v>
      </c>
      <c r="P115" s="136">
        <f t="shared" ca="1" si="131"/>
        <v>-7247.4999904260658</v>
      </c>
      <c r="Q115" s="136">
        <f t="shared" ca="1" si="131"/>
        <v>-7712.307667067671</v>
      </c>
      <c r="R115" s="136">
        <f t="shared" ca="1" si="131"/>
        <v>-8096.7686666666668</v>
      </c>
      <c r="S115" s="136">
        <f t="shared" ca="1" si="131"/>
        <v>-8096.7686666666668</v>
      </c>
      <c r="T115" s="136">
        <f t="shared" ca="1" si="131"/>
        <v>-8096.7686666666668</v>
      </c>
      <c r="U115" s="136">
        <f t="shared" ca="1" si="131"/>
        <v>-8096.7686666666668</v>
      </c>
      <c r="V115" s="136">
        <f t="shared" ca="1" si="131"/>
        <v>-8096.7686666666668</v>
      </c>
      <c r="W115" s="136">
        <f t="shared" ca="1" si="131"/>
        <v>-8096.7686666666668</v>
      </c>
      <c r="X115" s="136">
        <f t="shared" ca="1" si="131"/>
        <v>-8096.7686666666668</v>
      </c>
      <c r="Y115" s="136">
        <f t="shared" ca="1" si="131"/>
        <v>-8096.7686666666668</v>
      </c>
      <c r="Z115" s="136">
        <f t="shared" ca="1" si="131"/>
        <v>-8096.7686666666668</v>
      </c>
      <c r="AA115" s="136">
        <f t="shared" ca="1" si="131"/>
        <v>-8096.7686666666668</v>
      </c>
      <c r="AB115" s="136">
        <f t="shared" ca="1" si="131"/>
        <v>-8096.7686666666668</v>
      </c>
      <c r="AC115" s="136">
        <f t="shared" ca="1" si="131"/>
        <v>-8096.7686666666668</v>
      </c>
      <c r="AD115" s="136">
        <f t="shared" ca="1" si="131"/>
        <v>-8096.7686666666668</v>
      </c>
      <c r="AE115" s="136">
        <f t="shared" ca="1" si="131"/>
        <v>-8096.7686666666668</v>
      </c>
      <c r="AF115" s="136">
        <f t="shared" ca="1" si="131"/>
        <v>-8096.7686666666668</v>
      </c>
      <c r="AG115" s="136">
        <f t="shared" ca="1" si="131"/>
        <v>-8096.7686666666668</v>
      </c>
      <c r="AH115" s="136">
        <f t="shared" ca="1" si="131"/>
        <v>-8096.7686666666668</v>
      </c>
      <c r="AI115" s="136">
        <f t="shared" ca="1" si="131"/>
        <v>-8096.7686666666668</v>
      </c>
      <c r="AJ115" s="136">
        <f t="shared" ca="1" si="131"/>
        <v>-8096.7686666666668</v>
      </c>
      <c r="AK115" s="136">
        <f t="shared" ca="1" si="131"/>
        <v>-8096.7686666666668</v>
      </c>
      <c r="AL115" s="136">
        <f t="shared" ca="1" si="131"/>
        <v>-8096.7686666666668</v>
      </c>
      <c r="AM115" s="136">
        <f t="shared" ca="1" si="131"/>
        <v>-8096.7686666666668</v>
      </c>
      <c r="AN115" s="136">
        <f t="shared" ca="1" si="131"/>
        <v>-8096.7686666666668</v>
      </c>
      <c r="AO115" s="136">
        <f t="shared" ref="AO115:BT115" ca="1" si="132">-CumulEquityInvested*AssetManagementFee/12*(Today&lt;=ExitDate)</f>
        <v>-8096.7686666666668</v>
      </c>
      <c r="AP115" s="136">
        <f t="shared" ca="1" si="132"/>
        <v>-8096.7686666666668</v>
      </c>
      <c r="AQ115" s="136">
        <f t="shared" ca="1" si="132"/>
        <v>-8096.7686666666668</v>
      </c>
      <c r="AR115" s="136">
        <f t="shared" ca="1" si="132"/>
        <v>-8096.7686666666668</v>
      </c>
      <c r="AS115" s="136">
        <f t="shared" ca="1" si="132"/>
        <v>0</v>
      </c>
      <c r="AT115" s="136">
        <f t="shared" ca="1" si="132"/>
        <v>0</v>
      </c>
      <c r="AU115" s="136">
        <f t="shared" ca="1" si="132"/>
        <v>0</v>
      </c>
      <c r="AV115" s="136">
        <f t="shared" ca="1" si="132"/>
        <v>0</v>
      </c>
      <c r="AW115" s="136">
        <f t="shared" ca="1" si="132"/>
        <v>0</v>
      </c>
      <c r="AX115" s="136">
        <f t="shared" ca="1" si="132"/>
        <v>0</v>
      </c>
      <c r="AY115" s="136">
        <f t="shared" ca="1" si="132"/>
        <v>0</v>
      </c>
      <c r="AZ115" s="136">
        <f t="shared" ca="1" si="132"/>
        <v>0</v>
      </c>
      <c r="BA115" s="136">
        <f t="shared" ca="1" si="132"/>
        <v>0</v>
      </c>
      <c r="BB115" s="136">
        <f t="shared" ca="1" si="132"/>
        <v>0</v>
      </c>
      <c r="BC115" s="136">
        <f t="shared" ca="1" si="132"/>
        <v>0</v>
      </c>
      <c r="BD115" s="136">
        <f t="shared" ca="1" si="132"/>
        <v>0</v>
      </c>
      <c r="BE115" s="136">
        <f t="shared" ca="1" si="132"/>
        <v>0</v>
      </c>
      <c r="BF115" s="136">
        <f t="shared" ca="1" si="132"/>
        <v>0</v>
      </c>
      <c r="BG115" s="136">
        <f t="shared" ca="1" si="132"/>
        <v>0</v>
      </c>
      <c r="BH115" s="136">
        <f t="shared" ca="1" si="132"/>
        <v>0</v>
      </c>
      <c r="BI115" s="136">
        <f t="shared" ca="1" si="132"/>
        <v>0</v>
      </c>
      <c r="BJ115" s="136">
        <f t="shared" ca="1" si="132"/>
        <v>0</v>
      </c>
      <c r="BK115" s="136">
        <f t="shared" ca="1" si="132"/>
        <v>0</v>
      </c>
      <c r="BL115" s="136">
        <f t="shared" ca="1" si="132"/>
        <v>0</v>
      </c>
      <c r="BM115" s="136">
        <f t="shared" ca="1" si="132"/>
        <v>0</v>
      </c>
      <c r="BN115" s="136">
        <f t="shared" ca="1" si="132"/>
        <v>0</v>
      </c>
      <c r="BO115" s="136">
        <f t="shared" ca="1" si="132"/>
        <v>0</v>
      </c>
      <c r="BP115" s="136">
        <f t="shared" ca="1" si="132"/>
        <v>0</v>
      </c>
      <c r="BQ115" s="136">
        <f t="shared" ca="1" si="132"/>
        <v>0</v>
      </c>
      <c r="BR115" s="136">
        <f t="shared" ca="1" si="132"/>
        <v>0</v>
      </c>
      <c r="BS115" s="136">
        <f t="shared" ca="1" si="132"/>
        <v>0</v>
      </c>
      <c r="BT115" s="136">
        <f t="shared" ca="1" si="132"/>
        <v>0</v>
      </c>
      <c r="BU115" s="136">
        <f t="shared" ref="AD115:CO115" ca="1" si="133">-CumulEquityInvested*AssetManagementFee/12*(Today&lt;=ExitDate)</f>
        <v>0</v>
      </c>
      <c r="BV115" s="136">
        <f t="shared" ca="1" si="133"/>
        <v>0</v>
      </c>
      <c r="BW115" s="136">
        <f t="shared" ca="1" si="133"/>
        <v>0</v>
      </c>
      <c r="BX115" s="136">
        <f t="shared" ca="1" si="133"/>
        <v>0</v>
      </c>
      <c r="BY115" s="136">
        <f t="shared" ca="1" si="133"/>
        <v>0</v>
      </c>
      <c r="BZ115" s="136">
        <f t="shared" ca="1" si="133"/>
        <v>0</v>
      </c>
      <c r="CA115" s="136">
        <f t="shared" ca="1" si="133"/>
        <v>0</v>
      </c>
      <c r="CB115" s="136">
        <f t="shared" ca="1" si="133"/>
        <v>0</v>
      </c>
      <c r="CC115" s="136">
        <f t="shared" ca="1" si="133"/>
        <v>0</v>
      </c>
      <c r="CD115" s="136">
        <f t="shared" ca="1" si="133"/>
        <v>0</v>
      </c>
      <c r="CE115" s="136">
        <f t="shared" ca="1" si="133"/>
        <v>0</v>
      </c>
      <c r="CF115" s="136">
        <f t="shared" ca="1" si="133"/>
        <v>0</v>
      </c>
      <c r="CG115" s="136">
        <f t="shared" ca="1" si="133"/>
        <v>0</v>
      </c>
      <c r="CH115" s="136">
        <f t="shared" ca="1" si="133"/>
        <v>0</v>
      </c>
      <c r="CI115" s="136">
        <f t="shared" ca="1" si="133"/>
        <v>0</v>
      </c>
      <c r="CJ115" s="136">
        <f t="shared" ca="1" si="133"/>
        <v>0</v>
      </c>
      <c r="CK115" s="136">
        <f t="shared" ca="1" si="133"/>
        <v>0</v>
      </c>
      <c r="CL115" s="136">
        <f t="shared" ca="1" si="133"/>
        <v>0</v>
      </c>
      <c r="CM115" s="136">
        <f t="shared" ca="1" si="133"/>
        <v>0</v>
      </c>
      <c r="CN115" s="136">
        <f t="shared" ca="1" si="133"/>
        <v>0</v>
      </c>
      <c r="CO115" s="136">
        <f t="shared" ca="1" si="133"/>
        <v>0</v>
      </c>
      <c r="CP115" s="133" t="s">
        <v>15</v>
      </c>
    </row>
    <row r="116" spans="1:94" ht="15" customHeight="1" x14ac:dyDescent="0.2">
      <c r="B116" s="136">
        <f ca="1">SUM(I116:CO116)</f>
        <v>-62209.358048518152</v>
      </c>
      <c r="D116" s="259" t="s">
        <v>199</v>
      </c>
      <c r="E116" s="269"/>
      <c r="F116" s="133" t="s">
        <v>242</v>
      </c>
      <c r="H116" s="286">
        <v>5.0000000000000001E-3</v>
      </c>
      <c r="I116" s="136">
        <f ca="1">-SUM(I47:I53)*DispositionFee*(Today=ExitDate)</f>
        <v>0</v>
      </c>
      <c r="J116" s="136">
        <f t="shared" ref="J116:AN116" ca="1" si="134">-SUM(J47:J53)*DispositionFee*(Today=ExitDate)</f>
        <v>0</v>
      </c>
      <c r="K116" s="136">
        <f t="shared" ca="1" si="134"/>
        <v>0</v>
      </c>
      <c r="L116" s="136">
        <f t="shared" ca="1" si="134"/>
        <v>0</v>
      </c>
      <c r="M116" s="136">
        <f t="shared" ca="1" si="134"/>
        <v>0</v>
      </c>
      <c r="N116" s="136">
        <f t="shared" ca="1" si="134"/>
        <v>0</v>
      </c>
      <c r="O116" s="136">
        <f t="shared" ca="1" si="134"/>
        <v>0</v>
      </c>
      <c r="P116" s="136">
        <f t="shared" ca="1" si="134"/>
        <v>0</v>
      </c>
      <c r="Q116" s="136">
        <f t="shared" ca="1" si="134"/>
        <v>0</v>
      </c>
      <c r="R116" s="136">
        <f t="shared" ca="1" si="134"/>
        <v>0</v>
      </c>
      <c r="S116" s="136">
        <f t="shared" ca="1" si="134"/>
        <v>0</v>
      </c>
      <c r="T116" s="136">
        <f t="shared" ca="1" si="134"/>
        <v>0</v>
      </c>
      <c r="U116" s="136">
        <f t="shared" ca="1" si="134"/>
        <v>0</v>
      </c>
      <c r="V116" s="136">
        <f t="shared" ca="1" si="134"/>
        <v>0</v>
      </c>
      <c r="W116" s="136">
        <f t="shared" ca="1" si="134"/>
        <v>0</v>
      </c>
      <c r="X116" s="136">
        <f t="shared" ca="1" si="134"/>
        <v>0</v>
      </c>
      <c r="Y116" s="136">
        <f t="shared" ca="1" si="134"/>
        <v>0</v>
      </c>
      <c r="Z116" s="136">
        <f t="shared" ca="1" si="134"/>
        <v>0</v>
      </c>
      <c r="AA116" s="136">
        <f t="shared" ca="1" si="134"/>
        <v>0</v>
      </c>
      <c r="AB116" s="136">
        <f t="shared" ca="1" si="134"/>
        <v>0</v>
      </c>
      <c r="AC116" s="136">
        <f t="shared" ca="1" si="134"/>
        <v>0</v>
      </c>
      <c r="AD116" s="136">
        <f t="shared" ca="1" si="134"/>
        <v>0</v>
      </c>
      <c r="AE116" s="136">
        <f t="shared" ca="1" si="134"/>
        <v>0</v>
      </c>
      <c r="AF116" s="136">
        <f t="shared" ca="1" si="134"/>
        <v>0</v>
      </c>
      <c r="AG116" s="136">
        <f t="shared" ca="1" si="134"/>
        <v>0</v>
      </c>
      <c r="AH116" s="136">
        <f t="shared" ca="1" si="134"/>
        <v>0</v>
      </c>
      <c r="AI116" s="136">
        <f t="shared" ca="1" si="134"/>
        <v>0</v>
      </c>
      <c r="AJ116" s="136">
        <f t="shared" ca="1" si="134"/>
        <v>0</v>
      </c>
      <c r="AK116" s="136">
        <f t="shared" ca="1" si="134"/>
        <v>0</v>
      </c>
      <c r="AL116" s="136">
        <f t="shared" ca="1" si="134"/>
        <v>0</v>
      </c>
      <c r="AM116" s="136">
        <f t="shared" ca="1" si="134"/>
        <v>0</v>
      </c>
      <c r="AN116" s="136">
        <f t="shared" ca="1" si="134"/>
        <v>0</v>
      </c>
      <c r="AO116" s="136">
        <f t="shared" ref="AO116:BT116" ca="1" si="135">-SUM(AO47:AO53)*DispositionFee*(Today=ExitDate)</f>
        <v>0</v>
      </c>
      <c r="AP116" s="136">
        <f t="shared" ca="1" si="135"/>
        <v>0</v>
      </c>
      <c r="AQ116" s="136">
        <f t="shared" ca="1" si="135"/>
        <v>0</v>
      </c>
      <c r="AR116" s="136">
        <f t="shared" ca="1" si="135"/>
        <v>0</v>
      </c>
      <c r="AS116" s="136">
        <f t="shared" ca="1" si="135"/>
        <v>0</v>
      </c>
      <c r="AT116" s="136">
        <f t="shared" ca="1" si="135"/>
        <v>0</v>
      </c>
      <c r="AU116" s="136">
        <f t="shared" ca="1" si="135"/>
        <v>0</v>
      </c>
      <c r="AV116" s="136">
        <f t="shared" ca="1" si="135"/>
        <v>0</v>
      </c>
      <c r="AW116" s="136">
        <f t="shared" ca="1" si="135"/>
        <v>0</v>
      </c>
      <c r="AX116" s="136">
        <f t="shared" ca="1" si="135"/>
        <v>0</v>
      </c>
      <c r="AY116" s="136">
        <f t="shared" ca="1" si="135"/>
        <v>0</v>
      </c>
      <c r="AZ116" s="136">
        <f t="shared" ca="1" si="135"/>
        <v>0</v>
      </c>
      <c r="BA116" s="136">
        <f t="shared" ca="1" si="135"/>
        <v>0</v>
      </c>
      <c r="BB116" s="136">
        <f t="shared" ca="1" si="135"/>
        <v>0</v>
      </c>
      <c r="BC116" s="136">
        <f t="shared" ca="1" si="135"/>
        <v>0</v>
      </c>
      <c r="BD116" s="136">
        <f t="shared" ca="1" si="135"/>
        <v>0</v>
      </c>
      <c r="BE116" s="136">
        <f t="shared" ca="1" si="135"/>
        <v>0</v>
      </c>
      <c r="BF116" s="136">
        <f t="shared" ca="1" si="135"/>
        <v>0</v>
      </c>
      <c r="BG116" s="136">
        <f t="shared" ca="1" si="135"/>
        <v>0</v>
      </c>
      <c r="BH116" s="136">
        <f t="shared" ca="1" si="135"/>
        <v>0</v>
      </c>
      <c r="BI116" s="136">
        <f t="shared" ca="1" si="135"/>
        <v>0</v>
      </c>
      <c r="BJ116" s="136">
        <f t="shared" ca="1" si="135"/>
        <v>0</v>
      </c>
      <c r="BK116" s="136">
        <f t="shared" ca="1" si="135"/>
        <v>0</v>
      </c>
      <c r="BL116" s="136">
        <f t="shared" ca="1" si="135"/>
        <v>0</v>
      </c>
      <c r="BM116" s="136">
        <f t="shared" ca="1" si="135"/>
        <v>0</v>
      </c>
      <c r="BN116" s="136">
        <f t="shared" ca="1" si="135"/>
        <v>0</v>
      </c>
      <c r="BO116" s="136">
        <f t="shared" ca="1" si="135"/>
        <v>0</v>
      </c>
      <c r="BP116" s="136">
        <f t="shared" ca="1" si="135"/>
        <v>0</v>
      </c>
      <c r="BQ116" s="136">
        <f t="shared" ca="1" si="135"/>
        <v>0</v>
      </c>
      <c r="BR116" s="136">
        <f t="shared" ca="1" si="135"/>
        <v>0</v>
      </c>
      <c r="BS116" s="136">
        <f t="shared" ca="1" si="135"/>
        <v>0</v>
      </c>
      <c r="BT116" s="136">
        <f t="shared" ca="1" si="135"/>
        <v>0</v>
      </c>
      <c r="BU116" s="136">
        <f t="shared" ref="BU116:CO116" ca="1" si="136">-SUM(BU47:BU53)*DispositionFee*(Today=ExitDate)</f>
        <v>0</v>
      </c>
      <c r="BV116" s="136">
        <f t="shared" ca="1" si="136"/>
        <v>0</v>
      </c>
      <c r="BW116" s="136">
        <f t="shared" ca="1" si="136"/>
        <v>0</v>
      </c>
      <c r="BX116" s="136">
        <f t="shared" ca="1" si="136"/>
        <v>0</v>
      </c>
      <c r="BY116" s="136">
        <f t="shared" ca="1" si="136"/>
        <v>0</v>
      </c>
      <c r="BZ116" s="136">
        <f t="shared" ca="1" si="136"/>
        <v>0</v>
      </c>
      <c r="CA116" s="136">
        <f t="shared" ca="1" si="136"/>
        <v>0</v>
      </c>
      <c r="CB116" s="136">
        <f t="shared" ca="1" si="136"/>
        <v>0</v>
      </c>
      <c r="CC116" s="136">
        <f t="shared" ca="1" si="136"/>
        <v>-62209.358048518152</v>
      </c>
      <c r="CD116" s="136">
        <f t="shared" ca="1" si="136"/>
        <v>0</v>
      </c>
      <c r="CE116" s="136">
        <f t="shared" ca="1" si="136"/>
        <v>0</v>
      </c>
      <c r="CF116" s="136">
        <f t="shared" ca="1" si="136"/>
        <v>0</v>
      </c>
      <c r="CG116" s="136">
        <f t="shared" ca="1" si="136"/>
        <v>0</v>
      </c>
      <c r="CH116" s="136">
        <f t="shared" ca="1" si="136"/>
        <v>0</v>
      </c>
      <c r="CI116" s="136">
        <f t="shared" ca="1" si="136"/>
        <v>0</v>
      </c>
      <c r="CJ116" s="136">
        <f t="shared" ca="1" si="136"/>
        <v>0</v>
      </c>
      <c r="CK116" s="136">
        <f t="shared" ca="1" si="136"/>
        <v>0</v>
      </c>
      <c r="CL116" s="136">
        <f t="shared" ca="1" si="136"/>
        <v>0</v>
      </c>
      <c r="CM116" s="136">
        <f t="shared" ca="1" si="136"/>
        <v>0</v>
      </c>
      <c r="CN116" s="136">
        <f t="shared" ca="1" si="136"/>
        <v>0</v>
      </c>
      <c r="CO116" s="136">
        <f t="shared" ca="1" si="136"/>
        <v>0</v>
      </c>
      <c r="CP116" s="133" t="s">
        <v>15</v>
      </c>
    </row>
    <row r="117" spans="1:94" ht="15" customHeight="1" x14ac:dyDescent="0.2">
      <c r="F117" s="133" t="s">
        <v>243</v>
      </c>
      <c r="H117" s="243"/>
      <c r="I117" s="136">
        <f ca="1">SUM(I113:I116)</f>
        <v>-8230674.0506961914</v>
      </c>
      <c r="J117" s="136">
        <f t="shared" ref="J117:BU117" ca="1" si="137">SUM(J113:J116)</f>
        <v>-317092.54530666658</v>
      </c>
      <c r="K117" s="136">
        <f t="shared" ca="1" si="137"/>
        <v>-317300.16848857136</v>
      </c>
      <c r="L117" s="136">
        <f t="shared" ca="1" si="137"/>
        <v>-340863.15153714281</v>
      </c>
      <c r="M117" s="136">
        <f t="shared" ca="1" si="137"/>
        <v>-323569.8146857142</v>
      </c>
      <c r="N117" s="136">
        <f t="shared" ca="1" si="137"/>
        <v>-274735.07211428572</v>
      </c>
      <c r="O117" s="136">
        <f t="shared" ca="1" si="137"/>
        <v>-462427.27727619046</v>
      </c>
      <c r="P117" s="136">
        <f t="shared" ca="1" si="137"/>
        <v>-704459.01495283213</v>
      </c>
      <c r="Q117" s="136">
        <f t="shared" ca="1" si="137"/>
        <v>-704923.82262947364</v>
      </c>
      <c r="R117" s="136">
        <f t="shared" ca="1" si="137"/>
        <v>-584788.26806516084</v>
      </c>
      <c r="S117" s="136">
        <f t="shared" ca="1" si="137"/>
        <v>-8096.7686666666668</v>
      </c>
      <c r="T117" s="136">
        <f t="shared" ca="1" si="137"/>
        <v>-8096.7686666666668</v>
      </c>
      <c r="U117" s="136">
        <f t="shared" ca="1" si="137"/>
        <v>-8096.7686666666668</v>
      </c>
      <c r="V117" s="136">
        <f t="shared" ca="1" si="137"/>
        <v>-8096.7686666666668</v>
      </c>
      <c r="W117" s="136">
        <f t="shared" ca="1" si="137"/>
        <v>-8096.7686666666668</v>
      </c>
      <c r="X117" s="136">
        <f t="shared" ca="1" si="137"/>
        <v>-8096.7686666666668</v>
      </c>
      <c r="Y117" s="136">
        <f t="shared" ca="1" si="137"/>
        <v>-8096.7686666666668</v>
      </c>
      <c r="Z117" s="136">
        <f t="shared" ca="1" si="137"/>
        <v>-8096.7686666666668</v>
      </c>
      <c r="AA117" s="136">
        <f t="shared" ca="1" si="137"/>
        <v>-8096.7686666666668</v>
      </c>
      <c r="AB117" s="136">
        <f t="shared" ca="1" si="137"/>
        <v>-8096.7686666666668</v>
      </c>
      <c r="AC117" s="136">
        <f t="shared" ca="1" si="137"/>
        <v>-8096.7686666666668</v>
      </c>
      <c r="AD117" s="136">
        <f t="shared" ca="1" si="137"/>
        <v>-8096.7686666666668</v>
      </c>
      <c r="AE117" s="136">
        <f t="shared" ca="1" si="137"/>
        <v>-8096.7686666666668</v>
      </c>
      <c r="AF117" s="136">
        <f t="shared" ca="1" si="137"/>
        <v>-8096.7686666666668</v>
      </c>
      <c r="AG117" s="136">
        <f t="shared" ca="1" si="137"/>
        <v>-8096.7686666666668</v>
      </c>
      <c r="AH117" s="136">
        <f t="shared" ca="1" si="137"/>
        <v>-8096.7686666666668</v>
      </c>
      <c r="AI117" s="136">
        <f t="shared" ca="1" si="137"/>
        <v>-8096.7686666666668</v>
      </c>
      <c r="AJ117" s="136">
        <f t="shared" ca="1" si="137"/>
        <v>-8096.7686666666668</v>
      </c>
      <c r="AK117" s="136">
        <f t="shared" ca="1" si="137"/>
        <v>-8096.7686666666668</v>
      </c>
      <c r="AL117" s="136">
        <f t="shared" ca="1" si="137"/>
        <v>-8096.7686666666668</v>
      </c>
      <c r="AM117" s="136">
        <f t="shared" ca="1" si="137"/>
        <v>-8096.7686666666668</v>
      </c>
      <c r="AN117" s="136">
        <f t="shared" ca="1" si="137"/>
        <v>-8096.7686666666668</v>
      </c>
      <c r="AO117" s="136">
        <f t="shared" ca="1" si="137"/>
        <v>-8096.7686666666668</v>
      </c>
      <c r="AP117" s="136">
        <f t="shared" ca="1" si="137"/>
        <v>-8096.7686666666668</v>
      </c>
      <c r="AQ117" s="136">
        <f t="shared" ca="1" si="137"/>
        <v>-8096.7686666666668</v>
      </c>
      <c r="AR117" s="136">
        <f t="shared" ca="1" si="137"/>
        <v>-8096.7686666666668</v>
      </c>
      <c r="AS117" s="136">
        <f t="shared" ca="1" si="137"/>
        <v>20377454.355182163</v>
      </c>
      <c r="AT117" s="136">
        <f t="shared" ca="1" si="137"/>
        <v>110073.79706883527</v>
      </c>
      <c r="AU117" s="136">
        <f t="shared" ca="1" si="137"/>
        <v>110073.79706883527</v>
      </c>
      <c r="AV117" s="136">
        <f t="shared" ca="1" si="137"/>
        <v>110073.79706883527</v>
      </c>
      <c r="AW117" s="136">
        <f t="shared" ca="1" si="137"/>
        <v>110073.79706883527</v>
      </c>
      <c r="AX117" s="136">
        <f t="shared" ca="1" si="137"/>
        <v>110073.79706883527</v>
      </c>
      <c r="AY117" s="136">
        <f t="shared" ca="1" si="137"/>
        <v>110073.79706883527</v>
      </c>
      <c r="AZ117" s="136">
        <f t="shared" ca="1" si="137"/>
        <v>110073.79706883527</v>
      </c>
      <c r="BA117" s="136">
        <f t="shared" ca="1" si="137"/>
        <v>110073.79706883527</v>
      </c>
      <c r="BB117" s="136">
        <f t="shared" ca="1" si="137"/>
        <v>110073.79706883527</v>
      </c>
      <c r="BC117" s="136">
        <f t="shared" ca="1" si="137"/>
        <v>110073.79706883527</v>
      </c>
      <c r="BD117" s="136">
        <f t="shared" ca="1" si="137"/>
        <v>110073.79706883527</v>
      </c>
      <c r="BE117" s="136">
        <f t="shared" ca="1" si="137"/>
        <v>110073.79706883527</v>
      </c>
      <c r="BF117" s="136">
        <f t="shared" ca="1" si="137"/>
        <v>92276.448121092428</v>
      </c>
      <c r="BG117" s="136">
        <f t="shared" ca="1" si="137"/>
        <v>92276.448121092428</v>
      </c>
      <c r="BH117" s="136">
        <f t="shared" ca="1" si="137"/>
        <v>92276.448121092428</v>
      </c>
      <c r="BI117" s="136">
        <f t="shared" ca="1" si="137"/>
        <v>92276.448121092428</v>
      </c>
      <c r="BJ117" s="136">
        <f t="shared" ca="1" si="137"/>
        <v>92276.448121092428</v>
      </c>
      <c r="BK117" s="136">
        <f t="shared" ca="1" si="137"/>
        <v>92276.448121092428</v>
      </c>
      <c r="BL117" s="136">
        <f t="shared" ca="1" si="137"/>
        <v>92276.448121092428</v>
      </c>
      <c r="BM117" s="136">
        <f t="shared" ca="1" si="137"/>
        <v>92276.448121092428</v>
      </c>
      <c r="BN117" s="136">
        <f t="shared" ca="1" si="137"/>
        <v>92276.448121092428</v>
      </c>
      <c r="BO117" s="136">
        <f t="shared" ca="1" si="137"/>
        <v>92276.448121092428</v>
      </c>
      <c r="BP117" s="136">
        <f t="shared" ca="1" si="137"/>
        <v>92276.448121092428</v>
      </c>
      <c r="BQ117" s="136">
        <f t="shared" ca="1" si="137"/>
        <v>92276.448121092428</v>
      </c>
      <c r="BR117" s="136">
        <f t="shared" ca="1" si="137"/>
        <v>106921.35986988785</v>
      </c>
      <c r="BS117" s="136">
        <f t="shared" ca="1" si="137"/>
        <v>106921.35986988785</v>
      </c>
      <c r="BT117" s="136">
        <f t="shared" ca="1" si="137"/>
        <v>106921.35986988785</v>
      </c>
      <c r="BU117" s="136">
        <f t="shared" ca="1" si="137"/>
        <v>106921.35986988785</v>
      </c>
      <c r="BV117" s="136">
        <f t="shared" ref="BV117:CO117" ca="1" si="138">SUM(BV113:BV116)</f>
        <v>106921.35986988785</v>
      </c>
      <c r="BW117" s="136">
        <f t="shared" ca="1" si="138"/>
        <v>106921.35986988785</v>
      </c>
      <c r="BX117" s="136">
        <f t="shared" ca="1" si="138"/>
        <v>106921.35986988785</v>
      </c>
      <c r="BY117" s="136">
        <f t="shared" ca="1" si="138"/>
        <v>106921.35986988785</v>
      </c>
      <c r="BZ117" s="136">
        <f t="shared" ca="1" si="138"/>
        <v>106921.35986988785</v>
      </c>
      <c r="CA117" s="136">
        <f t="shared" ca="1" si="138"/>
        <v>106921.35986988785</v>
      </c>
      <c r="CB117" s="136">
        <f t="shared" ca="1" si="138"/>
        <v>106921.35986988785</v>
      </c>
      <c r="CC117" s="136">
        <f t="shared" ca="1" si="138"/>
        <v>12719474.3621164</v>
      </c>
      <c r="CD117" s="136">
        <f t="shared" ca="1" si="138"/>
        <v>0</v>
      </c>
      <c r="CE117" s="136">
        <f t="shared" ca="1" si="138"/>
        <v>0</v>
      </c>
      <c r="CF117" s="136">
        <f t="shared" ca="1" si="138"/>
        <v>0</v>
      </c>
      <c r="CG117" s="136">
        <f t="shared" ca="1" si="138"/>
        <v>0</v>
      </c>
      <c r="CH117" s="136">
        <f t="shared" ca="1" si="138"/>
        <v>0</v>
      </c>
      <c r="CI117" s="136">
        <f t="shared" ca="1" si="138"/>
        <v>0</v>
      </c>
      <c r="CJ117" s="136">
        <f t="shared" ca="1" si="138"/>
        <v>0</v>
      </c>
      <c r="CK117" s="136">
        <f t="shared" ca="1" si="138"/>
        <v>0</v>
      </c>
      <c r="CL117" s="136">
        <f t="shared" ca="1" si="138"/>
        <v>0</v>
      </c>
      <c r="CM117" s="136">
        <f t="shared" ca="1" si="138"/>
        <v>0</v>
      </c>
      <c r="CN117" s="136">
        <f t="shared" ca="1" si="138"/>
        <v>0</v>
      </c>
      <c r="CO117" s="136">
        <f t="shared" ca="1" si="138"/>
        <v>0</v>
      </c>
      <c r="CP117" s="133" t="s">
        <v>15</v>
      </c>
    </row>
    <row r="118" spans="1:94" ht="6" customHeight="1" x14ac:dyDescent="0.2">
      <c r="F118" s="133"/>
      <c r="G118" s="133"/>
      <c r="H118" s="133"/>
      <c r="I118" s="133"/>
      <c r="J118" s="133"/>
      <c r="K118" s="133"/>
      <c r="L118" s="133"/>
      <c r="M118" s="257"/>
      <c r="N118" s="257"/>
      <c r="O118" s="257"/>
      <c r="P118" s="257"/>
      <c r="Q118" s="257"/>
      <c r="R118" s="257"/>
      <c r="S118" s="257"/>
      <c r="T118" s="257"/>
      <c r="U118" s="257"/>
      <c r="V118" s="257"/>
      <c r="W118" s="257"/>
      <c r="X118" s="257"/>
      <c r="Y118" s="257"/>
      <c r="Z118" s="257"/>
      <c r="AA118" s="257"/>
      <c r="AB118" s="257"/>
      <c r="AC118" s="257"/>
      <c r="AD118" s="257"/>
      <c r="AE118" s="257"/>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57"/>
      <c r="BK118" s="257"/>
      <c r="BL118" s="257"/>
      <c r="BM118" s="257"/>
      <c r="BN118" s="257"/>
      <c r="BO118" s="257"/>
      <c r="BP118" s="257"/>
      <c r="BQ118" s="257"/>
      <c r="BR118" s="257"/>
      <c r="BS118" s="257"/>
      <c r="BT118" s="257"/>
      <c r="BU118" s="257"/>
      <c r="BV118" s="257"/>
      <c r="BW118" s="257"/>
      <c r="BX118" s="257"/>
      <c r="BY118" s="257"/>
      <c r="BZ118" s="257"/>
      <c r="CA118" s="257"/>
      <c r="CB118" s="257"/>
      <c r="CC118" s="257"/>
      <c r="CD118" s="257"/>
      <c r="CE118" s="257"/>
      <c r="CF118" s="257"/>
      <c r="CG118" s="257"/>
      <c r="CH118" s="257"/>
      <c r="CI118" s="257"/>
      <c r="CJ118" s="257"/>
      <c r="CK118" s="257"/>
      <c r="CL118" s="257"/>
      <c r="CM118" s="257"/>
      <c r="CN118" s="257"/>
      <c r="CO118" s="257"/>
      <c r="CP118" s="133"/>
    </row>
    <row r="119" spans="1:94" ht="15" customHeight="1" x14ac:dyDescent="0.2">
      <c r="H119" s="133" t="s">
        <v>246</v>
      </c>
      <c r="I119" s="136">
        <f ca="1">SUM(I114:CO116)</f>
        <v>-388405.52913408191</v>
      </c>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c r="BS119" s="133"/>
      <c r="BT119" s="133"/>
      <c r="BU119" s="133"/>
      <c r="BV119" s="133"/>
      <c r="BW119" s="133"/>
      <c r="BX119" s="133"/>
      <c r="BY119" s="133"/>
      <c r="BZ119" s="133"/>
      <c r="CA119" s="133"/>
      <c r="CB119" s="133"/>
      <c r="CC119" s="133"/>
      <c r="CD119" s="133"/>
      <c r="CE119" s="133"/>
      <c r="CF119" s="133"/>
      <c r="CG119" s="133"/>
      <c r="CH119" s="133"/>
      <c r="CI119" s="133"/>
      <c r="CJ119" s="133"/>
      <c r="CK119" s="133"/>
      <c r="CL119" s="133"/>
      <c r="CM119" s="133"/>
      <c r="CN119" s="133"/>
      <c r="CO119" s="133"/>
      <c r="CP119" s="133"/>
    </row>
    <row r="120" spans="1:94" ht="15" customHeight="1" x14ac:dyDescent="0.2"/>
    <row r="121" spans="1:94" ht="15" customHeight="1" x14ac:dyDescent="0.2">
      <c r="F121" s="272" t="s">
        <v>244</v>
      </c>
      <c r="G121" s="273"/>
      <c r="H121" s="273"/>
      <c r="I121" s="274">
        <f ca="1">XIRR($I117:$CO117,HoldingDates)</f>
        <v>0.33352790474891658</v>
      </c>
    </row>
    <row r="122" spans="1:94" ht="15" customHeight="1" x14ac:dyDescent="0.2">
      <c r="F122" s="275" t="s">
        <v>218</v>
      </c>
      <c r="I122" s="276">
        <f ca="1">SUMIF($I117:$CO117,"&gt;0")/-SUMIF($I117:$CO117,"&lt;0")</f>
        <v>2.942846528845271</v>
      </c>
    </row>
    <row r="123" spans="1:94" ht="15" customHeight="1" x14ac:dyDescent="0.2">
      <c r="F123" s="277" t="s">
        <v>220</v>
      </c>
      <c r="G123" s="278"/>
      <c r="H123" s="278"/>
      <c r="I123" s="279">
        <f ca="1">SUM(I117:CO117)</f>
        <v>24229917.447060935</v>
      </c>
    </row>
    <row r="124" spans="1:94" s="329" customFormat="1" x14ac:dyDescent="0.2">
      <c r="B124" s="330"/>
      <c r="C124" s="330"/>
      <c r="D124" s="330"/>
    </row>
    <row r="125" spans="1:94" s="329" customFormat="1" ht="10.35" customHeight="1" x14ac:dyDescent="0.2">
      <c r="A125" s="11"/>
      <c r="B125" s="338"/>
      <c r="C125" s="339"/>
      <c r="D125" s="339"/>
      <c r="E125" s="319"/>
      <c r="J125" s="319"/>
      <c r="K125" s="322"/>
      <c r="L125" s="323"/>
    </row>
    <row r="126" spans="1:94" s="329" customFormat="1" ht="15" customHeight="1" x14ac:dyDescent="0.2">
      <c r="A126" s="11"/>
      <c r="B126" s="338"/>
      <c r="C126" s="321" t="s">
        <v>18</v>
      </c>
      <c r="D126" s="338"/>
      <c r="E126" s="11"/>
      <c r="I126" s="321"/>
      <c r="N126" s="419"/>
      <c r="O126" s="419"/>
      <c r="P126" s="419"/>
    </row>
    <row r="127" spans="1:94" s="329" customFormat="1" ht="15" customHeight="1" x14ac:dyDescent="0.2">
      <c r="A127" s="11"/>
      <c r="B127" s="338"/>
      <c r="C127" s="321" t="s">
        <v>19</v>
      </c>
      <c r="D127" s="325"/>
      <c r="E127" s="325"/>
      <c r="I127" s="321"/>
      <c r="N127" s="419"/>
      <c r="O127" s="419"/>
      <c r="P127" s="419"/>
    </row>
    <row r="128" spans="1:94" s="329" customFormat="1" ht="15" customHeight="1" x14ac:dyDescent="0.2">
      <c r="A128" s="11"/>
      <c r="B128" s="338"/>
      <c r="C128" s="321" t="s">
        <v>20</v>
      </c>
      <c r="D128" s="338"/>
      <c r="E128" s="11"/>
      <c r="I128" s="321"/>
    </row>
    <row r="129" spans="2:12" s="329" customFormat="1" ht="15" customHeight="1" x14ac:dyDescent="0.2">
      <c r="B129" s="330"/>
      <c r="C129" s="330"/>
      <c r="D129" s="330"/>
      <c r="J129" s="319"/>
      <c r="K129" s="323"/>
      <c r="L129" s="326"/>
    </row>
    <row r="130" spans="2:12" s="329" customFormat="1" ht="18" x14ac:dyDescent="0.2">
      <c r="B130" s="330"/>
      <c r="C130" s="330"/>
      <c r="D130" s="330"/>
      <c r="J130" s="319"/>
      <c r="K130" s="319"/>
      <c r="L130" s="319"/>
    </row>
  </sheetData>
  <mergeCells count="8">
    <mergeCell ref="N126:P126"/>
    <mergeCell ref="N127:P127"/>
    <mergeCell ref="C4:D4"/>
    <mergeCell ref="F4:H4"/>
    <mergeCell ref="I4:J4"/>
    <mergeCell ref="K4:L4"/>
    <mergeCell ref="M4:N4"/>
    <mergeCell ref="O4:R4"/>
  </mergeCells>
  <pageMargins left="0.7" right="0.7" top="0.75" bottom="0.75" header="0.3" footer="0.3"/>
  <pageSetup scale="26" fitToWidth="3"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C934-17ED-4007-BCB9-FA67C291B6A3}">
  <sheetPr codeName="Sheet12">
    <tabColor theme="6" tint="-0.249977111117893"/>
    <pageSetUpPr fitToPage="1"/>
  </sheetPr>
  <dimension ref="A1:CP133"/>
  <sheetViews>
    <sheetView tabSelected="1" topLeftCell="A109" workbookViewId="0">
      <selection activeCell="G28" sqref="G28"/>
    </sheetView>
  </sheetViews>
  <sheetFormatPr defaultColWidth="8.85546875" defaultRowHeight="14.25" outlineLevelRow="1" outlineLevelCol="1" x14ac:dyDescent="0.2"/>
  <cols>
    <col min="1" max="1" width="4.28515625" style="131" customWidth="1"/>
    <col min="2" max="2" width="13.7109375" style="133" hidden="1" customWidth="1" outlineLevel="1"/>
    <col min="3" max="3" width="63.5703125" style="133" hidden="1" customWidth="1" outlineLevel="1"/>
    <col min="4" max="4" width="8.85546875" style="133" hidden="1" customWidth="1" outlineLevel="1"/>
    <col min="5" max="5" width="2.5703125" style="131" hidden="1" customWidth="1" outlineLevel="1"/>
    <col min="6" max="6" width="13.7109375" style="131" customWidth="1" collapsed="1"/>
    <col min="7" max="97" width="13.7109375" style="131" customWidth="1"/>
    <col min="98" max="16384" width="8.85546875" style="131"/>
  </cols>
  <sheetData>
    <row r="1" spans="1:34" s="16" customFormat="1" x14ac:dyDescent="0.2">
      <c r="B1" s="133"/>
      <c r="C1" s="133"/>
      <c r="D1" s="133"/>
      <c r="L1" s="133"/>
      <c r="M1" s="133"/>
      <c r="N1" s="133"/>
      <c r="O1" s="133"/>
      <c r="P1" s="133"/>
      <c r="Q1" s="133"/>
      <c r="R1" s="133"/>
      <c r="S1" s="133"/>
      <c r="T1" s="133"/>
      <c r="U1" s="133"/>
      <c r="V1" s="133"/>
      <c r="W1" s="133"/>
      <c r="X1" s="133"/>
      <c r="Y1" s="133"/>
      <c r="Z1" s="133"/>
      <c r="AA1" s="133"/>
      <c r="AB1" s="133"/>
      <c r="AC1" s="133"/>
      <c r="AD1" s="133"/>
      <c r="AE1" s="133"/>
      <c r="AF1" s="133"/>
      <c r="AG1" s="133"/>
      <c r="AH1" s="133"/>
    </row>
    <row r="2" spans="1:34" s="210" customFormat="1" ht="20.25" x14ac:dyDescent="0.3">
      <c r="A2" s="17"/>
      <c r="B2" s="236"/>
      <c r="C2" s="237"/>
      <c r="D2" s="237"/>
      <c r="E2" s="18"/>
      <c r="F2" s="18" t="str">
        <f>Inputs!B2</f>
        <v>Comparing Complex Deal Structures</v>
      </c>
      <c r="G2" s="18"/>
      <c r="H2" s="18"/>
      <c r="I2" s="18"/>
      <c r="J2" s="18"/>
      <c r="L2" s="133"/>
      <c r="M2" s="133"/>
      <c r="N2" s="133"/>
      <c r="O2" s="133"/>
      <c r="P2" s="133"/>
      <c r="Q2" s="133"/>
      <c r="R2" s="133"/>
      <c r="S2" s="133"/>
      <c r="T2" s="133"/>
      <c r="U2" s="133"/>
      <c r="V2" s="133"/>
      <c r="W2" s="133"/>
      <c r="X2" s="133"/>
      <c r="Y2" s="133"/>
      <c r="Z2" s="133"/>
      <c r="AA2" s="133"/>
      <c r="AB2" s="133"/>
      <c r="AC2" s="133"/>
      <c r="AD2" s="133"/>
      <c r="AE2" s="133"/>
      <c r="AF2" s="133"/>
      <c r="AG2" s="133"/>
      <c r="AH2" s="133"/>
    </row>
    <row r="3" spans="1:34" s="14" customFormat="1" ht="15" customHeight="1" x14ac:dyDescent="0.25">
      <c r="B3" s="238"/>
      <c r="C3" s="239"/>
      <c r="D3" s="239"/>
      <c r="E3" s="109"/>
      <c r="F3" s="109"/>
      <c r="H3" s="15"/>
      <c r="K3" s="15"/>
      <c r="L3" s="25"/>
      <c r="M3" s="25"/>
      <c r="N3" s="25"/>
      <c r="O3" s="25"/>
      <c r="P3" s="25"/>
      <c r="Q3" s="25"/>
      <c r="R3" s="25"/>
      <c r="S3" s="25"/>
      <c r="T3" s="25"/>
      <c r="U3" s="25"/>
      <c r="V3" s="25"/>
      <c r="W3" s="25"/>
      <c r="X3" s="25"/>
      <c r="Y3" s="25"/>
      <c r="Z3" s="25"/>
      <c r="AA3" s="25"/>
      <c r="AB3" s="25"/>
      <c r="AC3" s="25"/>
      <c r="AD3" s="25"/>
      <c r="AE3" s="25"/>
      <c r="AF3" s="25"/>
      <c r="AG3" s="25"/>
      <c r="AH3" s="25"/>
    </row>
    <row r="4" spans="1:34" s="210" customFormat="1" ht="20.45" customHeight="1" x14ac:dyDescent="0.25">
      <c r="A4" s="20"/>
      <c r="B4" s="236"/>
      <c r="C4" s="424"/>
      <c r="D4" s="424"/>
      <c r="E4" s="240"/>
      <c r="F4" s="435" t="s">
        <v>148</v>
      </c>
      <c r="G4" s="435"/>
      <c r="H4" s="435"/>
      <c r="I4" s="424" t="s">
        <v>320</v>
      </c>
      <c r="J4" s="424"/>
      <c r="K4" s="420" t="str">
        <f ca="1">Scenario!E4</f>
        <v>Best Case</v>
      </c>
      <c r="L4" s="425"/>
      <c r="M4" s="424" t="s">
        <v>325</v>
      </c>
      <c r="N4" s="424"/>
      <c r="O4" s="420" t="s">
        <v>357</v>
      </c>
      <c r="P4" s="421"/>
      <c r="Q4" s="133"/>
      <c r="R4" s="133"/>
      <c r="S4" s="133"/>
      <c r="T4" s="133"/>
      <c r="U4" s="133"/>
      <c r="V4" s="133"/>
      <c r="W4" s="133"/>
      <c r="X4" s="133"/>
      <c r="Y4" s="133"/>
      <c r="Z4" s="133"/>
      <c r="AA4" s="133"/>
      <c r="AB4" s="133"/>
      <c r="AC4" s="133"/>
      <c r="AD4" s="133"/>
      <c r="AE4" s="133"/>
      <c r="AF4" s="133"/>
      <c r="AG4" s="133"/>
      <c r="AH4" s="133"/>
    </row>
    <row r="5" spans="1:34" s="21" customFormat="1" ht="10.15" customHeight="1" x14ac:dyDescent="0.25">
      <c r="B5" s="241"/>
      <c r="C5" s="242"/>
      <c r="D5" s="242"/>
      <c r="E5" s="23"/>
      <c r="F5" s="23"/>
      <c r="G5" s="14"/>
      <c r="H5" s="15"/>
      <c r="I5" s="14"/>
      <c r="J5" s="14"/>
      <c r="K5" s="23"/>
      <c r="L5" s="13"/>
      <c r="M5" s="13"/>
      <c r="N5" s="13"/>
      <c r="O5" s="13"/>
      <c r="P5" s="13"/>
      <c r="Q5" s="13"/>
      <c r="R5" s="13"/>
      <c r="S5" s="13"/>
      <c r="T5" s="13"/>
      <c r="U5" s="13"/>
      <c r="V5" s="13"/>
      <c r="W5" s="13"/>
      <c r="X5" s="13"/>
      <c r="Y5" s="13"/>
      <c r="Z5" s="13"/>
      <c r="AA5" s="13"/>
      <c r="AB5" s="13"/>
      <c r="AC5" s="13"/>
      <c r="AD5" s="13"/>
      <c r="AE5" s="13"/>
      <c r="AF5" s="13"/>
      <c r="AG5" s="13"/>
      <c r="AH5" s="13"/>
    </row>
    <row r="6" spans="1:34" ht="15" customHeight="1" outlineLevel="1" x14ac:dyDescent="0.2">
      <c r="F6" s="9" t="s">
        <v>367</v>
      </c>
      <c r="O6" s="9" t="s">
        <v>368</v>
      </c>
    </row>
    <row r="7" spans="1:34" ht="15" customHeight="1" outlineLevel="1" x14ac:dyDescent="0.2"/>
    <row r="8" spans="1:34" ht="15" customHeight="1" outlineLevel="1" x14ac:dyDescent="0.2">
      <c r="F8" s="5" t="s">
        <v>369</v>
      </c>
      <c r="G8" s="6"/>
      <c r="H8" s="6" t="s">
        <v>149</v>
      </c>
      <c r="I8" s="6" t="s">
        <v>370</v>
      </c>
      <c r="J8" s="5" t="s">
        <v>371</v>
      </c>
      <c r="K8" s="6"/>
      <c r="L8" s="6" t="s">
        <v>149</v>
      </c>
      <c r="M8" s="6" t="s">
        <v>73</v>
      </c>
      <c r="N8" s="243"/>
      <c r="O8" s="7" t="s">
        <v>372</v>
      </c>
      <c r="P8" s="8"/>
      <c r="Q8" s="8"/>
      <c r="R8" s="8"/>
      <c r="S8" s="7" t="s">
        <v>373</v>
      </c>
    </row>
    <row r="9" spans="1:34" ht="15" customHeight="1" outlineLevel="1" x14ac:dyDescent="0.2">
      <c r="F9" s="133" t="s">
        <v>151</v>
      </c>
      <c r="H9" s="138">
        <v>5000000</v>
      </c>
      <c r="I9" s="382">
        <f t="shared" ref="I9:I15" si="0">H9/NumberRooms</f>
        <v>20000</v>
      </c>
      <c r="J9" s="287" t="s">
        <v>150</v>
      </c>
      <c r="K9" s="243"/>
      <c r="L9" s="136">
        <f>ConstLoanOBalance</f>
        <v>12500000</v>
      </c>
      <c r="M9" s="244">
        <f>L9/H15</f>
        <v>0.42165408962470191</v>
      </c>
      <c r="N9" s="243"/>
      <c r="O9" s="133" t="s">
        <v>152</v>
      </c>
      <c r="Q9" s="243"/>
      <c r="R9" s="138">
        <v>12500000</v>
      </c>
      <c r="S9" s="287" t="s">
        <v>288</v>
      </c>
      <c r="V9" s="136">
        <f ca="1">V10/V11/V15</f>
        <v>35005242.318935432</v>
      </c>
    </row>
    <row r="10" spans="1:34" ht="15" customHeight="1" outlineLevel="1" x14ac:dyDescent="0.2">
      <c r="F10" s="133" t="s">
        <v>153</v>
      </c>
      <c r="H10" s="136">
        <f>SUM(Construction!D10:D13)+Construction!D26</f>
        <v>4600000</v>
      </c>
      <c r="I10" s="382">
        <f t="shared" si="0"/>
        <v>18400</v>
      </c>
      <c r="J10" s="287" t="s">
        <v>154</v>
      </c>
      <c r="K10" s="243"/>
      <c r="L10" s="136">
        <f>PreferredEquityOBalance</f>
        <v>5000000</v>
      </c>
      <c r="M10" s="244">
        <f>L10/$H$15</f>
        <v>0.16866163584988075</v>
      </c>
      <c r="N10" s="243"/>
      <c r="O10" s="133" t="s">
        <v>155</v>
      </c>
      <c r="Q10" s="243"/>
      <c r="R10" s="245">
        <v>0.01</v>
      </c>
      <c r="S10" s="287" t="s">
        <v>156</v>
      </c>
      <c r="U10" s="243"/>
      <c r="V10" s="136">
        <f ca="1">INDEX($I$36:$CO$36,MATCH(V16,$I$28:$CO$28,FALSE))</f>
        <v>3772830.1595806279</v>
      </c>
    </row>
    <row r="11" spans="1:34" ht="15" customHeight="1" outlineLevel="1" x14ac:dyDescent="0.2">
      <c r="F11" s="133" t="s">
        <v>125</v>
      </c>
      <c r="H11" s="136">
        <f>SUM(Construction!D14:D15,Construction!D25)</f>
        <v>17570000</v>
      </c>
      <c r="I11" s="382">
        <f t="shared" si="0"/>
        <v>70280</v>
      </c>
      <c r="J11" s="287" t="s">
        <v>157</v>
      </c>
      <c r="K11" s="243"/>
      <c r="L11" s="136">
        <f>TotalUses-SUM(L9:L10)</f>
        <v>12145153</v>
      </c>
      <c r="M11" s="244">
        <f>L11/$H$15</f>
        <v>0.40968427452541734</v>
      </c>
      <c r="N11" s="243"/>
      <c r="O11" s="133" t="s">
        <v>158</v>
      </c>
      <c r="Q11" s="243"/>
      <c r="R11" s="245">
        <v>4.4999999999999998E-2</v>
      </c>
      <c r="S11" s="287" t="s">
        <v>159</v>
      </c>
      <c r="U11" s="243"/>
      <c r="V11" s="246">
        <v>1.35</v>
      </c>
    </row>
    <row r="12" spans="1:34" ht="15" customHeight="1" outlineLevel="1" x14ac:dyDescent="0.2">
      <c r="F12" s="133" t="s">
        <v>160</v>
      </c>
      <c r="H12" s="136">
        <f>SUM(Construction!D29:D30)</f>
        <v>1350153</v>
      </c>
      <c r="I12" s="382">
        <f t="shared" si="0"/>
        <v>5400.6120000000001</v>
      </c>
      <c r="J12" s="288" t="s">
        <v>161</v>
      </c>
      <c r="K12" s="243"/>
      <c r="L12" s="136">
        <f>M12*$L$11</f>
        <v>1214515.3</v>
      </c>
      <c r="M12" s="247">
        <v>0.1</v>
      </c>
      <c r="N12" s="243"/>
      <c r="O12" s="133" t="s">
        <v>162</v>
      </c>
      <c r="Q12" s="243"/>
      <c r="R12" s="248">
        <f>H18</f>
        <v>44196</v>
      </c>
      <c r="S12" s="287" t="s">
        <v>155</v>
      </c>
      <c r="U12" s="243"/>
      <c r="V12" s="245">
        <v>0.01</v>
      </c>
    </row>
    <row r="13" spans="1:34" ht="15" customHeight="1" outlineLevel="1" x14ac:dyDescent="0.25">
      <c r="F13" s="133" t="s">
        <v>163</v>
      </c>
      <c r="H13" s="138">
        <v>1000000</v>
      </c>
      <c r="I13" s="382">
        <f t="shared" si="0"/>
        <v>4000</v>
      </c>
      <c r="J13" s="288" t="s">
        <v>164</v>
      </c>
      <c r="K13" s="243"/>
      <c r="L13" s="136">
        <f>M13*$L$11</f>
        <v>10930637.700000001</v>
      </c>
      <c r="M13" s="247">
        <f>1-M12</f>
        <v>0.9</v>
      </c>
      <c r="N13" s="243"/>
      <c r="O13" s="133" t="s">
        <v>165</v>
      </c>
      <c r="Q13" s="4">
        <v>3</v>
      </c>
      <c r="R13" s="249">
        <f>EOMONTH(R12,Q13*12)</f>
        <v>45291</v>
      </c>
      <c r="S13" s="287" t="s">
        <v>166</v>
      </c>
      <c r="U13" s="243"/>
      <c r="V13" s="245">
        <v>7.0000000000000007E-2</v>
      </c>
    </row>
    <row r="14" spans="1:34" ht="15" customHeight="1" outlineLevel="1" x14ac:dyDescent="0.2">
      <c r="F14" s="133" t="s">
        <v>155</v>
      </c>
      <c r="H14" s="136">
        <f>R10*L9</f>
        <v>125000</v>
      </c>
      <c r="I14" s="382">
        <f t="shared" si="0"/>
        <v>500</v>
      </c>
      <c r="J14" s="287"/>
      <c r="K14" s="243"/>
      <c r="L14" s="243"/>
      <c r="M14" s="243"/>
      <c r="N14" s="243"/>
      <c r="O14" s="133" t="s">
        <v>168</v>
      </c>
      <c r="Q14" s="243"/>
      <c r="R14" s="2">
        <v>360</v>
      </c>
      <c r="S14" s="287" t="s">
        <v>169</v>
      </c>
      <c r="U14" s="243"/>
      <c r="V14" s="138">
        <v>30</v>
      </c>
    </row>
    <row r="15" spans="1:34" ht="15" customHeight="1" outlineLevel="1" x14ac:dyDescent="0.2">
      <c r="F15" s="133" t="s">
        <v>171</v>
      </c>
      <c r="H15" s="136">
        <f>SUM(H9:H14)</f>
        <v>29645153</v>
      </c>
      <c r="I15" s="382">
        <f t="shared" si="0"/>
        <v>118580.61199999999</v>
      </c>
      <c r="J15" s="287" t="s">
        <v>172</v>
      </c>
      <c r="K15" s="243"/>
      <c r="L15" s="136">
        <f>SUM(L9:L11)</f>
        <v>29645153</v>
      </c>
      <c r="M15" s="150">
        <f>SUM(M9:M11)</f>
        <v>1</v>
      </c>
      <c r="N15" s="243"/>
      <c r="O15" s="133" t="s">
        <v>173</v>
      </c>
      <c r="Q15" s="243"/>
      <c r="R15" s="245">
        <v>5.0000000000000001E-3</v>
      </c>
      <c r="S15" s="287" t="s">
        <v>174</v>
      </c>
      <c r="U15" s="243"/>
      <c r="V15" s="250">
        <f>PMT(V13/12,V14*12,-1)*12</f>
        <v>7.9836299421501972E-2</v>
      </c>
    </row>
    <row r="16" spans="1:34" ht="15" customHeight="1" outlineLevel="1" x14ac:dyDescent="0.25">
      <c r="F16" s="133"/>
      <c r="H16" s="243"/>
      <c r="I16" s="243"/>
      <c r="J16" s="287"/>
      <c r="K16" s="243"/>
      <c r="L16" s="243"/>
      <c r="M16" s="243"/>
      <c r="N16" s="243"/>
      <c r="O16" s="133" t="s">
        <v>176</v>
      </c>
      <c r="Q16" s="251" t="s">
        <v>177</v>
      </c>
      <c r="R16" s="136">
        <f>($Q$13=4)*1</f>
        <v>0</v>
      </c>
      <c r="S16" s="287" t="s">
        <v>162</v>
      </c>
      <c r="V16" s="252">
        <f>R13</f>
        <v>45291</v>
      </c>
    </row>
    <row r="17" spans="2:94" ht="15" customHeight="1" outlineLevel="1" x14ac:dyDescent="0.25">
      <c r="F17" s="9" t="s">
        <v>375</v>
      </c>
      <c r="H17" s="243"/>
      <c r="I17" s="243"/>
      <c r="J17" s="287" t="s">
        <v>175</v>
      </c>
      <c r="K17" s="243"/>
      <c r="L17" s="250">
        <f ca="1">TerminalCapRateHotel</f>
        <v>8.5000000000000006E-2</v>
      </c>
      <c r="M17" s="243"/>
      <c r="N17" s="243"/>
      <c r="O17" s="133" t="s">
        <v>179</v>
      </c>
      <c r="Q17" s="243"/>
      <c r="R17" s="253">
        <f>EOMONTH(R13,-12)*R16</f>
        <v>0</v>
      </c>
      <c r="S17" s="287" t="s">
        <v>165</v>
      </c>
      <c r="T17" s="254" t="s">
        <v>177</v>
      </c>
      <c r="U17" s="1">
        <f>DATEDIF(R13,V17,"y")</f>
        <v>3</v>
      </c>
      <c r="V17" s="252">
        <f>ExitDate</f>
        <v>46387</v>
      </c>
    </row>
    <row r="18" spans="2:94" ht="15" customHeight="1" outlineLevel="1" x14ac:dyDescent="0.2">
      <c r="F18" s="133" t="s">
        <v>167</v>
      </c>
      <c r="H18" s="249">
        <f>Inputs!C11-1</f>
        <v>44196</v>
      </c>
      <c r="I18" s="243"/>
      <c r="J18" s="287" t="s">
        <v>178</v>
      </c>
      <c r="K18" s="243"/>
      <c r="L18" s="250">
        <f>SellingCost</f>
        <v>0.03</v>
      </c>
      <c r="M18" s="243"/>
      <c r="N18" s="243"/>
      <c r="O18" s="7" t="s">
        <v>374</v>
      </c>
      <c r="Q18" s="243"/>
      <c r="R18" s="243"/>
      <c r="S18" s="287" t="s">
        <v>182</v>
      </c>
      <c r="V18" s="250">
        <v>0.01</v>
      </c>
    </row>
    <row r="19" spans="2:94" ht="15" customHeight="1" outlineLevel="1" x14ac:dyDescent="0.2">
      <c r="F19" s="133" t="s">
        <v>245</v>
      </c>
      <c r="H19" s="249">
        <f>EOMONTH(Construction!AC7,1)</f>
        <v>44957</v>
      </c>
      <c r="I19" s="243"/>
      <c r="J19" s="287" t="s">
        <v>180</v>
      </c>
      <c r="K19" s="243"/>
      <c r="L19" s="136">
        <f ca="1">SUM(I52:CO52)</f>
        <v>47973474.418063693</v>
      </c>
      <c r="M19" s="243"/>
      <c r="N19" s="243"/>
      <c r="O19" s="255" t="s">
        <v>184</v>
      </c>
      <c r="Q19" s="243"/>
      <c r="R19" s="138">
        <v>5000000</v>
      </c>
      <c r="S19" s="287" t="s">
        <v>185</v>
      </c>
      <c r="U19" s="133" t="s">
        <v>177</v>
      </c>
      <c r="V19" s="136">
        <f>IF(U17&lt;=2, 1, 0)</f>
        <v>0</v>
      </c>
    </row>
    <row r="20" spans="2:94" ht="15" customHeight="1" outlineLevel="1" x14ac:dyDescent="0.2">
      <c r="F20" s="133" t="s">
        <v>170</v>
      </c>
      <c r="H20" s="249">
        <f>DATE(YEAR(H18) + HoldingPeriod + 1, MONTH(H18), DAY(H18))</f>
        <v>46387</v>
      </c>
      <c r="I20" s="243"/>
      <c r="J20" s="287" t="s">
        <v>183</v>
      </c>
      <c r="K20" s="243"/>
      <c r="L20" s="136">
        <f ca="1">L19/NumberRooms</f>
        <v>191893.89767225477</v>
      </c>
      <c r="M20" s="243"/>
      <c r="N20" s="243"/>
      <c r="O20" s="133" t="s">
        <v>186</v>
      </c>
      <c r="Q20" s="243"/>
      <c r="R20" s="245">
        <v>0.12</v>
      </c>
      <c r="S20" s="243"/>
    </row>
    <row r="21" spans="2:94" ht="15" customHeight="1" outlineLevel="1" x14ac:dyDescent="0.2">
      <c r="F21" s="133"/>
      <c r="H21" s="289"/>
      <c r="I21" s="243"/>
      <c r="J21" s="287"/>
      <c r="K21" s="243"/>
      <c r="L21" s="257"/>
      <c r="M21" s="243"/>
      <c r="N21" s="243"/>
      <c r="O21" s="133"/>
      <c r="Q21" s="243"/>
      <c r="R21" s="243"/>
      <c r="S21" s="243"/>
    </row>
    <row r="22" spans="2:94" ht="15" customHeight="1" outlineLevel="1" x14ac:dyDescent="0.25">
      <c r="F22" s="258" t="s">
        <v>223</v>
      </c>
      <c r="H22" s="259" t="s">
        <v>321</v>
      </c>
      <c r="I22" s="259" t="s">
        <v>29</v>
      </c>
      <c r="R22" s="257"/>
    </row>
    <row r="23" spans="2:94" ht="15" customHeight="1" outlineLevel="1" x14ac:dyDescent="0.2">
      <c r="F23" s="133" t="str">
        <f>J11</f>
        <v>Common Equity</v>
      </c>
      <c r="H23" s="136">
        <v>1</v>
      </c>
      <c r="I23" s="141">
        <v>0.45</v>
      </c>
    </row>
    <row r="24" spans="2:94" ht="15" customHeight="1" outlineLevel="1" x14ac:dyDescent="0.2">
      <c r="F24" s="133" t="str">
        <f>J10</f>
        <v>Preferred Equity</v>
      </c>
      <c r="H24" s="136">
        <v>1</v>
      </c>
      <c r="I24" s="150">
        <f>1-I23</f>
        <v>0.55000000000000004</v>
      </c>
    </row>
    <row r="25" spans="2:94" ht="15" customHeight="1" outlineLevel="1" x14ac:dyDescent="0.2">
      <c r="F25" s="133" t="str">
        <f>J9</f>
        <v>Construction Loan</v>
      </c>
      <c r="H25" s="136">
        <v>2</v>
      </c>
      <c r="I25" s="150">
        <v>1</v>
      </c>
    </row>
    <row r="26" spans="2:94" ht="15" customHeight="1" x14ac:dyDescent="0.2"/>
    <row r="27" spans="2:94" ht="15" customHeight="1" x14ac:dyDescent="0.25">
      <c r="H27" s="146" t="s">
        <v>187</v>
      </c>
      <c r="I27" s="260">
        <f>YEAR(I28)</f>
        <v>2020</v>
      </c>
      <c r="J27" s="261">
        <f t="shared" ref="J27:BU27" si="1">YEAR(J28)</f>
        <v>2021</v>
      </c>
      <c r="K27" s="261">
        <f t="shared" si="1"/>
        <v>2021</v>
      </c>
      <c r="L27" s="261">
        <f t="shared" si="1"/>
        <v>2021</v>
      </c>
      <c r="M27" s="261">
        <f t="shared" si="1"/>
        <v>2021</v>
      </c>
      <c r="N27" s="261">
        <f t="shared" si="1"/>
        <v>2021</v>
      </c>
      <c r="O27" s="261">
        <f t="shared" si="1"/>
        <v>2021</v>
      </c>
      <c r="P27" s="261">
        <f t="shared" si="1"/>
        <v>2021</v>
      </c>
      <c r="Q27" s="261">
        <f t="shared" si="1"/>
        <v>2021</v>
      </c>
      <c r="R27" s="261">
        <f t="shared" si="1"/>
        <v>2021</v>
      </c>
      <c r="S27" s="261">
        <f t="shared" si="1"/>
        <v>2021</v>
      </c>
      <c r="T27" s="261">
        <f t="shared" si="1"/>
        <v>2021</v>
      </c>
      <c r="U27" s="261">
        <f t="shared" si="1"/>
        <v>2021</v>
      </c>
      <c r="V27" s="261">
        <f t="shared" si="1"/>
        <v>2022</v>
      </c>
      <c r="W27" s="261">
        <f t="shared" si="1"/>
        <v>2022</v>
      </c>
      <c r="X27" s="261">
        <f t="shared" si="1"/>
        <v>2022</v>
      </c>
      <c r="Y27" s="261">
        <f t="shared" si="1"/>
        <v>2022</v>
      </c>
      <c r="Z27" s="261">
        <f t="shared" si="1"/>
        <v>2022</v>
      </c>
      <c r="AA27" s="261">
        <f t="shared" si="1"/>
        <v>2022</v>
      </c>
      <c r="AB27" s="261">
        <f t="shared" si="1"/>
        <v>2022</v>
      </c>
      <c r="AC27" s="261">
        <f t="shared" si="1"/>
        <v>2022</v>
      </c>
      <c r="AD27" s="261">
        <f t="shared" si="1"/>
        <v>2022</v>
      </c>
      <c r="AE27" s="261">
        <f t="shared" si="1"/>
        <v>2022</v>
      </c>
      <c r="AF27" s="261">
        <f t="shared" si="1"/>
        <v>2022</v>
      </c>
      <c r="AG27" s="261">
        <f t="shared" si="1"/>
        <v>2022</v>
      </c>
      <c r="AH27" s="261">
        <f t="shared" si="1"/>
        <v>2023</v>
      </c>
      <c r="AI27" s="261">
        <f t="shared" si="1"/>
        <v>2023</v>
      </c>
      <c r="AJ27" s="261">
        <f t="shared" si="1"/>
        <v>2023</v>
      </c>
      <c r="AK27" s="261">
        <f t="shared" si="1"/>
        <v>2023</v>
      </c>
      <c r="AL27" s="261">
        <f t="shared" si="1"/>
        <v>2023</v>
      </c>
      <c r="AM27" s="261">
        <f t="shared" si="1"/>
        <v>2023</v>
      </c>
      <c r="AN27" s="261">
        <f t="shared" si="1"/>
        <v>2023</v>
      </c>
      <c r="AO27" s="261">
        <f t="shared" si="1"/>
        <v>2023</v>
      </c>
      <c r="AP27" s="261">
        <f t="shared" si="1"/>
        <v>2023</v>
      </c>
      <c r="AQ27" s="261">
        <f t="shared" si="1"/>
        <v>2023</v>
      </c>
      <c r="AR27" s="261">
        <f t="shared" si="1"/>
        <v>2023</v>
      </c>
      <c r="AS27" s="261">
        <f t="shared" si="1"/>
        <v>2023</v>
      </c>
      <c r="AT27" s="261">
        <f t="shared" si="1"/>
        <v>2024</v>
      </c>
      <c r="AU27" s="261">
        <f t="shared" si="1"/>
        <v>2024</v>
      </c>
      <c r="AV27" s="261">
        <f t="shared" si="1"/>
        <v>2024</v>
      </c>
      <c r="AW27" s="261">
        <f t="shared" si="1"/>
        <v>2024</v>
      </c>
      <c r="AX27" s="261">
        <f t="shared" si="1"/>
        <v>2024</v>
      </c>
      <c r="AY27" s="261">
        <f t="shared" si="1"/>
        <v>2024</v>
      </c>
      <c r="AZ27" s="261">
        <f t="shared" si="1"/>
        <v>2024</v>
      </c>
      <c r="BA27" s="261">
        <f t="shared" si="1"/>
        <v>2024</v>
      </c>
      <c r="BB27" s="261">
        <f t="shared" si="1"/>
        <v>2024</v>
      </c>
      <c r="BC27" s="261">
        <f t="shared" si="1"/>
        <v>2024</v>
      </c>
      <c r="BD27" s="261">
        <f t="shared" si="1"/>
        <v>2024</v>
      </c>
      <c r="BE27" s="261">
        <f t="shared" si="1"/>
        <v>2024</v>
      </c>
      <c r="BF27" s="261">
        <f t="shared" si="1"/>
        <v>2025</v>
      </c>
      <c r="BG27" s="261">
        <f t="shared" si="1"/>
        <v>2025</v>
      </c>
      <c r="BH27" s="261">
        <f t="shared" si="1"/>
        <v>2025</v>
      </c>
      <c r="BI27" s="261">
        <f t="shared" si="1"/>
        <v>2025</v>
      </c>
      <c r="BJ27" s="261">
        <f t="shared" si="1"/>
        <v>2025</v>
      </c>
      <c r="BK27" s="261">
        <f t="shared" si="1"/>
        <v>2025</v>
      </c>
      <c r="BL27" s="261">
        <f t="shared" si="1"/>
        <v>2025</v>
      </c>
      <c r="BM27" s="261">
        <f t="shared" si="1"/>
        <v>2025</v>
      </c>
      <c r="BN27" s="261">
        <f t="shared" si="1"/>
        <v>2025</v>
      </c>
      <c r="BO27" s="261">
        <f t="shared" si="1"/>
        <v>2025</v>
      </c>
      <c r="BP27" s="261">
        <f t="shared" si="1"/>
        <v>2025</v>
      </c>
      <c r="BQ27" s="261">
        <f t="shared" si="1"/>
        <v>2025</v>
      </c>
      <c r="BR27" s="261">
        <f t="shared" si="1"/>
        <v>2026</v>
      </c>
      <c r="BS27" s="261">
        <f t="shared" si="1"/>
        <v>2026</v>
      </c>
      <c r="BT27" s="261">
        <f t="shared" si="1"/>
        <v>2026</v>
      </c>
      <c r="BU27" s="261">
        <f t="shared" si="1"/>
        <v>2026</v>
      </c>
      <c r="BV27" s="261">
        <f t="shared" ref="BV27:CO27" si="2">YEAR(BV28)</f>
        <v>2026</v>
      </c>
      <c r="BW27" s="261">
        <f t="shared" si="2"/>
        <v>2026</v>
      </c>
      <c r="BX27" s="261">
        <f t="shared" si="2"/>
        <v>2026</v>
      </c>
      <c r="BY27" s="261">
        <f t="shared" si="2"/>
        <v>2026</v>
      </c>
      <c r="BZ27" s="261">
        <f t="shared" si="2"/>
        <v>2026</v>
      </c>
      <c r="CA27" s="261">
        <f t="shared" si="2"/>
        <v>2026</v>
      </c>
      <c r="CB27" s="261">
        <f t="shared" si="2"/>
        <v>2026</v>
      </c>
      <c r="CC27" s="261">
        <f t="shared" si="2"/>
        <v>2026</v>
      </c>
      <c r="CD27" s="261">
        <f t="shared" si="2"/>
        <v>2027</v>
      </c>
      <c r="CE27" s="261">
        <f t="shared" si="2"/>
        <v>2027</v>
      </c>
      <c r="CF27" s="261">
        <f t="shared" si="2"/>
        <v>2027</v>
      </c>
      <c r="CG27" s="261">
        <f t="shared" si="2"/>
        <v>2027</v>
      </c>
      <c r="CH27" s="261">
        <f t="shared" si="2"/>
        <v>2027</v>
      </c>
      <c r="CI27" s="261">
        <f t="shared" si="2"/>
        <v>2027</v>
      </c>
      <c r="CJ27" s="261">
        <f t="shared" si="2"/>
        <v>2027</v>
      </c>
      <c r="CK27" s="261">
        <f t="shared" si="2"/>
        <v>2027</v>
      </c>
      <c r="CL27" s="261">
        <f t="shared" si="2"/>
        <v>2027</v>
      </c>
      <c r="CM27" s="261">
        <f t="shared" si="2"/>
        <v>2027</v>
      </c>
      <c r="CN27" s="261">
        <f t="shared" si="2"/>
        <v>2027</v>
      </c>
      <c r="CO27" s="262">
        <f t="shared" si="2"/>
        <v>2027</v>
      </c>
      <c r="CP27" s="133" t="s">
        <v>15</v>
      </c>
    </row>
    <row r="28" spans="2:94" ht="15" customHeight="1" x14ac:dyDescent="0.25">
      <c r="H28" s="146" t="s">
        <v>188</v>
      </c>
      <c r="I28" s="263">
        <f>H18</f>
        <v>44196</v>
      </c>
      <c r="J28" s="264">
        <f>EOMONTH(I28,1)</f>
        <v>44227</v>
      </c>
      <c r="K28" s="264">
        <f t="shared" ref="K28:BV28" si="3">EOMONTH(J28,1)</f>
        <v>44255</v>
      </c>
      <c r="L28" s="264">
        <f t="shared" si="3"/>
        <v>44286</v>
      </c>
      <c r="M28" s="264">
        <f t="shared" si="3"/>
        <v>44316</v>
      </c>
      <c r="N28" s="264">
        <f t="shared" si="3"/>
        <v>44347</v>
      </c>
      <c r="O28" s="264">
        <f t="shared" si="3"/>
        <v>44377</v>
      </c>
      <c r="P28" s="264">
        <f t="shared" si="3"/>
        <v>44408</v>
      </c>
      <c r="Q28" s="264">
        <f t="shared" si="3"/>
        <v>44439</v>
      </c>
      <c r="R28" s="264">
        <f t="shared" si="3"/>
        <v>44469</v>
      </c>
      <c r="S28" s="264">
        <f t="shared" si="3"/>
        <v>44500</v>
      </c>
      <c r="T28" s="264">
        <f t="shared" si="3"/>
        <v>44530</v>
      </c>
      <c r="U28" s="264">
        <f t="shared" si="3"/>
        <v>44561</v>
      </c>
      <c r="V28" s="264">
        <f t="shared" si="3"/>
        <v>44592</v>
      </c>
      <c r="W28" s="264">
        <f t="shared" si="3"/>
        <v>44620</v>
      </c>
      <c r="X28" s="264">
        <f t="shared" si="3"/>
        <v>44651</v>
      </c>
      <c r="Y28" s="264">
        <f t="shared" si="3"/>
        <v>44681</v>
      </c>
      <c r="Z28" s="264">
        <f t="shared" si="3"/>
        <v>44712</v>
      </c>
      <c r="AA28" s="264">
        <f t="shared" si="3"/>
        <v>44742</v>
      </c>
      <c r="AB28" s="264">
        <f t="shared" si="3"/>
        <v>44773</v>
      </c>
      <c r="AC28" s="264">
        <f t="shared" si="3"/>
        <v>44804</v>
      </c>
      <c r="AD28" s="264">
        <f t="shared" si="3"/>
        <v>44834</v>
      </c>
      <c r="AE28" s="264">
        <f t="shared" si="3"/>
        <v>44865</v>
      </c>
      <c r="AF28" s="264">
        <f t="shared" si="3"/>
        <v>44895</v>
      </c>
      <c r="AG28" s="264">
        <f t="shared" si="3"/>
        <v>44926</v>
      </c>
      <c r="AH28" s="264">
        <f t="shared" si="3"/>
        <v>44957</v>
      </c>
      <c r="AI28" s="264">
        <f t="shared" si="3"/>
        <v>44985</v>
      </c>
      <c r="AJ28" s="264">
        <f t="shared" si="3"/>
        <v>45016</v>
      </c>
      <c r="AK28" s="264">
        <f t="shared" si="3"/>
        <v>45046</v>
      </c>
      <c r="AL28" s="264">
        <f t="shared" si="3"/>
        <v>45077</v>
      </c>
      <c r="AM28" s="264">
        <f t="shared" si="3"/>
        <v>45107</v>
      </c>
      <c r="AN28" s="264">
        <f t="shared" si="3"/>
        <v>45138</v>
      </c>
      <c r="AO28" s="264">
        <f t="shared" si="3"/>
        <v>45169</v>
      </c>
      <c r="AP28" s="264">
        <f t="shared" si="3"/>
        <v>45199</v>
      </c>
      <c r="AQ28" s="264">
        <f t="shared" si="3"/>
        <v>45230</v>
      </c>
      <c r="AR28" s="264">
        <f t="shared" si="3"/>
        <v>45260</v>
      </c>
      <c r="AS28" s="264">
        <f t="shared" si="3"/>
        <v>45291</v>
      </c>
      <c r="AT28" s="264">
        <f t="shared" si="3"/>
        <v>45322</v>
      </c>
      <c r="AU28" s="264">
        <f t="shared" si="3"/>
        <v>45351</v>
      </c>
      <c r="AV28" s="264">
        <f t="shared" si="3"/>
        <v>45382</v>
      </c>
      <c r="AW28" s="264">
        <f t="shared" si="3"/>
        <v>45412</v>
      </c>
      <c r="AX28" s="264">
        <f t="shared" si="3"/>
        <v>45443</v>
      </c>
      <c r="AY28" s="264">
        <f t="shared" si="3"/>
        <v>45473</v>
      </c>
      <c r="AZ28" s="264">
        <f t="shared" si="3"/>
        <v>45504</v>
      </c>
      <c r="BA28" s="264">
        <f t="shared" si="3"/>
        <v>45535</v>
      </c>
      <c r="BB28" s="264">
        <f t="shared" si="3"/>
        <v>45565</v>
      </c>
      <c r="BC28" s="264">
        <f t="shared" si="3"/>
        <v>45596</v>
      </c>
      <c r="BD28" s="264">
        <f t="shared" si="3"/>
        <v>45626</v>
      </c>
      <c r="BE28" s="264">
        <f t="shared" si="3"/>
        <v>45657</v>
      </c>
      <c r="BF28" s="264">
        <f t="shared" si="3"/>
        <v>45688</v>
      </c>
      <c r="BG28" s="264">
        <f t="shared" si="3"/>
        <v>45716</v>
      </c>
      <c r="BH28" s="264">
        <f t="shared" si="3"/>
        <v>45747</v>
      </c>
      <c r="BI28" s="264">
        <f t="shared" si="3"/>
        <v>45777</v>
      </c>
      <c r="BJ28" s="264">
        <f t="shared" si="3"/>
        <v>45808</v>
      </c>
      <c r="BK28" s="264">
        <f t="shared" si="3"/>
        <v>45838</v>
      </c>
      <c r="BL28" s="264">
        <f t="shared" si="3"/>
        <v>45869</v>
      </c>
      <c r="BM28" s="264">
        <f t="shared" si="3"/>
        <v>45900</v>
      </c>
      <c r="BN28" s="264">
        <f t="shared" si="3"/>
        <v>45930</v>
      </c>
      <c r="BO28" s="264">
        <f t="shared" si="3"/>
        <v>45961</v>
      </c>
      <c r="BP28" s="264">
        <f t="shared" si="3"/>
        <v>45991</v>
      </c>
      <c r="BQ28" s="264">
        <f t="shared" si="3"/>
        <v>46022</v>
      </c>
      <c r="BR28" s="264">
        <f t="shared" si="3"/>
        <v>46053</v>
      </c>
      <c r="BS28" s="264">
        <f t="shared" si="3"/>
        <v>46081</v>
      </c>
      <c r="BT28" s="264">
        <f t="shared" si="3"/>
        <v>46112</v>
      </c>
      <c r="BU28" s="264">
        <f t="shared" si="3"/>
        <v>46142</v>
      </c>
      <c r="BV28" s="264">
        <f t="shared" si="3"/>
        <v>46173</v>
      </c>
      <c r="BW28" s="264">
        <f t="shared" ref="BW28:CO28" si="4">EOMONTH(BV28,1)</f>
        <v>46203</v>
      </c>
      <c r="BX28" s="264">
        <f t="shared" si="4"/>
        <v>46234</v>
      </c>
      <c r="BY28" s="264">
        <f t="shared" si="4"/>
        <v>46265</v>
      </c>
      <c r="BZ28" s="264">
        <f t="shared" si="4"/>
        <v>46295</v>
      </c>
      <c r="CA28" s="264">
        <f t="shared" si="4"/>
        <v>46326</v>
      </c>
      <c r="CB28" s="264">
        <f t="shared" si="4"/>
        <v>46356</v>
      </c>
      <c r="CC28" s="264">
        <f t="shared" si="4"/>
        <v>46387</v>
      </c>
      <c r="CD28" s="264">
        <f t="shared" si="4"/>
        <v>46418</v>
      </c>
      <c r="CE28" s="264">
        <f t="shared" si="4"/>
        <v>46446</v>
      </c>
      <c r="CF28" s="264">
        <f t="shared" si="4"/>
        <v>46477</v>
      </c>
      <c r="CG28" s="264">
        <f t="shared" si="4"/>
        <v>46507</v>
      </c>
      <c r="CH28" s="264">
        <f t="shared" si="4"/>
        <v>46538</v>
      </c>
      <c r="CI28" s="264">
        <f t="shared" si="4"/>
        <v>46568</v>
      </c>
      <c r="CJ28" s="264">
        <f t="shared" si="4"/>
        <v>46599</v>
      </c>
      <c r="CK28" s="264">
        <f t="shared" si="4"/>
        <v>46630</v>
      </c>
      <c r="CL28" s="264">
        <f t="shared" si="4"/>
        <v>46660</v>
      </c>
      <c r="CM28" s="264">
        <f t="shared" si="4"/>
        <v>46691</v>
      </c>
      <c r="CN28" s="264">
        <f t="shared" si="4"/>
        <v>46721</v>
      </c>
      <c r="CO28" s="265">
        <f t="shared" si="4"/>
        <v>46752</v>
      </c>
      <c r="CP28" s="133" t="s">
        <v>15</v>
      </c>
    </row>
    <row r="29" spans="2:94" ht="15" customHeight="1" x14ac:dyDescent="0.25">
      <c r="B29" s="146" t="s">
        <v>189</v>
      </c>
      <c r="C29" s="146" t="s">
        <v>190</v>
      </c>
      <c r="D29" s="146" t="s">
        <v>191</v>
      </c>
      <c r="H29" s="146" t="s">
        <v>192</v>
      </c>
      <c r="I29" s="266">
        <v>31</v>
      </c>
      <c r="J29" s="267">
        <f>J28-I28</f>
        <v>31</v>
      </c>
      <c r="K29" s="267">
        <f t="shared" ref="K29:BV29" si="5">K28-J28</f>
        <v>28</v>
      </c>
      <c r="L29" s="267">
        <f t="shared" si="5"/>
        <v>31</v>
      </c>
      <c r="M29" s="267">
        <f t="shared" si="5"/>
        <v>30</v>
      </c>
      <c r="N29" s="267">
        <f t="shared" si="5"/>
        <v>31</v>
      </c>
      <c r="O29" s="267">
        <f t="shared" si="5"/>
        <v>30</v>
      </c>
      <c r="P29" s="267">
        <f t="shared" si="5"/>
        <v>31</v>
      </c>
      <c r="Q29" s="267">
        <f t="shared" si="5"/>
        <v>31</v>
      </c>
      <c r="R29" s="267">
        <f t="shared" si="5"/>
        <v>30</v>
      </c>
      <c r="S29" s="267">
        <f t="shared" si="5"/>
        <v>31</v>
      </c>
      <c r="T29" s="267">
        <f t="shared" si="5"/>
        <v>30</v>
      </c>
      <c r="U29" s="267">
        <f t="shared" si="5"/>
        <v>31</v>
      </c>
      <c r="V29" s="267">
        <f t="shared" si="5"/>
        <v>31</v>
      </c>
      <c r="W29" s="267">
        <f t="shared" si="5"/>
        <v>28</v>
      </c>
      <c r="X29" s="267">
        <f t="shared" si="5"/>
        <v>31</v>
      </c>
      <c r="Y29" s="267">
        <f t="shared" si="5"/>
        <v>30</v>
      </c>
      <c r="Z29" s="267">
        <f t="shared" si="5"/>
        <v>31</v>
      </c>
      <c r="AA29" s="267">
        <f t="shared" si="5"/>
        <v>30</v>
      </c>
      <c r="AB29" s="267">
        <f t="shared" si="5"/>
        <v>31</v>
      </c>
      <c r="AC29" s="267">
        <f t="shared" si="5"/>
        <v>31</v>
      </c>
      <c r="AD29" s="267">
        <f t="shared" si="5"/>
        <v>30</v>
      </c>
      <c r="AE29" s="267">
        <f t="shared" si="5"/>
        <v>31</v>
      </c>
      <c r="AF29" s="267">
        <f t="shared" si="5"/>
        <v>30</v>
      </c>
      <c r="AG29" s="267">
        <f t="shared" si="5"/>
        <v>31</v>
      </c>
      <c r="AH29" s="267">
        <f t="shared" si="5"/>
        <v>31</v>
      </c>
      <c r="AI29" s="267">
        <f t="shared" si="5"/>
        <v>28</v>
      </c>
      <c r="AJ29" s="267">
        <f t="shared" si="5"/>
        <v>31</v>
      </c>
      <c r="AK29" s="267">
        <f t="shared" si="5"/>
        <v>30</v>
      </c>
      <c r="AL29" s="267">
        <f t="shared" si="5"/>
        <v>31</v>
      </c>
      <c r="AM29" s="267">
        <f t="shared" si="5"/>
        <v>30</v>
      </c>
      <c r="AN29" s="267">
        <f t="shared" si="5"/>
        <v>31</v>
      </c>
      <c r="AO29" s="267">
        <f t="shared" si="5"/>
        <v>31</v>
      </c>
      <c r="AP29" s="267">
        <f t="shared" si="5"/>
        <v>30</v>
      </c>
      <c r="AQ29" s="267">
        <f t="shared" si="5"/>
        <v>31</v>
      </c>
      <c r="AR29" s="267">
        <f t="shared" si="5"/>
        <v>30</v>
      </c>
      <c r="AS29" s="267">
        <f t="shared" si="5"/>
        <v>31</v>
      </c>
      <c r="AT29" s="267">
        <f t="shared" si="5"/>
        <v>31</v>
      </c>
      <c r="AU29" s="267">
        <f t="shared" si="5"/>
        <v>29</v>
      </c>
      <c r="AV29" s="267">
        <f t="shared" si="5"/>
        <v>31</v>
      </c>
      <c r="AW29" s="267">
        <f t="shared" si="5"/>
        <v>30</v>
      </c>
      <c r="AX29" s="267">
        <f t="shared" si="5"/>
        <v>31</v>
      </c>
      <c r="AY29" s="267">
        <f t="shared" si="5"/>
        <v>30</v>
      </c>
      <c r="AZ29" s="267">
        <f t="shared" si="5"/>
        <v>31</v>
      </c>
      <c r="BA29" s="267">
        <f t="shared" si="5"/>
        <v>31</v>
      </c>
      <c r="BB29" s="267">
        <f t="shared" si="5"/>
        <v>30</v>
      </c>
      <c r="BC29" s="267">
        <f t="shared" si="5"/>
        <v>31</v>
      </c>
      <c r="BD29" s="267">
        <f t="shared" si="5"/>
        <v>30</v>
      </c>
      <c r="BE29" s="267">
        <f t="shared" si="5"/>
        <v>31</v>
      </c>
      <c r="BF29" s="267">
        <f t="shared" si="5"/>
        <v>31</v>
      </c>
      <c r="BG29" s="267">
        <f t="shared" si="5"/>
        <v>28</v>
      </c>
      <c r="BH29" s="267">
        <f t="shared" si="5"/>
        <v>31</v>
      </c>
      <c r="BI29" s="267">
        <f t="shared" si="5"/>
        <v>30</v>
      </c>
      <c r="BJ29" s="267">
        <f t="shared" si="5"/>
        <v>31</v>
      </c>
      <c r="BK29" s="267">
        <f t="shared" si="5"/>
        <v>30</v>
      </c>
      <c r="BL29" s="267">
        <f t="shared" si="5"/>
        <v>31</v>
      </c>
      <c r="BM29" s="267">
        <f t="shared" si="5"/>
        <v>31</v>
      </c>
      <c r="BN29" s="267">
        <f t="shared" si="5"/>
        <v>30</v>
      </c>
      <c r="BO29" s="267">
        <f t="shared" si="5"/>
        <v>31</v>
      </c>
      <c r="BP29" s="267">
        <f t="shared" si="5"/>
        <v>30</v>
      </c>
      <c r="BQ29" s="267">
        <f t="shared" si="5"/>
        <v>31</v>
      </c>
      <c r="BR29" s="267">
        <f t="shared" si="5"/>
        <v>31</v>
      </c>
      <c r="BS29" s="267">
        <f t="shared" si="5"/>
        <v>28</v>
      </c>
      <c r="BT29" s="267">
        <f t="shared" si="5"/>
        <v>31</v>
      </c>
      <c r="BU29" s="267">
        <f t="shared" si="5"/>
        <v>30</v>
      </c>
      <c r="BV29" s="267">
        <f t="shared" si="5"/>
        <v>31</v>
      </c>
      <c r="BW29" s="267">
        <f t="shared" ref="BW29:CO29" si="6">BW28-BV28</f>
        <v>30</v>
      </c>
      <c r="BX29" s="267">
        <f t="shared" si="6"/>
        <v>31</v>
      </c>
      <c r="BY29" s="267">
        <f t="shared" si="6"/>
        <v>31</v>
      </c>
      <c r="BZ29" s="267">
        <f t="shared" si="6"/>
        <v>30</v>
      </c>
      <c r="CA29" s="267">
        <f t="shared" si="6"/>
        <v>31</v>
      </c>
      <c r="CB29" s="267">
        <f t="shared" si="6"/>
        <v>30</v>
      </c>
      <c r="CC29" s="267">
        <f t="shared" si="6"/>
        <v>31</v>
      </c>
      <c r="CD29" s="267">
        <f t="shared" si="6"/>
        <v>31</v>
      </c>
      <c r="CE29" s="267">
        <f t="shared" si="6"/>
        <v>28</v>
      </c>
      <c r="CF29" s="267">
        <f t="shared" si="6"/>
        <v>31</v>
      </c>
      <c r="CG29" s="267">
        <f t="shared" si="6"/>
        <v>30</v>
      </c>
      <c r="CH29" s="267">
        <f t="shared" si="6"/>
        <v>31</v>
      </c>
      <c r="CI29" s="267">
        <f t="shared" si="6"/>
        <v>30</v>
      </c>
      <c r="CJ29" s="267">
        <f t="shared" si="6"/>
        <v>31</v>
      </c>
      <c r="CK29" s="267">
        <f t="shared" si="6"/>
        <v>31</v>
      </c>
      <c r="CL29" s="267">
        <f t="shared" si="6"/>
        <v>30</v>
      </c>
      <c r="CM29" s="267">
        <f t="shared" si="6"/>
        <v>31</v>
      </c>
      <c r="CN29" s="267">
        <f t="shared" si="6"/>
        <v>30</v>
      </c>
      <c r="CO29" s="268">
        <f t="shared" si="6"/>
        <v>31</v>
      </c>
      <c r="CP29" s="131" t="s">
        <v>15</v>
      </c>
    </row>
    <row r="30" spans="2:94" ht="15" customHeight="1" x14ac:dyDescent="0.2"/>
    <row r="31" spans="2:94" ht="15" customHeight="1" x14ac:dyDescent="0.25">
      <c r="F31" s="132" t="s">
        <v>193</v>
      </c>
    </row>
    <row r="32" spans="2:94" ht="15" customHeight="1" x14ac:dyDescent="0.2">
      <c r="C32" s="133" t="s">
        <v>297</v>
      </c>
    </row>
    <row r="33" spans="2:94" ht="15" customHeight="1" x14ac:dyDescent="0.2">
      <c r="C33" s="133" t="s">
        <v>195</v>
      </c>
      <c r="D33" s="259" t="s">
        <v>194</v>
      </c>
      <c r="E33" s="269"/>
      <c r="F33" s="133" t="s">
        <v>299</v>
      </c>
      <c r="I33" s="136">
        <f>IFERROR(INDEX(NOI!$C$76:$H$76,MATCH(I27,NOI!$C$8:$H$8,0))/12,0)</f>
        <v>0</v>
      </c>
      <c r="J33" s="136">
        <f ca="1">IFERROR(INDEX(NOI!$C$76:$H$76,MATCH(J27,NOI!$C$8:$H$8,0))/12,0)</f>
        <v>246463.73149999997</v>
      </c>
      <c r="K33" s="136">
        <f ca="1">IFERROR(INDEX(NOI!$C$76:$H$76,MATCH(K27,NOI!$C$8:$H$8,0))/12,0)</f>
        <v>246463.73149999997</v>
      </c>
      <c r="L33" s="136">
        <f ca="1">IFERROR(INDEX(NOI!$C$76:$H$76,MATCH(L27,NOI!$C$8:$H$8,0))/12,0)</f>
        <v>246463.73149999997</v>
      </c>
      <c r="M33" s="136">
        <f ca="1">IFERROR(INDEX(NOI!$C$76:$H$76,MATCH(M27,NOI!$C$8:$H$8,0))/12,0)</f>
        <v>246463.73149999997</v>
      </c>
      <c r="N33" s="136">
        <f ca="1">IFERROR(INDEX(NOI!$C$76:$H$76,MATCH(N27,NOI!$C$8:$H$8,0))/12,0)</f>
        <v>246463.73149999997</v>
      </c>
      <c r="O33" s="136">
        <f ca="1">IFERROR(INDEX(NOI!$C$76:$H$76,MATCH(O27,NOI!$C$8:$H$8,0))/12,0)</f>
        <v>246463.73149999997</v>
      </c>
      <c r="P33" s="136">
        <f ca="1">IFERROR(INDEX(NOI!$C$76:$H$76,MATCH(P27,NOI!$C$8:$H$8,0))/12,0)</f>
        <v>246463.73149999997</v>
      </c>
      <c r="Q33" s="136">
        <f ca="1">IFERROR(INDEX(NOI!$C$76:$H$76,MATCH(Q27,NOI!$C$8:$H$8,0))/12,0)</f>
        <v>246463.73149999997</v>
      </c>
      <c r="R33" s="136">
        <f ca="1">IFERROR(INDEX(NOI!$C$76:$H$76,MATCH(R27,NOI!$C$8:$H$8,0))/12,0)</f>
        <v>246463.73149999997</v>
      </c>
      <c r="S33" s="136">
        <f ca="1">IFERROR(INDEX(NOI!$C$76:$H$76,MATCH(S27,NOI!$C$8:$H$8,0))/12,0)</f>
        <v>246463.73149999997</v>
      </c>
      <c r="T33" s="136">
        <f ca="1">IFERROR(INDEX(NOI!$C$76:$H$76,MATCH(T27,NOI!$C$8:$H$8,0))/12,0)</f>
        <v>246463.73149999997</v>
      </c>
      <c r="U33" s="136">
        <f ca="1">IFERROR(INDEX(NOI!$C$76:$H$76,MATCH(U27,NOI!$C$8:$H$8,0))/12,0)</f>
        <v>246463.73149999997</v>
      </c>
      <c r="V33" s="136">
        <f ca="1">IFERROR(INDEX(NOI!$C$76:$H$76,MATCH(V27,NOI!$C$8:$H$8,0))/12,0)</f>
        <v>294896.3159073749</v>
      </c>
      <c r="W33" s="136">
        <f ca="1">IFERROR(INDEX(NOI!$C$76:$H$76,MATCH(W27,NOI!$C$8:$H$8,0))/12,0)</f>
        <v>294896.3159073749</v>
      </c>
      <c r="X33" s="136">
        <f ca="1">IFERROR(INDEX(NOI!$C$76:$H$76,MATCH(X27,NOI!$C$8:$H$8,0))/12,0)</f>
        <v>294896.3159073749</v>
      </c>
      <c r="Y33" s="136">
        <f ca="1">IFERROR(INDEX(NOI!$C$76:$H$76,MATCH(Y27,NOI!$C$8:$H$8,0))/12,0)</f>
        <v>294896.3159073749</v>
      </c>
      <c r="Z33" s="136">
        <f ca="1">IFERROR(INDEX(NOI!$C$76:$H$76,MATCH(Z27,NOI!$C$8:$H$8,0))/12,0)</f>
        <v>294896.3159073749</v>
      </c>
      <c r="AA33" s="136">
        <f ca="1">IFERROR(INDEX(NOI!$C$76:$H$76,MATCH(AA27,NOI!$C$8:$H$8,0))/12,0)</f>
        <v>294896.3159073749</v>
      </c>
      <c r="AB33" s="136">
        <f ca="1">IFERROR(INDEX(NOI!$C$76:$H$76,MATCH(AB27,NOI!$C$8:$H$8,0))/12,0)</f>
        <v>294896.3159073749</v>
      </c>
      <c r="AC33" s="136">
        <f ca="1">IFERROR(INDEX(NOI!$C$76:$H$76,MATCH(AC27,NOI!$C$8:$H$8,0))/12,0)</f>
        <v>294896.3159073749</v>
      </c>
      <c r="AD33" s="136">
        <f ca="1">IFERROR(INDEX(NOI!$C$76:$H$76,MATCH(AD27,NOI!$C$8:$H$8,0))/12,0)</f>
        <v>294896.3159073749</v>
      </c>
      <c r="AE33" s="136">
        <f ca="1">IFERROR(INDEX(NOI!$C$76:$H$76,MATCH(AE27,NOI!$C$8:$H$8,0))/12,0)</f>
        <v>294896.3159073749</v>
      </c>
      <c r="AF33" s="136">
        <f ca="1">IFERROR(INDEX(NOI!$C$76:$H$76,MATCH(AF27,NOI!$C$8:$H$8,0))/12,0)</f>
        <v>294896.3159073749</v>
      </c>
      <c r="AG33" s="136">
        <f ca="1">IFERROR(INDEX(NOI!$C$76:$H$76,MATCH(AG27,NOI!$C$8:$H$8,0))/12,0)</f>
        <v>294896.3159073749</v>
      </c>
      <c r="AH33" s="136">
        <f ca="1">IFERROR(INDEX(NOI!$C$76:$H$76,MATCH(AH27,NOI!$C$8:$H$8,0))/12,0)</f>
        <v>314402.5132983856</v>
      </c>
      <c r="AI33" s="136">
        <f ca="1">IFERROR(INDEX(NOI!$C$76:$H$76,MATCH(AI27,NOI!$C$8:$H$8,0))/12,0)</f>
        <v>314402.5132983856</v>
      </c>
      <c r="AJ33" s="136">
        <f ca="1">IFERROR(INDEX(NOI!$C$76:$H$76,MATCH(AJ27,NOI!$C$8:$H$8,0))/12,0)</f>
        <v>314402.5132983856</v>
      </c>
      <c r="AK33" s="136">
        <f ca="1">IFERROR(INDEX(NOI!$C$76:$H$76,MATCH(AK27,NOI!$C$8:$H$8,0))/12,0)</f>
        <v>314402.5132983856</v>
      </c>
      <c r="AL33" s="136">
        <f ca="1">IFERROR(INDEX(NOI!$C$76:$H$76,MATCH(AL27,NOI!$C$8:$H$8,0))/12,0)</f>
        <v>314402.5132983856</v>
      </c>
      <c r="AM33" s="136">
        <f ca="1">IFERROR(INDEX(NOI!$C$76:$H$76,MATCH(AM27,NOI!$C$8:$H$8,0))/12,0)</f>
        <v>314402.5132983856</v>
      </c>
      <c r="AN33" s="136">
        <f ca="1">IFERROR(INDEX(NOI!$C$76:$H$76,MATCH(AN27,NOI!$C$8:$H$8,0))/12,0)</f>
        <v>314402.5132983856</v>
      </c>
      <c r="AO33" s="136">
        <f ca="1">IFERROR(INDEX(NOI!$C$76:$H$76,MATCH(AO27,NOI!$C$8:$H$8,0))/12,0)</f>
        <v>314402.5132983856</v>
      </c>
      <c r="AP33" s="136">
        <f ca="1">IFERROR(INDEX(NOI!$C$76:$H$76,MATCH(AP27,NOI!$C$8:$H$8,0))/12,0)</f>
        <v>314402.5132983856</v>
      </c>
      <c r="AQ33" s="136">
        <f ca="1">IFERROR(INDEX(NOI!$C$76:$H$76,MATCH(AQ27,NOI!$C$8:$H$8,0))/12,0)</f>
        <v>314402.5132983856</v>
      </c>
      <c r="AR33" s="136">
        <f ca="1">IFERROR(INDEX(NOI!$C$76:$H$76,MATCH(AR27,NOI!$C$8:$H$8,0))/12,0)</f>
        <v>314402.5132983856</v>
      </c>
      <c r="AS33" s="136">
        <f ca="1">IFERROR(INDEX(NOI!$C$76:$H$76,MATCH(AS27,NOI!$C$8:$H$8,0))/12,0)</f>
        <v>314402.5132983856</v>
      </c>
      <c r="AT33" s="136">
        <f ca="1">IFERROR(INDEX(NOI!$C$76:$H$76,MATCH(AT27,NOI!$C$8:$H$8,0))/12,0)</f>
        <v>342964.547660232</v>
      </c>
      <c r="AU33" s="136">
        <f ca="1">IFERROR(INDEX(NOI!$C$76:$H$76,MATCH(AU27,NOI!$C$8:$H$8,0))/12,0)</f>
        <v>342964.547660232</v>
      </c>
      <c r="AV33" s="136">
        <f ca="1">IFERROR(INDEX(NOI!$C$76:$H$76,MATCH(AV27,NOI!$C$8:$H$8,0))/12,0)</f>
        <v>342964.547660232</v>
      </c>
      <c r="AW33" s="136">
        <f ca="1">IFERROR(INDEX(NOI!$C$76:$H$76,MATCH(AW27,NOI!$C$8:$H$8,0))/12,0)</f>
        <v>342964.547660232</v>
      </c>
      <c r="AX33" s="136">
        <f ca="1">IFERROR(INDEX(NOI!$C$76:$H$76,MATCH(AX27,NOI!$C$8:$H$8,0))/12,0)</f>
        <v>342964.547660232</v>
      </c>
      <c r="AY33" s="136">
        <f ca="1">IFERROR(INDEX(NOI!$C$76:$H$76,MATCH(AY27,NOI!$C$8:$H$8,0))/12,0)</f>
        <v>342964.547660232</v>
      </c>
      <c r="AZ33" s="136">
        <f ca="1">IFERROR(INDEX(NOI!$C$76:$H$76,MATCH(AZ27,NOI!$C$8:$H$8,0))/12,0)</f>
        <v>342964.547660232</v>
      </c>
      <c r="BA33" s="136">
        <f ca="1">IFERROR(INDEX(NOI!$C$76:$H$76,MATCH(BA27,NOI!$C$8:$H$8,0))/12,0)</f>
        <v>342964.547660232</v>
      </c>
      <c r="BB33" s="136">
        <f ca="1">IFERROR(INDEX(NOI!$C$76:$H$76,MATCH(BB27,NOI!$C$8:$H$8,0))/12,0)</f>
        <v>342964.547660232</v>
      </c>
      <c r="BC33" s="136">
        <f ca="1">IFERROR(INDEX(NOI!$C$76:$H$76,MATCH(BC27,NOI!$C$8:$H$8,0))/12,0)</f>
        <v>342964.547660232</v>
      </c>
      <c r="BD33" s="136">
        <f ca="1">IFERROR(INDEX(NOI!$C$76:$H$76,MATCH(BD27,NOI!$C$8:$H$8,0))/12,0)</f>
        <v>342964.547660232</v>
      </c>
      <c r="BE33" s="136">
        <f ca="1">IFERROR(INDEX(NOI!$C$76:$H$76,MATCH(BE27,NOI!$C$8:$H$8,0))/12,0)</f>
        <v>342964.547660232</v>
      </c>
      <c r="BF33" s="136">
        <f ca="1">IFERROR(INDEX(NOI!$C$76:$H$76,MATCH(BF27,NOI!$C$8:$H$8,0))/12,0)</f>
        <v>325167.19871248916</v>
      </c>
      <c r="BG33" s="136">
        <f ca="1">IFERROR(INDEX(NOI!$C$76:$H$76,MATCH(BG27,NOI!$C$8:$H$8,0))/12,0)</f>
        <v>325167.19871248916</v>
      </c>
      <c r="BH33" s="136">
        <f ca="1">IFERROR(INDEX(NOI!$C$76:$H$76,MATCH(BH27,NOI!$C$8:$H$8,0))/12,0)</f>
        <v>325167.19871248916</v>
      </c>
      <c r="BI33" s="136">
        <f ca="1">IFERROR(INDEX(NOI!$C$76:$H$76,MATCH(BI27,NOI!$C$8:$H$8,0))/12,0)</f>
        <v>325167.19871248916</v>
      </c>
      <c r="BJ33" s="136">
        <f ca="1">IFERROR(INDEX(NOI!$C$76:$H$76,MATCH(BJ27,NOI!$C$8:$H$8,0))/12,0)</f>
        <v>325167.19871248916</v>
      </c>
      <c r="BK33" s="136">
        <f ca="1">IFERROR(INDEX(NOI!$C$76:$H$76,MATCH(BK27,NOI!$C$8:$H$8,0))/12,0)</f>
        <v>325167.19871248916</v>
      </c>
      <c r="BL33" s="136">
        <f ca="1">IFERROR(INDEX(NOI!$C$76:$H$76,MATCH(BL27,NOI!$C$8:$H$8,0))/12,0)</f>
        <v>325167.19871248916</v>
      </c>
      <c r="BM33" s="136">
        <f ca="1">IFERROR(INDEX(NOI!$C$76:$H$76,MATCH(BM27,NOI!$C$8:$H$8,0))/12,0)</f>
        <v>325167.19871248916</v>
      </c>
      <c r="BN33" s="136">
        <f ca="1">IFERROR(INDEX(NOI!$C$76:$H$76,MATCH(BN27,NOI!$C$8:$H$8,0))/12,0)</f>
        <v>325167.19871248916</v>
      </c>
      <c r="BO33" s="136">
        <f ca="1">IFERROR(INDEX(NOI!$C$76:$H$76,MATCH(BO27,NOI!$C$8:$H$8,0))/12,0)</f>
        <v>325167.19871248916</v>
      </c>
      <c r="BP33" s="136">
        <f ca="1">IFERROR(INDEX(NOI!$C$76:$H$76,MATCH(BP27,NOI!$C$8:$H$8,0))/12,0)</f>
        <v>325167.19871248916</v>
      </c>
      <c r="BQ33" s="136">
        <f ca="1">IFERROR(INDEX(NOI!$C$76:$H$76,MATCH(BQ27,NOI!$C$8:$H$8,0))/12,0)</f>
        <v>325167.19871248916</v>
      </c>
      <c r="BR33" s="136">
        <f ca="1">IFERROR(INDEX(NOI!$C$76:$H$76,MATCH(BR27,NOI!$C$8:$H$8,0))/12,0)</f>
        <v>339812.11046128458</v>
      </c>
      <c r="BS33" s="136">
        <f ca="1">IFERROR(INDEX(NOI!$C$76:$H$76,MATCH(BS27,NOI!$C$8:$H$8,0))/12,0)</f>
        <v>339812.11046128458</v>
      </c>
      <c r="BT33" s="136">
        <f ca="1">IFERROR(INDEX(NOI!$C$76:$H$76,MATCH(BT27,NOI!$C$8:$H$8,0))/12,0)</f>
        <v>339812.11046128458</v>
      </c>
      <c r="BU33" s="136">
        <f ca="1">IFERROR(INDEX(NOI!$C$76:$H$76,MATCH(BU27,NOI!$C$8:$H$8,0))/12,0)</f>
        <v>339812.11046128458</v>
      </c>
      <c r="BV33" s="136">
        <f ca="1">IFERROR(INDEX(NOI!$C$76:$H$76,MATCH(BV27,NOI!$C$8:$H$8,0))/12,0)</f>
        <v>339812.11046128458</v>
      </c>
      <c r="BW33" s="136">
        <f ca="1">IFERROR(INDEX(NOI!$C$76:$H$76,MATCH(BW27,NOI!$C$8:$H$8,0))/12,0)</f>
        <v>339812.11046128458</v>
      </c>
      <c r="BX33" s="136">
        <f ca="1">IFERROR(INDEX(NOI!$C$76:$H$76,MATCH(BX27,NOI!$C$8:$H$8,0))/12,0)</f>
        <v>339812.11046128458</v>
      </c>
      <c r="BY33" s="136">
        <f ca="1">IFERROR(INDEX(NOI!$C$76:$H$76,MATCH(BY27,NOI!$C$8:$H$8,0))/12,0)</f>
        <v>339812.11046128458</v>
      </c>
      <c r="BZ33" s="136">
        <f ca="1">IFERROR(INDEX(NOI!$C$76:$H$76,MATCH(BZ27,NOI!$C$8:$H$8,0))/12,0)</f>
        <v>339812.11046128458</v>
      </c>
      <c r="CA33" s="136">
        <f ca="1">IFERROR(INDEX(NOI!$C$76:$H$76,MATCH(CA27,NOI!$C$8:$H$8,0))/12,0)</f>
        <v>339812.11046128458</v>
      </c>
      <c r="CB33" s="136">
        <f ca="1">IFERROR(INDEX(NOI!$C$76:$H$76,MATCH(CB27,NOI!$C$8:$H$8,0))/12,0)</f>
        <v>339812.11046128458</v>
      </c>
      <c r="CC33" s="136">
        <f ca="1">IFERROR(INDEX(NOI!$C$76:$H$76,MATCH(CC27,NOI!$C$8:$H$8,0))/12,0)</f>
        <v>339812.11046128458</v>
      </c>
      <c r="CD33" s="136">
        <f>IFERROR(INDEX(NOI!$C$76:$H$76,MATCH(CD27,NOI!$C$8:$H$8,0))/12,0)</f>
        <v>0</v>
      </c>
      <c r="CE33" s="136">
        <f>IFERROR(INDEX(NOI!$C$76:$H$76,MATCH(CE27,NOI!$C$8:$H$8,0))/12,0)</f>
        <v>0</v>
      </c>
      <c r="CF33" s="136">
        <f>IFERROR(INDEX(NOI!$C$76:$H$76,MATCH(CF27,NOI!$C$8:$H$8,0))/12,0)</f>
        <v>0</v>
      </c>
      <c r="CG33" s="136">
        <f>IFERROR(INDEX(NOI!$C$76:$H$76,MATCH(CG27,NOI!$C$8:$H$8,0))/12,0)</f>
        <v>0</v>
      </c>
      <c r="CH33" s="136">
        <f>IFERROR(INDEX(NOI!$C$76:$H$76,MATCH(CH27,NOI!$C$8:$H$8,0))/12,0)</f>
        <v>0</v>
      </c>
      <c r="CI33" s="136">
        <f>IFERROR(INDEX(NOI!$C$76:$H$76,MATCH(CI27,NOI!$C$8:$H$8,0))/12,0)</f>
        <v>0</v>
      </c>
      <c r="CJ33" s="136">
        <f>IFERROR(INDEX(NOI!$C$76:$H$76,MATCH(CJ27,NOI!$C$8:$H$8,0))/12,0)</f>
        <v>0</v>
      </c>
      <c r="CK33" s="136">
        <f>IFERROR(INDEX(NOI!$C$76:$H$76,MATCH(CK27,NOI!$C$8:$H$8,0))/12,0)</f>
        <v>0</v>
      </c>
      <c r="CL33" s="136">
        <f>IFERROR(INDEX(NOI!$C$76:$H$76,MATCH(CL27,NOI!$C$8:$H$8,0))/12,0)</f>
        <v>0</v>
      </c>
      <c r="CM33" s="136">
        <f>IFERROR(INDEX(NOI!$C$76:$H$76,MATCH(CM27,NOI!$C$8:$H$8,0))/12,0)</f>
        <v>0</v>
      </c>
      <c r="CN33" s="136">
        <f>IFERROR(INDEX(NOI!$C$76:$H$76,MATCH(CN27,NOI!$C$8:$H$8,0))/12,0)</f>
        <v>0</v>
      </c>
      <c r="CO33" s="136">
        <f>IFERROR(INDEX(NOI!$C$76:$H$76,MATCH(CO27,NOI!$C$8:$H$8,0))/12,0)</f>
        <v>0</v>
      </c>
      <c r="CP33" s="133" t="s">
        <v>15</v>
      </c>
    </row>
    <row r="34" spans="2:94" ht="15" customHeight="1" x14ac:dyDescent="0.2">
      <c r="D34" s="259"/>
      <c r="E34" s="269"/>
      <c r="F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row>
    <row r="35" spans="2:94" ht="15" customHeight="1" x14ac:dyDescent="0.2">
      <c r="D35" s="259" t="s">
        <v>194</v>
      </c>
      <c r="E35" s="269"/>
      <c r="F35" s="133" t="s">
        <v>196</v>
      </c>
      <c r="I35" s="136">
        <f t="shared" ref="I35:BT35" si="7">(Today&gt;=OpeningDate)*(Today&lt;=ExitDate)*I33</f>
        <v>0</v>
      </c>
      <c r="J35" s="136">
        <f t="shared" ca="1" si="7"/>
        <v>0</v>
      </c>
      <c r="K35" s="136">
        <f t="shared" ca="1" si="7"/>
        <v>0</v>
      </c>
      <c r="L35" s="136">
        <f t="shared" ca="1" si="7"/>
        <v>0</v>
      </c>
      <c r="M35" s="136">
        <f t="shared" ca="1" si="7"/>
        <v>0</v>
      </c>
      <c r="N35" s="136">
        <f t="shared" ca="1" si="7"/>
        <v>0</v>
      </c>
      <c r="O35" s="136">
        <f t="shared" ca="1" si="7"/>
        <v>0</v>
      </c>
      <c r="P35" s="136">
        <f t="shared" ca="1" si="7"/>
        <v>0</v>
      </c>
      <c r="Q35" s="136">
        <f t="shared" ca="1" si="7"/>
        <v>0</v>
      </c>
      <c r="R35" s="136">
        <f t="shared" ca="1" si="7"/>
        <v>0</v>
      </c>
      <c r="S35" s="136">
        <f t="shared" ca="1" si="7"/>
        <v>0</v>
      </c>
      <c r="T35" s="136">
        <f t="shared" ca="1" si="7"/>
        <v>0</v>
      </c>
      <c r="U35" s="136">
        <f t="shared" ca="1" si="7"/>
        <v>0</v>
      </c>
      <c r="V35" s="136">
        <f t="shared" ca="1" si="7"/>
        <v>0</v>
      </c>
      <c r="W35" s="136">
        <f t="shared" ca="1" si="7"/>
        <v>0</v>
      </c>
      <c r="X35" s="136">
        <f t="shared" ca="1" si="7"/>
        <v>0</v>
      </c>
      <c r="Y35" s="136">
        <f t="shared" ca="1" si="7"/>
        <v>0</v>
      </c>
      <c r="Z35" s="136">
        <f t="shared" ca="1" si="7"/>
        <v>0</v>
      </c>
      <c r="AA35" s="136">
        <f t="shared" ca="1" si="7"/>
        <v>0</v>
      </c>
      <c r="AB35" s="136">
        <f t="shared" ca="1" si="7"/>
        <v>0</v>
      </c>
      <c r="AC35" s="136">
        <f t="shared" ca="1" si="7"/>
        <v>0</v>
      </c>
      <c r="AD35" s="136">
        <f t="shared" ca="1" si="7"/>
        <v>0</v>
      </c>
      <c r="AE35" s="136">
        <f t="shared" ca="1" si="7"/>
        <v>0</v>
      </c>
      <c r="AF35" s="136">
        <f t="shared" ca="1" si="7"/>
        <v>0</v>
      </c>
      <c r="AG35" s="136">
        <f t="shared" ca="1" si="7"/>
        <v>0</v>
      </c>
      <c r="AH35" s="136">
        <f t="shared" ca="1" si="7"/>
        <v>314402.5132983856</v>
      </c>
      <c r="AI35" s="136">
        <f t="shared" ca="1" si="7"/>
        <v>314402.5132983856</v>
      </c>
      <c r="AJ35" s="136">
        <f t="shared" ca="1" si="7"/>
        <v>314402.5132983856</v>
      </c>
      <c r="AK35" s="136">
        <f t="shared" ca="1" si="7"/>
        <v>314402.5132983856</v>
      </c>
      <c r="AL35" s="136">
        <f t="shared" ca="1" si="7"/>
        <v>314402.5132983856</v>
      </c>
      <c r="AM35" s="136">
        <f t="shared" ca="1" si="7"/>
        <v>314402.5132983856</v>
      </c>
      <c r="AN35" s="136">
        <f t="shared" ca="1" si="7"/>
        <v>314402.5132983856</v>
      </c>
      <c r="AO35" s="136">
        <f t="shared" ca="1" si="7"/>
        <v>314402.5132983856</v>
      </c>
      <c r="AP35" s="136">
        <f t="shared" ca="1" si="7"/>
        <v>314402.5132983856</v>
      </c>
      <c r="AQ35" s="136">
        <f t="shared" ca="1" si="7"/>
        <v>314402.5132983856</v>
      </c>
      <c r="AR35" s="136">
        <f t="shared" ca="1" si="7"/>
        <v>314402.5132983856</v>
      </c>
      <c r="AS35" s="136">
        <f t="shared" ca="1" si="7"/>
        <v>314402.5132983856</v>
      </c>
      <c r="AT35" s="136">
        <f t="shared" ca="1" si="7"/>
        <v>342964.547660232</v>
      </c>
      <c r="AU35" s="136">
        <f t="shared" ca="1" si="7"/>
        <v>342964.547660232</v>
      </c>
      <c r="AV35" s="136">
        <f t="shared" ca="1" si="7"/>
        <v>342964.547660232</v>
      </c>
      <c r="AW35" s="136">
        <f t="shared" ca="1" si="7"/>
        <v>342964.547660232</v>
      </c>
      <c r="AX35" s="136">
        <f t="shared" ca="1" si="7"/>
        <v>342964.547660232</v>
      </c>
      <c r="AY35" s="136">
        <f t="shared" ca="1" si="7"/>
        <v>342964.547660232</v>
      </c>
      <c r="AZ35" s="136">
        <f t="shared" ca="1" si="7"/>
        <v>342964.547660232</v>
      </c>
      <c r="BA35" s="136">
        <f t="shared" ca="1" si="7"/>
        <v>342964.547660232</v>
      </c>
      <c r="BB35" s="136">
        <f t="shared" ca="1" si="7"/>
        <v>342964.547660232</v>
      </c>
      <c r="BC35" s="136">
        <f t="shared" ca="1" si="7"/>
        <v>342964.547660232</v>
      </c>
      <c r="BD35" s="136">
        <f t="shared" ca="1" si="7"/>
        <v>342964.547660232</v>
      </c>
      <c r="BE35" s="136">
        <f t="shared" ca="1" si="7"/>
        <v>342964.547660232</v>
      </c>
      <c r="BF35" s="136">
        <f t="shared" ca="1" si="7"/>
        <v>325167.19871248916</v>
      </c>
      <c r="BG35" s="136">
        <f t="shared" ca="1" si="7"/>
        <v>325167.19871248916</v>
      </c>
      <c r="BH35" s="136">
        <f t="shared" ca="1" si="7"/>
        <v>325167.19871248916</v>
      </c>
      <c r="BI35" s="136">
        <f t="shared" ca="1" si="7"/>
        <v>325167.19871248916</v>
      </c>
      <c r="BJ35" s="136">
        <f t="shared" ca="1" si="7"/>
        <v>325167.19871248916</v>
      </c>
      <c r="BK35" s="136">
        <f t="shared" ca="1" si="7"/>
        <v>325167.19871248916</v>
      </c>
      <c r="BL35" s="136">
        <f t="shared" ca="1" si="7"/>
        <v>325167.19871248916</v>
      </c>
      <c r="BM35" s="136">
        <f t="shared" ca="1" si="7"/>
        <v>325167.19871248916</v>
      </c>
      <c r="BN35" s="136">
        <f t="shared" ca="1" si="7"/>
        <v>325167.19871248916</v>
      </c>
      <c r="BO35" s="136">
        <f t="shared" ca="1" si="7"/>
        <v>325167.19871248916</v>
      </c>
      <c r="BP35" s="136">
        <f t="shared" ca="1" si="7"/>
        <v>325167.19871248916</v>
      </c>
      <c r="BQ35" s="136">
        <f t="shared" ca="1" si="7"/>
        <v>325167.19871248916</v>
      </c>
      <c r="BR35" s="136">
        <f t="shared" ca="1" si="7"/>
        <v>339812.11046128458</v>
      </c>
      <c r="BS35" s="136">
        <f t="shared" ca="1" si="7"/>
        <v>339812.11046128458</v>
      </c>
      <c r="BT35" s="136">
        <f t="shared" ca="1" si="7"/>
        <v>339812.11046128458</v>
      </c>
      <c r="BU35" s="136">
        <f t="shared" ref="BU35:CO35" ca="1" si="8">(Today&gt;=OpeningDate)*(Today&lt;=ExitDate)*BU33</f>
        <v>339812.11046128458</v>
      </c>
      <c r="BV35" s="136">
        <f t="shared" ca="1" si="8"/>
        <v>339812.11046128458</v>
      </c>
      <c r="BW35" s="136">
        <f t="shared" ca="1" si="8"/>
        <v>339812.11046128458</v>
      </c>
      <c r="BX35" s="136">
        <f t="shared" ca="1" si="8"/>
        <v>339812.11046128458</v>
      </c>
      <c r="BY35" s="136">
        <f t="shared" ca="1" si="8"/>
        <v>339812.11046128458</v>
      </c>
      <c r="BZ35" s="136">
        <f t="shared" ca="1" si="8"/>
        <v>339812.11046128458</v>
      </c>
      <c r="CA35" s="136">
        <f t="shared" ca="1" si="8"/>
        <v>339812.11046128458</v>
      </c>
      <c r="CB35" s="136">
        <f t="shared" ca="1" si="8"/>
        <v>339812.11046128458</v>
      </c>
      <c r="CC35" s="136">
        <f t="shared" ca="1" si="8"/>
        <v>339812.11046128458</v>
      </c>
      <c r="CD35" s="136">
        <f t="shared" si="8"/>
        <v>0</v>
      </c>
      <c r="CE35" s="136">
        <f t="shared" si="8"/>
        <v>0</v>
      </c>
      <c r="CF35" s="136">
        <f t="shared" si="8"/>
        <v>0</v>
      </c>
      <c r="CG35" s="136">
        <f t="shared" si="8"/>
        <v>0</v>
      </c>
      <c r="CH35" s="136">
        <f t="shared" si="8"/>
        <v>0</v>
      </c>
      <c r="CI35" s="136">
        <f t="shared" si="8"/>
        <v>0</v>
      </c>
      <c r="CJ35" s="136">
        <f t="shared" si="8"/>
        <v>0</v>
      </c>
      <c r="CK35" s="136">
        <f t="shared" si="8"/>
        <v>0</v>
      </c>
      <c r="CL35" s="136">
        <f t="shared" si="8"/>
        <v>0</v>
      </c>
      <c r="CM35" s="136">
        <f t="shared" si="8"/>
        <v>0</v>
      </c>
      <c r="CN35" s="136">
        <f t="shared" si="8"/>
        <v>0</v>
      </c>
      <c r="CO35" s="136">
        <f t="shared" si="8"/>
        <v>0</v>
      </c>
      <c r="CP35" s="133" t="s">
        <v>15</v>
      </c>
    </row>
    <row r="36" spans="2:94" ht="15" customHeight="1" x14ac:dyDescent="0.2">
      <c r="C36" s="133" t="s">
        <v>298</v>
      </c>
      <c r="D36" s="259" t="s">
        <v>194</v>
      </c>
      <c r="E36" s="269"/>
      <c r="F36" s="133" t="s">
        <v>197</v>
      </c>
      <c r="I36" s="136">
        <f t="shared" ref="I36:AN36" ca="1" si="9">IF(Today&lt;OpeningDate,0,SUM(OFFSET(I35,,0,1,-12)))</f>
        <v>0</v>
      </c>
      <c r="J36" s="136">
        <f t="shared" ca="1" si="9"/>
        <v>0</v>
      </c>
      <c r="K36" s="136">
        <f t="shared" ca="1" si="9"/>
        <v>0</v>
      </c>
      <c r="L36" s="136">
        <f t="shared" ca="1" si="9"/>
        <v>0</v>
      </c>
      <c r="M36" s="136">
        <f t="shared" ca="1" si="9"/>
        <v>0</v>
      </c>
      <c r="N36" s="136">
        <f t="shared" ca="1" si="9"/>
        <v>0</v>
      </c>
      <c r="O36" s="136">
        <f t="shared" ca="1" si="9"/>
        <v>0</v>
      </c>
      <c r="P36" s="136">
        <f t="shared" ca="1" si="9"/>
        <v>0</v>
      </c>
      <c r="Q36" s="136">
        <f t="shared" ca="1" si="9"/>
        <v>0</v>
      </c>
      <c r="R36" s="136">
        <f t="shared" ca="1" si="9"/>
        <v>0</v>
      </c>
      <c r="S36" s="136">
        <f t="shared" ca="1" si="9"/>
        <v>0</v>
      </c>
      <c r="T36" s="136">
        <f t="shared" ca="1" si="9"/>
        <v>0</v>
      </c>
      <c r="U36" s="136">
        <f t="shared" ca="1" si="9"/>
        <v>0</v>
      </c>
      <c r="V36" s="136">
        <f t="shared" ca="1" si="9"/>
        <v>0</v>
      </c>
      <c r="W36" s="136">
        <f t="shared" ca="1" si="9"/>
        <v>0</v>
      </c>
      <c r="X36" s="136">
        <f t="shared" ca="1" si="9"/>
        <v>0</v>
      </c>
      <c r="Y36" s="136">
        <f t="shared" ca="1" si="9"/>
        <v>0</v>
      </c>
      <c r="Z36" s="136">
        <f t="shared" ca="1" si="9"/>
        <v>0</v>
      </c>
      <c r="AA36" s="136">
        <f t="shared" ca="1" si="9"/>
        <v>0</v>
      </c>
      <c r="AB36" s="136">
        <f t="shared" ca="1" si="9"/>
        <v>0</v>
      </c>
      <c r="AC36" s="136">
        <f t="shared" ca="1" si="9"/>
        <v>0</v>
      </c>
      <c r="AD36" s="136">
        <f t="shared" ca="1" si="9"/>
        <v>0</v>
      </c>
      <c r="AE36" s="136">
        <f t="shared" ca="1" si="9"/>
        <v>0</v>
      </c>
      <c r="AF36" s="136">
        <f t="shared" ca="1" si="9"/>
        <v>0</v>
      </c>
      <c r="AG36" s="136">
        <f t="shared" ca="1" si="9"/>
        <v>0</v>
      </c>
      <c r="AH36" s="136">
        <f t="shared" ca="1" si="9"/>
        <v>314402.5132983856</v>
      </c>
      <c r="AI36" s="136">
        <f t="shared" ca="1" si="9"/>
        <v>628805.0265967712</v>
      </c>
      <c r="AJ36" s="136">
        <f t="shared" ca="1" si="9"/>
        <v>943207.53989515686</v>
      </c>
      <c r="AK36" s="136">
        <f t="shared" ca="1" si="9"/>
        <v>1257610.0531935424</v>
      </c>
      <c r="AL36" s="136">
        <f t="shared" ca="1" si="9"/>
        <v>1572012.566491928</v>
      </c>
      <c r="AM36" s="136">
        <f t="shared" ca="1" si="9"/>
        <v>1886415.0797903135</v>
      </c>
      <c r="AN36" s="136">
        <f t="shared" ca="1" si="9"/>
        <v>2200817.593088699</v>
      </c>
      <c r="AO36" s="136">
        <f t="shared" ref="AO36:BT36" ca="1" si="10">IF(Today&lt;OpeningDate,0,SUM(OFFSET(AO35,,0,1,-12)))</f>
        <v>2515220.1063870848</v>
      </c>
      <c r="AP36" s="136">
        <f t="shared" ca="1" si="10"/>
        <v>2829622.6196854706</v>
      </c>
      <c r="AQ36" s="136">
        <f t="shared" ca="1" si="10"/>
        <v>3144025.1329838564</v>
      </c>
      <c r="AR36" s="136">
        <f t="shared" ca="1" si="10"/>
        <v>3458427.6462822421</v>
      </c>
      <c r="AS36" s="136">
        <f t="shared" ca="1" si="10"/>
        <v>3772830.1595806279</v>
      </c>
      <c r="AT36" s="136">
        <f t="shared" ca="1" si="10"/>
        <v>3801392.1939424742</v>
      </c>
      <c r="AU36" s="136">
        <f t="shared" ca="1" si="10"/>
        <v>3829954.2283043205</v>
      </c>
      <c r="AV36" s="136">
        <f t="shared" ca="1" si="10"/>
        <v>3858516.2626661668</v>
      </c>
      <c r="AW36" s="136">
        <f t="shared" ca="1" si="10"/>
        <v>3887078.297028013</v>
      </c>
      <c r="AX36" s="136">
        <f t="shared" ca="1" si="10"/>
        <v>3915640.3313898593</v>
      </c>
      <c r="AY36" s="136">
        <f t="shared" ca="1" si="10"/>
        <v>3944202.3657517056</v>
      </c>
      <c r="AZ36" s="136">
        <f t="shared" ca="1" si="10"/>
        <v>3972764.4001135523</v>
      </c>
      <c r="BA36" s="136">
        <f t="shared" ca="1" si="10"/>
        <v>4001326.4344753986</v>
      </c>
      <c r="BB36" s="136">
        <f t="shared" ca="1" si="10"/>
        <v>4029888.4688372454</v>
      </c>
      <c r="BC36" s="136">
        <f t="shared" ca="1" si="10"/>
        <v>4058450.5031990916</v>
      </c>
      <c r="BD36" s="136">
        <f t="shared" ca="1" si="10"/>
        <v>4087012.5375609379</v>
      </c>
      <c r="BE36" s="136">
        <f t="shared" ca="1" si="10"/>
        <v>4115574.5719227842</v>
      </c>
      <c r="BF36" s="136">
        <f t="shared" ca="1" si="10"/>
        <v>4097777.2229750413</v>
      </c>
      <c r="BG36" s="136">
        <f t="shared" ca="1" si="10"/>
        <v>4079979.8740272983</v>
      </c>
      <c r="BH36" s="136">
        <f t="shared" ca="1" si="10"/>
        <v>4062182.5250795553</v>
      </c>
      <c r="BI36" s="136">
        <f t="shared" ca="1" si="10"/>
        <v>4044385.1761318124</v>
      </c>
      <c r="BJ36" s="136">
        <f t="shared" ca="1" si="10"/>
        <v>4026587.8271840694</v>
      </c>
      <c r="BK36" s="136">
        <f t="shared" ca="1" si="10"/>
        <v>4008790.4782363269</v>
      </c>
      <c r="BL36" s="136">
        <f t="shared" ca="1" si="10"/>
        <v>3990993.129288584</v>
      </c>
      <c r="BM36" s="136">
        <f t="shared" ca="1" si="10"/>
        <v>3973195.780340841</v>
      </c>
      <c r="BN36" s="136">
        <f t="shared" ca="1" si="10"/>
        <v>3955398.4313930981</v>
      </c>
      <c r="BO36" s="136">
        <f t="shared" ca="1" si="10"/>
        <v>3937601.0824453551</v>
      </c>
      <c r="BP36" s="136">
        <f t="shared" ca="1" si="10"/>
        <v>3919803.7334976122</v>
      </c>
      <c r="BQ36" s="136">
        <f t="shared" ca="1" si="10"/>
        <v>3902006.3845498697</v>
      </c>
      <c r="BR36" s="136">
        <f t="shared" ca="1" si="10"/>
        <v>3916651.296298665</v>
      </c>
      <c r="BS36" s="136">
        <f t="shared" ca="1" si="10"/>
        <v>3931296.2080474603</v>
      </c>
      <c r="BT36" s="136">
        <f t="shared" ca="1" si="10"/>
        <v>3945941.1197962556</v>
      </c>
      <c r="BU36" s="136">
        <f t="shared" ref="BU36:CO36" ca="1" si="11">IF(Today&lt;OpeningDate,0,SUM(OFFSET(BU35,,0,1,-12)))</f>
        <v>3960586.0315450509</v>
      </c>
      <c r="BV36" s="136">
        <f t="shared" ca="1" si="11"/>
        <v>3975230.9432938462</v>
      </c>
      <c r="BW36" s="136">
        <f t="shared" ca="1" si="11"/>
        <v>3989875.8550426415</v>
      </c>
      <c r="BX36" s="136">
        <f t="shared" ca="1" si="11"/>
        <v>4004520.7667914368</v>
      </c>
      <c r="BY36" s="136">
        <f t="shared" ca="1" si="11"/>
        <v>4019165.6785402326</v>
      </c>
      <c r="BZ36" s="136">
        <f t="shared" ca="1" si="11"/>
        <v>4033810.5902890279</v>
      </c>
      <c r="CA36" s="136">
        <f t="shared" ca="1" si="11"/>
        <v>4048455.5020378232</v>
      </c>
      <c r="CB36" s="136">
        <f t="shared" ca="1" si="11"/>
        <v>4063100.413786619</v>
      </c>
      <c r="CC36" s="136">
        <f t="shared" ca="1" si="11"/>
        <v>4077745.3255354143</v>
      </c>
      <c r="CD36" s="136">
        <f t="shared" ca="1" si="11"/>
        <v>3737933.2150741299</v>
      </c>
      <c r="CE36" s="136">
        <f t="shared" ca="1" si="11"/>
        <v>3398121.1046128455</v>
      </c>
      <c r="CF36" s="136">
        <f t="shared" ca="1" si="11"/>
        <v>3058308.9941515611</v>
      </c>
      <c r="CG36" s="136">
        <f t="shared" ca="1" si="11"/>
        <v>2718496.8836902766</v>
      </c>
      <c r="CH36" s="136">
        <f t="shared" ca="1" si="11"/>
        <v>2378684.7732289922</v>
      </c>
      <c r="CI36" s="136">
        <f t="shared" ca="1" si="11"/>
        <v>2038872.6627677076</v>
      </c>
      <c r="CJ36" s="136">
        <f t="shared" ca="1" si="11"/>
        <v>1699060.552306423</v>
      </c>
      <c r="CK36" s="136">
        <f t="shared" ca="1" si="11"/>
        <v>1359248.4418451383</v>
      </c>
      <c r="CL36" s="136">
        <f t="shared" ca="1" si="11"/>
        <v>1019436.3313838537</v>
      </c>
      <c r="CM36" s="136">
        <f t="shared" ca="1" si="11"/>
        <v>679624.22092256916</v>
      </c>
      <c r="CN36" s="136">
        <f t="shared" ca="1" si="11"/>
        <v>339812.11046128458</v>
      </c>
      <c r="CO36" s="136">
        <f t="shared" ca="1" si="11"/>
        <v>0</v>
      </c>
      <c r="CP36" s="133" t="s">
        <v>15</v>
      </c>
    </row>
    <row r="37" spans="2:94" ht="15" customHeight="1" x14ac:dyDescent="0.2">
      <c r="D37" s="259"/>
      <c r="E37" s="269"/>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row>
    <row r="38" spans="2:94" ht="15" customHeight="1" x14ac:dyDescent="0.2">
      <c r="B38" s="136">
        <f ca="1">SUM(I38:CO38)</f>
        <v>15868156.441588696</v>
      </c>
      <c r="C38" s="133" t="s">
        <v>294</v>
      </c>
      <c r="D38" s="259" t="s">
        <v>194</v>
      </c>
      <c r="E38" s="269"/>
      <c r="F38" s="133" t="s">
        <v>24</v>
      </c>
      <c r="I38" s="136">
        <f>I35</f>
        <v>0</v>
      </c>
      <c r="J38" s="136">
        <f t="shared" ref="J38:BU38" ca="1" si="12">J35</f>
        <v>0</v>
      </c>
      <c r="K38" s="136">
        <f t="shared" ca="1" si="12"/>
        <v>0</v>
      </c>
      <c r="L38" s="136">
        <f t="shared" ca="1" si="12"/>
        <v>0</v>
      </c>
      <c r="M38" s="136">
        <f t="shared" ca="1" si="12"/>
        <v>0</v>
      </c>
      <c r="N38" s="136">
        <f t="shared" ca="1" si="12"/>
        <v>0</v>
      </c>
      <c r="O38" s="136">
        <f t="shared" ca="1" si="12"/>
        <v>0</v>
      </c>
      <c r="P38" s="136">
        <f t="shared" ca="1" si="12"/>
        <v>0</v>
      </c>
      <c r="Q38" s="136">
        <f t="shared" ca="1" si="12"/>
        <v>0</v>
      </c>
      <c r="R38" s="136">
        <f t="shared" ca="1" si="12"/>
        <v>0</v>
      </c>
      <c r="S38" s="136">
        <f t="shared" ca="1" si="12"/>
        <v>0</v>
      </c>
      <c r="T38" s="136">
        <f t="shared" ca="1" si="12"/>
        <v>0</v>
      </c>
      <c r="U38" s="136">
        <f t="shared" ca="1" si="12"/>
        <v>0</v>
      </c>
      <c r="V38" s="136">
        <f t="shared" ca="1" si="12"/>
        <v>0</v>
      </c>
      <c r="W38" s="136">
        <f t="shared" ca="1" si="12"/>
        <v>0</v>
      </c>
      <c r="X38" s="136">
        <f t="shared" ca="1" si="12"/>
        <v>0</v>
      </c>
      <c r="Y38" s="136">
        <f t="shared" ca="1" si="12"/>
        <v>0</v>
      </c>
      <c r="Z38" s="136">
        <f t="shared" ca="1" si="12"/>
        <v>0</v>
      </c>
      <c r="AA38" s="136">
        <f t="shared" ca="1" si="12"/>
        <v>0</v>
      </c>
      <c r="AB38" s="136">
        <f t="shared" ca="1" si="12"/>
        <v>0</v>
      </c>
      <c r="AC38" s="136">
        <f t="shared" ca="1" si="12"/>
        <v>0</v>
      </c>
      <c r="AD38" s="136">
        <f t="shared" ca="1" si="12"/>
        <v>0</v>
      </c>
      <c r="AE38" s="136">
        <f t="shared" ca="1" si="12"/>
        <v>0</v>
      </c>
      <c r="AF38" s="136">
        <f t="shared" ca="1" si="12"/>
        <v>0</v>
      </c>
      <c r="AG38" s="136">
        <f t="shared" ca="1" si="12"/>
        <v>0</v>
      </c>
      <c r="AH38" s="136">
        <f t="shared" ca="1" si="12"/>
        <v>314402.5132983856</v>
      </c>
      <c r="AI38" s="136">
        <f t="shared" ca="1" si="12"/>
        <v>314402.5132983856</v>
      </c>
      <c r="AJ38" s="136">
        <f t="shared" ca="1" si="12"/>
        <v>314402.5132983856</v>
      </c>
      <c r="AK38" s="136">
        <f t="shared" ca="1" si="12"/>
        <v>314402.5132983856</v>
      </c>
      <c r="AL38" s="136">
        <f t="shared" ca="1" si="12"/>
        <v>314402.5132983856</v>
      </c>
      <c r="AM38" s="136">
        <f t="shared" ca="1" si="12"/>
        <v>314402.5132983856</v>
      </c>
      <c r="AN38" s="136">
        <f t="shared" ca="1" si="12"/>
        <v>314402.5132983856</v>
      </c>
      <c r="AO38" s="136">
        <f t="shared" ca="1" si="12"/>
        <v>314402.5132983856</v>
      </c>
      <c r="AP38" s="136">
        <f t="shared" ca="1" si="12"/>
        <v>314402.5132983856</v>
      </c>
      <c r="AQ38" s="136">
        <f t="shared" ca="1" si="12"/>
        <v>314402.5132983856</v>
      </c>
      <c r="AR38" s="136">
        <f t="shared" ca="1" si="12"/>
        <v>314402.5132983856</v>
      </c>
      <c r="AS38" s="136">
        <f t="shared" ca="1" si="12"/>
        <v>314402.5132983856</v>
      </c>
      <c r="AT38" s="136">
        <f t="shared" ca="1" si="12"/>
        <v>342964.547660232</v>
      </c>
      <c r="AU38" s="136">
        <f t="shared" ca="1" si="12"/>
        <v>342964.547660232</v>
      </c>
      <c r="AV38" s="136">
        <f t="shared" ca="1" si="12"/>
        <v>342964.547660232</v>
      </c>
      <c r="AW38" s="136">
        <f t="shared" ca="1" si="12"/>
        <v>342964.547660232</v>
      </c>
      <c r="AX38" s="136">
        <f t="shared" ca="1" si="12"/>
        <v>342964.547660232</v>
      </c>
      <c r="AY38" s="136">
        <f t="shared" ca="1" si="12"/>
        <v>342964.547660232</v>
      </c>
      <c r="AZ38" s="136">
        <f t="shared" ca="1" si="12"/>
        <v>342964.547660232</v>
      </c>
      <c r="BA38" s="136">
        <f t="shared" ca="1" si="12"/>
        <v>342964.547660232</v>
      </c>
      <c r="BB38" s="136">
        <f t="shared" ca="1" si="12"/>
        <v>342964.547660232</v>
      </c>
      <c r="BC38" s="136">
        <f t="shared" ca="1" si="12"/>
        <v>342964.547660232</v>
      </c>
      <c r="BD38" s="136">
        <f t="shared" ca="1" si="12"/>
        <v>342964.547660232</v>
      </c>
      <c r="BE38" s="136">
        <f t="shared" ca="1" si="12"/>
        <v>342964.547660232</v>
      </c>
      <c r="BF38" s="136">
        <f t="shared" ca="1" si="12"/>
        <v>325167.19871248916</v>
      </c>
      <c r="BG38" s="136">
        <f t="shared" ca="1" si="12"/>
        <v>325167.19871248916</v>
      </c>
      <c r="BH38" s="136">
        <f t="shared" ca="1" si="12"/>
        <v>325167.19871248916</v>
      </c>
      <c r="BI38" s="136">
        <f t="shared" ca="1" si="12"/>
        <v>325167.19871248916</v>
      </c>
      <c r="BJ38" s="136">
        <f t="shared" ca="1" si="12"/>
        <v>325167.19871248916</v>
      </c>
      <c r="BK38" s="136">
        <f t="shared" ca="1" si="12"/>
        <v>325167.19871248916</v>
      </c>
      <c r="BL38" s="136">
        <f t="shared" ca="1" si="12"/>
        <v>325167.19871248916</v>
      </c>
      <c r="BM38" s="136">
        <f t="shared" ca="1" si="12"/>
        <v>325167.19871248916</v>
      </c>
      <c r="BN38" s="136">
        <f t="shared" ca="1" si="12"/>
        <v>325167.19871248916</v>
      </c>
      <c r="BO38" s="136">
        <f t="shared" ca="1" si="12"/>
        <v>325167.19871248916</v>
      </c>
      <c r="BP38" s="136">
        <f t="shared" ca="1" si="12"/>
        <v>325167.19871248916</v>
      </c>
      <c r="BQ38" s="136">
        <f t="shared" ca="1" si="12"/>
        <v>325167.19871248916</v>
      </c>
      <c r="BR38" s="136">
        <f t="shared" ca="1" si="12"/>
        <v>339812.11046128458</v>
      </c>
      <c r="BS38" s="136">
        <f t="shared" ca="1" si="12"/>
        <v>339812.11046128458</v>
      </c>
      <c r="BT38" s="136">
        <f t="shared" ca="1" si="12"/>
        <v>339812.11046128458</v>
      </c>
      <c r="BU38" s="136">
        <f t="shared" ca="1" si="12"/>
        <v>339812.11046128458</v>
      </c>
      <c r="BV38" s="136">
        <f t="shared" ref="BV38:CO38" ca="1" si="13">BV35</f>
        <v>339812.11046128458</v>
      </c>
      <c r="BW38" s="136">
        <f t="shared" ca="1" si="13"/>
        <v>339812.11046128458</v>
      </c>
      <c r="BX38" s="136">
        <f t="shared" ca="1" si="13"/>
        <v>339812.11046128458</v>
      </c>
      <c r="BY38" s="136">
        <f t="shared" ca="1" si="13"/>
        <v>339812.11046128458</v>
      </c>
      <c r="BZ38" s="136">
        <f t="shared" ca="1" si="13"/>
        <v>339812.11046128458</v>
      </c>
      <c r="CA38" s="136">
        <f t="shared" ca="1" si="13"/>
        <v>339812.11046128458</v>
      </c>
      <c r="CB38" s="136">
        <f t="shared" ca="1" si="13"/>
        <v>339812.11046128458</v>
      </c>
      <c r="CC38" s="136">
        <f t="shared" ca="1" si="13"/>
        <v>339812.11046128458</v>
      </c>
      <c r="CD38" s="136">
        <f t="shared" si="13"/>
        <v>0</v>
      </c>
      <c r="CE38" s="136">
        <f t="shared" si="13"/>
        <v>0</v>
      </c>
      <c r="CF38" s="136">
        <f t="shared" si="13"/>
        <v>0</v>
      </c>
      <c r="CG38" s="136">
        <f t="shared" si="13"/>
        <v>0</v>
      </c>
      <c r="CH38" s="136">
        <f t="shared" si="13"/>
        <v>0</v>
      </c>
      <c r="CI38" s="136">
        <f t="shared" si="13"/>
        <v>0</v>
      </c>
      <c r="CJ38" s="136">
        <f t="shared" si="13"/>
        <v>0</v>
      </c>
      <c r="CK38" s="136">
        <f t="shared" si="13"/>
        <v>0</v>
      </c>
      <c r="CL38" s="136">
        <f t="shared" si="13"/>
        <v>0</v>
      </c>
      <c r="CM38" s="136">
        <f t="shared" si="13"/>
        <v>0</v>
      </c>
      <c r="CN38" s="136">
        <f t="shared" si="13"/>
        <v>0</v>
      </c>
      <c r="CO38" s="136">
        <f t="shared" si="13"/>
        <v>0</v>
      </c>
      <c r="CP38" s="13" t="s">
        <v>15</v>
      </c>
    </row>
    <row r="39" spans="2:94" ht="15" customHeight="1" x14ac:dyDescent="0.2">
      <c r="B39" s="136">
        <f>SUM(I39:CO39)</f>
        <v>-28520153.000000004</v>
      </c>
      <c r="C39" s="133" t="s">
        <v>198</v>
      </c>
      <c r="D39" s="259" t="s">
        <v>199</v>
      </c>
      <c r="E39" s="269"/>
      <c r="F39" s="133" t="s">
        <v>200</v>
      </c>
      <c r="I39" s="136">
        <f>-Construction!E32</f>
        <v>-8050223.9014285719</v>
      </c>
      <c r="J39" s="136">
        <f>-Construction!F32</f>
        <v>-311434.77285714279</v>
      </c>
      <c r="K39" s="136">
        <f>-Construction!G32</f>
        <v>-311434.77285714279</v>
      </c>
      <c r="L39" s="136">
        <f>-Construction!H32</f>
        <v>-334774.57285714283</v>
      </c>
      <c r="M39" s="136">
        <f>-Construction!I32</f>
        <v>-317269.7228571428</v>
      </c>
      <c r="N39" s="136">
        <f>-Construction!J32</f>
        <v>-268256.14285714284</v>
      </c>
      <c r="O39" s="136">
        <f>-Construction!K32</f>
        <v>-455644.58496240602</v>
      </c>
      <c r="P39" s="136">
        <f>-Construction!L32</f>
        <v>-697211.51496240601</v>
      </c>
      <c r="Q39" s="136">
        <f>-Construction!M32</f>
        <v>-697211.51496240601</v>
      </c>
      <c r="R39" s="136">
        <f>-Construction!N32</f>
        <v>-697211.51496240601</v>
      </c>
      <c r="S39" s="136">
        <f>-Construction!O32</f>
        <v>-697211.51496240601</v>
      </c>
      <c r="T39" s="136">
        <f>-Construction!P32</f>
        <v>-697211.51496240601</v>
      </c>
      <c r="U39" s="136">
        <f>-Construction!Q32</f>
        <v>-697211.51496240601</v>
      </c>
      <c r="V39" s="136">
        <f>-Construction!R32</f>
        <v>-1075316.2749624059</v>
      </c>
      <c r="W39" s="136">
        <f>-Construction!S32</f>
        <v>-1192015.2749624061</v>
      </c>
      <c r="X39" s="136">
        <f>-Construction!T32</f>
        <v>-970287.17496240605</v>
      </c>
      <c r="Y39" s="136">
        <f>-Construction!U32</f>
        <v>-1238694.874962406</v>
      </c>
      <c r="Z39" s="136">
        <f>-Construction!V32</f>
        <v>-1259170.2449624061</v>
      </c>
      <c r="AA39" s="136">
        <f>-Construction!W32</f>
        <v>-1259170.2449624061</v>
      </c>
      <c r="AB39" s="136">
        <f>-Construction!X32</f>
        <v>-1259170.2449624061</v>
      </c>
      <c r="AC39" s="136">
        <f>-Construction!Y32</f>
        <v>-1291845.9649624061</v>
      </c>
      <c r="AD39" s="136">
        <f>-Construction!Z32</f>
        <v>-1492356.0649624062</v>
      </c>
      <c r="AE39" s="136">
        <f>-Construction!AA32</f>
        <v>-1382022.4649624061</v>
      </c>
      <c r="AF39" s="136">
        <f>-Construction!AB32</f>
        <v>-583801.30496240593</v>
      </c>
      <c r="AG39" s="136">
        <f>-Construction!AC32</f>
        <v>-1283995.3049624062</v>
      </c>
      <c r="AH39" s="136">
        <f>-Construction!AD32</f>
        <v>0</v>
      </c>
      <c r="AI39" s="136">
        <f>-Construction!AE32</f>
        <v>0</v>
      </c>
      <c r="AJ39" s="136">
        <f>-Construction!AF32</f>
        <v>0</v>
      </c>
      <c r="AK39" s="136">
        <f>-Construction!AG32</f>
        <v>0</v>
      </c>
      <c r="AL39" s="136">
        <f>-Construction!AH32</f>
        <v>0</v>
      </c>
      <c r="AM39" s="136">
        <f>-Construction!AI32</f>
        <v>0</v>
      </c>
      <c r="AN39" s="136">
        <f>-Construction!AJ32</f>
        <v>0</v>
      </c>
      <c r="AO39" s="136">
        <f>-Construction!AK32</f>
        <v>0</v>
      </c>
      <c r="AP39" s="136">
        <f>-Construction!AL32</f>
        <v>0</v>
      </c>
      <c r="AQ39" s="136">
        <f>-Construction!AM32</f>
        <v>0</v>
      </c>
      <c r="AR39" s="136">
        <f>-Construction!AN32</f>
        <v>0</v>
      </c>
      <c r="AS39" s="136">
        <f>-Construction!AO32</f>
        <v>0</v>
      </c>
      <c r="AT39" s="136">
        <f>-Construction!AP32</f>
        <v>0</v>
      </c>
      <c r="AU39" s="136">
        <f>-Construction!AQ32</f>
        <v>0</v>
      </c>
      <c r="AV39" s="136">
        <f>-Construction!AR32</f>
        <v>0</v>
      </c>
      <c r="AW39" s="136">
        <f>-Construction!AS32</f>
        <v>0</v>
      </c>
      <c r="AX39" s="136">
        <f>-Construction!AT32</f>
        <v>0</v>
      </c>
      <c r="AY39" s="136">
        <f>-Construction!AU32</f>
        <v>0</v>
      </c>
      <c r="AZ39" s="136">
        <f>-Construction!AV32</f>
        <v>0</v>
      </c>
      <c r="BA39" s="136">
        <f>-Construction!AW32</f>
        <v>0</v>
      </c>
      <c r="BB39" s="136">
        <f>-Construction!AX32</f>
        <v>0</v>
      </c>
      <c r="BC39" s="136">
        <f>-Construction!AY32</f>
        <v>0</v>
      </c>
      <c r="BD39" s="136">
        <f>-Construction!AZ32</f>
        <v>0</v>
      </c>
      <c r="BE39" s="136">
        <f>-Construction!BA32</f>
        <v>0</v>
      </c>
      <c r="BF39" s="136">
        <f>-Construction!BB32</f>
        <v>0</v>
      </c>
      <c r="BG39" s="136">
        <f>-Construction!BC32</f>
        <v>0</v>
      </c>
      <c r="BH39" s="136">
        <f>-Construction!BD32</f>
        <v>0</v>
      </c>
      <c r="BI39" s="136">
        <f>-Construction!BE32</f>
        <v>0</v>
      </c>
      <c r="BJ39" s="136">
        <f>-Construction!BF32</f>
        <v>0</v>
      </c>
      <c r="BK39" s="136">
        <f>-Construction!BG32</f>
        <v>0</v>
      </c>
      <c r="BL39" s="136">
        <f>-Construction!BH32</f>
        <v>0</v>
      </c>
      <c r="BM39" s="136">
        <f>-Construction!BI32</f>
        <v>0</v>
      </c>
      <c r="BN39" s="136">
        <f>-Construction!BJ32</f>
        <v>0</v>
      </c>
      <c r="BO39" s="136">
        <f>-Construction!BK32</f>
        <v>0</v>
      </c>
      <c r="BP39" s="136">
        <f>-Construction!BL32</f>
        <v>0</v>
      </c>
      <c r="BQ39" s="136">
        <f>-Construction!BM32</f>
        <v>0</v>
      </c>
      <c r="BR39" s="136">
        <f>-Construction!BN32</f>
        <v>0</v>
      </c>
      <c r="BS39" s="136">
        <f>-Construction!BO32</f>
        <v>0</v>
      </c>
      <c r="BT39" s="136">
        <f>-Construction!BP32</f>
        <v>0</v>
      </c>
      <c r="BU39" s="136">
        <f>-Construction!BQ32</f>
        <v>0</v>
      </c>
      <c r="BV39" s="136">
        <f>-Construction!BR32</f>
        <v>0</v>
      </c>
      <c r="BW39" s="136">
        <f>-Construction!BS32</f>
        <v>0</v>
      </c>
      <c r="BX39" s="136">
        <f>-Construction!BT32</f>
        <v>0</v>
      </c>
      <c r="BY39" s="136">
        <f>-Construction!BU32</f>
        <v>0</v>
      </c>
      <c r="BZ39" s="136">
        <f>-Construction!BV32</f>
        <v>0</v>
      </c>
      <c r="CA39" s="136">
        <f>-Construction!BW32</f>
        <v>0</v>
      </c>
      <c r="CB39" s="136">
        <f>-Construction!BX32</f>
        <v>0</v>
      </c>
      <c r="CC39" s="136">
        <f>-Construction!BY32</f>
        <v>0</v>
      </c>
      <c r="CD39" s="136">
        <f>-Construction!BZ32</f>
        <v>0</v>
      </c>
      <c r="CE39" s="136">
        <f>-Construction!CA32</f>
        <v>0</v>
      </c>
      <c r="CF39" s="136">
        <f>-Construction!CB32</f>
        <v>0</v>
      </c>
      <c r="CG39" s="136">
        <f>-Construction!CC32</f>
        <v>0</v>
      </c>
      <c r="CH39" s="136">
        <f>-Construction!CD32</f>
        <v>0</v>
      </c>
      <c r="CI39" s="136">
        <f>-Construction!CE32</f>
        <v>0</v>
      </c>
      <c r="CJ39" s="136">
        <f>-Construction!CF32</f>
        <v>0</v>
      </c>
      <c r="CK39" s="136">
        <f>-Construction!CG32</f>
        <v>0</v>
      </c>
      <c r="CL39" s="136">
        <f>-Construction!CH32</f>
        <v>0</v>
      </c>
      <c r="CM39" s="136">
        <f>-Construction!CI32</f>
        <v>0</v>
      </c>
      <c r="CN39" s="136">
        <f>-Construction!CJ32</f>
        <v>0</v>
      </c>
      <c r="CO39" s="136">
        <f>-Construction!CK32</f>
        <v>0</v>
      </c>
      <c r="CP39" s="13" t="s">
        <v>15</v>
      </c>
    </row>
    <row r="40" spans="2:94" ht="15" customHeight="1" x14ac:dyDescent="0.2">
      <c r="B40" s="136">
        <f t="shared" ref="B40:B48" si="14">SUM(I40:CO40)</f>
        <v>-125000</v>
      </c>
      <c r="C40" s="133" t="s">
        <v>295</v>
      </c>
      <c r="D40" s="259" t="s">
        <v>199</v>
      </c>
      <c r="E40" s="269"/>
      <c r="F40" s="133" t="s">
        <v>155</v>
      </c>
      <c r="I40" s="136">
        <f t="shared" ref="I40:BT40" si="15">-ConstLoanOFees*(Today=ClosingDate)</f>
        <v>-125000</v>
      </c>
      <c r="J40" s="136">
        <f t="shared" si="15"/>
        <v>0</v>
      </c>
      <c r="K40" s="136">
        <f t="shared" si="15"/>
        <v>0</v>
      </c>
      <c r="L40" s="136">
        <f t="shared" si="15"/>
        <v>0</v>
      </c>
      <c r="M40" s="136">
        <f t="shared" si="15"/>
        <v>0</v>
      </c>
      <c r="N40" s="136">
        <f t="shared" si="15"/>
        <v>0</v>
      </c>
      <c r="O40" s="136">
        <f t="shared" si="15"/>
        <v>0</v>
      </c>
      <c r="P40" s="136">
        <f t="shared" si="15"/>
        <v>0</v>
      </c>
      <c r="Q40" s="136">
        <f t="shared" si="15"/>
        <v>0</v>
      </c>
      <c r="R40" s="136">
        <f t="shared" si="15"/>
        <v>0</v>
      </c>
      <c r="S40" s="136">
        <f t="shared" si="15"/>
        <v>0</v>
      </c>
      <c r="T40" s="136">
        <f t="shared" si="15"/>
        <v>0</v>
      </c>
      <c r="U40" s="136">
        <f t="shared" si="15"/>
        <v>0</v>
      </c>
      <c r="V40" s="136">
        <f t="shared" si="15"/>
        <v>0</v>
      </c>
      <c r="W40" s="136">
        <f t="shared" si="15"/>
        <v>0</v>
      </c>
      <c r="X40" s="136">
        <f t="shared" si="15"/>
        <v>0</v>
      </c>
      <c r="Y40" s="136">
        <f t="shared" si="15"/>
        <v>0</v>
      </c>
      <c r="Z40" s="136">
        <f t="shared" si="15"/>
        <v>0</v>
      </c>
      <c r="AA40" s="136">
        <f t="shared" si="15"/>
        <v>0</v>
      </c>
      <c r="AB40" s="136">
        <f t="shared" si="15"/>
        <v>0</v>
      </c>
      <c r="AC40" s="136">
        <f t="shared" si="15"/>
        <v>0</v>
      </c>
      <c r="AD40" s="136">
        <f t="shared" si="15"/>
        <v>0</v>
      </c>
      <c r="AE40" s="136">
        <f t="shared" si="15"/>
        <v>0</v>
      </c>
      <c r="AF40" s="136">
        <f t="shared" si="15"/>
        <v>0</v>
      </c>
      <c r="AG40" s="136">
        <f t="shared" si="15"/>
        <v>0</v>
      </c>
      <c r="AH40" s="136">
        <f t="shared" si="15"/>
        <v>0</v>
      </c>
      <c r="AI40" s="136">
        <f t="shared" si="15"/>
        <v>0</v>
      </c>
      <c r="AJ40" s="136">
        <f t="shared" si="15"/>
        <v>0</v>
      </c>
      <c r="AK40" s="136">
        <f t="shared" si="15"/>
        <v>0</v>
      </c>
      <c r="AL40" s="136">
        <f t="shared" si="15"/>
        <v>0</v>
      </c>
      <c r="AM40" s="136">
        <f t="shared" si="15"/>
        <v>0</v>
      </c>
      <c r="AN40" s="136">
        <f t="shared" si="15"/>
        <v>0</v>
      </c>
      <c r="AO40" s="136">
        <f t="shared" si="15"/>
        <v>0</v>
      </c>
      <c r="AP40" s="136">
        <f t="shared" si="15"/>
        <v>0</v>
      </c>
      <c r="AQ40" s="136">
        <f t="shared" si="15"/>
        <v>0</v>
      </c>
      <c r="AR40" s="136">
        <f t="shared" si="15"/>
        <v>0</v>
      </c>
      <c r="AS40" s="136">
        <f t="shared" si="15"/>
        <v>0</v>
      </c>
      <c r="AT40" s="136">
        <f t="shared" si="15"/>
        <v>0</v>
      </c>
      <c r="AU40" s="136">
        <f t="shared" si="15"/>
        <v>0</v>
      </c>
      <c r="AV40" s="136">
        <f t="shared" si="15"/>
        <v>0</v>
      </c>
      <c r="AW40" s="136">
        <f t="shared" si="15"/>
        <v>0</v>
      </c>
      <c r="AX40" s="136">
        <f t="shared" si="15"/>
        <v>0</v>
      </c>
      <c r="AY40" s="136">
        <f t="shared" si="15"/>
        <v>0</v>
      </c>
      <c r="AZ40" s="136">
        <f t="shared" si="15"/>
        <v>0</v>
      </c>
      <c r="BA40" s="136">
        <f t="shared" si="15"/>
        <v>0</v>
      </c>
      <c r="BB40" s="136">
        <f t="shared" si="15"/>
        <v>0</v>
      </c>
      <c r="BC40" s="136">
        <f t="shared" si="15"/>
        <v>0</v>
      </c>
      <c r="BD40" s="136">
        <f t="shared" si="15"/>
        <v>0</v>
      </c>
      <c r="BE40" s="136">
        <f t="shared" si="15"/>
        <v>0</v>
      </c>
      <c r="BF40" s="136">
        <f t="shared" si="15"/>
        <v>0</v>
      </c>
      <c r="BG40" s="136">
        <f t="shared" si="15"/>
        <v>0</v>
      </c>
      <c r="BH40" s="136">
        <f t="shared" si="15"/>
        <v>0</v>
      </c>
      <c r="BI40" s="136">
        <f t="shared" si="15"/>
        <v>0</v>
      </c>
      <c r="BJ40" s="136">
        <f t="shared" si="15"/>
        <v>0</v>
      </c>
      <c r="BK40" s="136">
        <f t="shared" si="15"/>
        <v>0</v>
      </c>
      <c r="BL40" s="136">
        <f t="shared" si="15"/>
        <v>0</v>
      </c>
      <c r="BM40" s="136">
        <f t="shared" si="15"/>
        <v>0</v>
      </c>
      <c r="BN40" s="136">
        <f t="shared" si="15"/>
        <v>0</v>
      </c>
      <c r="BO40" s="136">
        <f t="shared" si="15"/>
        <v>0</v>
      </c>
      <c r="BP40" s="136">
        <f t="shared" si="15"/>
        <v>0</v>
      </c>
      <c r="BQ40" s="136">
        <f t="shared" si="15"/>
        <v>0</v>
      </c>
      <c r="BR40" s="136">
        <f t="shared" si="15"/>
        <v>0</v>
      </c>
      <c r="BS40" s="136">
        <f t="shared" si="15"/>
        <v>0</v>
      </c>
      <c r="BT40" s="136">
        <f t="shared" si="15"/>
        <v>0</v>
      </c>
      <c r="BU40" s="136">
        <f t="shared" ref="BU40:CO40" si="16">-ConstLoanOFees*(Today=ClosingDate)</f>
        <v>0</v>
      </c>
      <c r="BV40" s="136">
        <f t="shared" si="16"/>
        <v>0</v>
      </c>
      <c r="BW40" s="136">
        <f t="shared" si="16"/>
        <v>0</v>
      </c>
      <c r="BX40" s="136">
        <f t="shared" si="16"/>
        <v>0</v>
      </c>
      <c r="BY40" s="136">
        <f t="shared" si="16"/>
        <v>0</v>
      </c>
      <c r="BZ40" s="136">
        <f t="shared" si="16"/>
        <v>0</v>
      </c>
      <c r="CA40" s="136">
        <f t="shared" si="16"/>
        <v>0</v>
      </c>
      <c r="CB40" s="136">
        <f t="shared" si="16"/>
        <v>0</v>
      </c>
      <c r="CC40" s="136">
        <f t="shared" si="16"/>
        <v>0</v>
      </c>
      <c r="CD40" s="136">
        <f t="shared" si="16"/>
        <v>0</v>
      </c>
      <c r="CE40" s="136">
        <f t="shared" si="16"/>
        <v>0</v>
      </c>
      <c r="CF40" s="136">
        <f t="shared" si="16"/>
        <v>0</v>
      </c>
      <c r="CG40" s="136">
        <f t="shared" si="16"/>
        <v>0</v>
      </c>
      <c r="CH40" s="136">
        <f t="shared" si="16"/>
        <v>0</v>
      </c>
      <c r="CI40" s="136">
        <f t="shared" si="16"/>
        <v>0</v>
      </c>
      <c r="CJ40" s="136">
        <f t="shared" si="16"/>
        <v>0</v>
      </c>
      <c r="CK40" s="136">
        <f t="shared" si="16"/>
        <v>0</v>
      </c>
      <c r="CL40" s="136">
        <f t="shared" si="16"/>
        <v>0</v>
      </c>
      <c r="CM40" s="136">
        <f t="shared" si="16"/>
        <v>0</v>
      </c>
      <c r="CN40" s="136">
        <f t="shared" si="16"/>
        <v>0</v>
      </c>
      <c r="CO40" s="136">
        <f t="shared" si="16"/>
        <v>0</v>
      </c>
      <c r="CP40" s="13" t="s">
        <v>15</v>
      </c>
    </row>
    <row r="41" spans="2:94" ht="15" customHeight="1" x14ac:dyDescent="0.2">
      <c r="B41" s="136">
        <f t="shared" ca="1" si="14"/>
        <v>-197955.79441323056</v>
      </c>
      <c r="D41" s="259" t="s">
        <v>199</v>
      </c>
      <c r="E41" s="269"/>
      <c r="F41" s="133" t="s">
        <v>201</v>
      </c>
      <c r="I41" s="136">
        <f>-I98</f>
        <v>0</v>
      </c>
      <c r="J41" s="136">
        <f t="shared" ref="J41:BU41" ca="1" si="17">-J98</f>
        <v>0</v>
      </c>
      <c r="K41" s="136">
        <f t="shared" ca="1" si="17"/>
        <v>0</v>
      </c>
      <c r="L41" s="136">
        <f t="shared" ca="1" si="17"/>
        <v>0</v>
      </c>
      <c r="M41" s="136">
        <f t="shared" ca="1" si="17"/>
        <v>0</v>
      </c>
      <c r="N41" s="136">
        <f t="shared" ca="1" si="17"/>
        <v>0</v>
      </c>
      <c r="O41" s="136">
        <f t="shared" ca="1" si="17"/>
        <v>0</v>
      </c>
      <c r="P41" s="136">
        <f t="shared" ca="1" si="17"/>
        <v>0</v>
      </c>
      <c r="Q41" s="136">
        <f t="shared" ca="1" si="17"/>
        <v>0</v>
      </c>
      <c r="R41" s="136">
        <f t="shared" ca="1" si="17"/>
        <v>0</v>
      </c>
      <c r="S41" s="136">
        <f t="shared" ca="1" si="17"/>
        <v>0</v>
      </c>
      <c r="T41" s="136">
        <f t="shared" ca="1" si="17"/>
        <v>0</v>
      </c>
      <c r="U41" s="136">
        <f t="shared" ca="1" si="17"/>
        <v>0</v>
      </c>
      <c r="V41" s="136">
        <f t="shared" ca="1" si="17"/>
        <v>0</v>
      </c>
      <c r="W41" s="136">
        <f t="shared" ca="1" si="17"/>
        <v>0</v>
      </c>
      <c r="X41" s="136">
        <f t="shared" ca="1" si="17"/>
        <v>0</v>
      </c>
      <c r="Y41" s="136">
        <f t="shared" ca="1" si="17"/>
        <v>-1748.512387306381</v>
      </c>
      <c r="Z41" s="136">
        <f t="shared" ca="1" si="17"/>
        <v>-6778.3886035924388</v>
      </c>
      <c r="AA41" s="136">
        <f t="shared" ca="1" si="17"/>
        <v>-11451.001930305718</v>
      </c>
      <c r="AB41" s="136">
        <f t="shared" ca="1" si="17"/>
        <v>-16895.021205716428</v>
      </c>
      <c r="AC41" s="136">
        <f t="shared" ca="1" si="17"/>
        <v>-21969.701774748966</v>
      </c>
      <c r="AD41" s="136">
        <f t="shared" ca="1" si="17"/>
        <v>-26339.262332730814</v>
      </c>
      <c r="AE41" s="136">
        <f t="shared" ca="1" si="17"/>
        <v>-33327.373751748419</v>
      </c>
      <c r="AF41" s="136">
        <f t="shared" ca="1" si="17"/>
        <v>-37792.705912185775</v>
      </c>
      <c r="AG41" s="136">
        <f t="shared" ca="1" si="17"/>
        <v>-41653.826514895634</v>
      </c>
      <c r="AH41" s="136">
        <f t="shared" ca="1" si="17"/>
        <v>0</v>
      </c>
      <c r="AI41" s="136">
        <f t="shared" ca="1" si="17"/>
        <v>0</v>
      </c>
      <c r="AJ41" s="136">
        <f t="shared" ca="1" si="17"/>
        <v>0</v>
      </c>
      <c r="AK41" s="136">
        <f t="shared" ca="1" si="17"/>
        <v>0</v>
      </c>
      <c r="AL41" s="136">
        <f t="shared" ca="1" si="17"/>
        <v>0</v>
      </c>
      <c r="AM41" s="136">
        <f t="shared" ca="1" si="17"/>
        <v>0</v>
      </c>
      <c r="AN41" s="136">
        <f t="shared" ca="1" si="17"/>
        <v>0</v>
      </c>
      <c r="AO41" s="136">
        <f t="shared" ca="1" si="17"/>
        <v>0</v>
      </c>
      <c r="AP41" s="136">
        <f t="shared" ca="1" si="17"/>
        <v>0</v>
      </c>
      <c r="AQ41" s="136">
        <f t="shared" ca="1" si="17"/>
        <v>0</v>
      </c>
      <c r="AR41" s="136">
        <f t="shared" ca="1" si="17"/>
        <v>0</v>
      </c>
      <c r="AS41" s="136">
        <f t="shared" ca="1" si="17"/>
        <v>0</v>
      </c>
      <c r="AT41" s="136">
        <f t="shared" ca="1" si="17"/>
        <v>0</v>
      </c>
      <c r="AU41" s="136">
        <f t="shared" ca="1" si="17"/>
        <v>0</v>
      </c>
      <c r="AV41" s="136">
        <f t="shared" ca="1" si="17"/>
        <v>0</v>
      </c>
      <c r="AW41" s="136">
        <f t="shared" ca="1" si="17"/>
        <v>0</v>
      </c>
      <c r="AX41" s="136">
        <f t="shared" ca="1" si="17"/>
        <v>0</v>
      </c>
      <c r="AY41" s="136">
        <f t="shared" ca="1" si="17"/>
        <v>0</v>
      </c>
      <c r="AZ41" s="136">
        <f t="shared" ca="1" si="17"/>
        <v>0</v>
      </c>
      <c r="BA41" s="136">
        <f t="shared" ca="1" si="17"/>
        <v>0</v>
      </c>
      <c r="BB41" s="136">
        <f t="shared" ca="1" si="17"/>
        <v>0</v>
      </c>
      <c r="BC41" s="136">
        <f t="shared" ca="1" si="17"/>
        <v>0</v>
      </c>
      <c r="BD41" s="136">
        <f t="shared" ca="1" si="17"/>
        <v>0</v>
      </c>
      <c r="BE41" s="136">
        <f t="shared" ca="1" si="17"/>
        <v>0</v>
      </c>
      <c r="BF41" s="136">
        <f t="shared" ca="1" si="17"/>
        <v>0</v>
      </c>
      <c r="BG41" s="136">
        <f t="shared" ca="1" si="17"/>
        <v>0</v>
      </c>
      <c r="BH41" s="136">
        <f t="shared" ca="1" si="17"/>
        <v>0</v>
      </c>
      <c r="BI41" s="136">
        <f t="shared" ca="1" si="17"/>
        <v>0</v>
      </c>
      <c r="BJ41" s="136">
        <f t="shared" ca="1" si="17"/>
        <v>0</v>
      </c>
      <c r="BK41" s="136">
        <f t="shared" ca="1" si="17"/>
        <v>0</v>
      </c>
      <c r="BL41" s="136">
        <f t="shared" ca="1" si="17"/>
        <v>0</v>
      </c>
      <c r="BM41" s="136">
        <f t="shared" ca="1" si="17"/>
        <v>0</v>
      </c>
      <c r="BN41" s="136">
        <f t="shared" ca="1" si="17"/>
        <v>0</v>
      </c>
      <c r="BO41" s="136">
        <f t="shared" ca="1" si="17"/>
        <v>0</v>
      </c>
      <c r="BP41" s="136">
        <f t="shared" ca="1" si="17"/>
        <v>0</v>
      </c>
      <c r="BQ41" s="136">
        <f t="shared" ca="1" si="17"/>
        <v>0</v>
      </c>
      <c r="BR41" s="136">
        <f t="shared" ca="1" si="17"/>
        <v>0</v>
      </c>
      <c r="BS41" s="136">
        <f t="shared" ca="1" si="17"/>
        <v>0</v>
      </c>
      <c r="BT41" s="136">
        <f t="shared" ca="1" si="17"/>
        <v>0</v>
      </c>
      <c r="BU41" s="136">
        <f t="shared" ca="1" si="17"/>
        <v>0</v>
      </c>
      <c r="BV41" s="136">
        <f t="shared" ref="BV41:CO41" ca="1" si="18">-BV98</f>
        <v>0</v>
      </c>
      <c r="BW41" s="136">
        <f t="shared" ca="1" si="18"/>
        <v>0</v>
      </c>
      <c r="BX41" s="136">
        <f t="shared" ca="1" si="18"/>
        <v>0</v>
      </c>
      <c r="BY41" s="136">
        <f t="shared" ca="1" si="18"/>
        <v>0</v>
      </c>
      <c r="BZ41" s="136">
        <f t="shared" ca="1" si="18"/>
        <v>0</v>
      </c>
      <c r="CA41" s="136">
        <f t="shared" ca="1" si="18"/>
        <v>0</v>
      </c>
      <c r="CB41" s="136">
        <f t="shared" ca="1" si="18"/>
        <v>0</v>
      </c>
      <c r="CC41" s="136">
        <f t="shared" ca="1" si="18"/>
        <v>0</v>
      </c>
      <c r="CD41" s="136">
        <f t="shared" ca="1" si="18"/>
        <v>0</v>
      </c>
      <c r="CE41" s="136">
        <f t="shared" ca="1" si="18"/>
        <v>0</v>
      </c>
      <c r="CF41" s="136">
        <f t="shared" ca="1" si="18"/>
        <v>0</v>
      </c>
      <c r="CG41" s="136">
        <f t="shared" ca="1" si="18"/>
        <v>0</v>
      </c>
      <c r="CH41" s="136">
        <f t="shared" ca="1" si="18"/>
        <v>0</v>
      </c>
      <c r="CI41" s="136">
        <f t="shared" ca="1" si="18"/>
        <v>0</v>
      </c>
      <c r="CJ41" s="136">
        <f t="shared" ca="1" si="18"/>
        <v>0</v>
      </c>
      <c r="CK41" s="136">
        <f t="shared" ca="1" si="18"/>
        <v>0</v>
      </c>
      <c r="CL41" s="136">
        <f t="shared" ca="1" si="18"/>
        <v>0</v>
      </c>
      <c r="CM41" s="136">
        <f t="shared" ca="1" si="18"/>
        <v>0</v>
      </c>
      <c r="CN41" s="136">
        <f t="shared" ca="1" si="18"/>
        <v>0</v>
      </c>
      <c r="CO41" s="136">
        <f t="shared" ca="1" si="18"/>
        <v>0</v>
      </c>
      <c r="CP41" s="13" t="s">
        <v>15</v>
      </c>
    </row>
    <row r="42" spans="2:94" ht="15" customHeight="1" x14ac:dyDescent="0.2">
      <c r="B42" s="136">
        <f t="shared" si="14"/>
        <v>5000000</v>
      </c>
      <c r="D42" s="259" t="s">
        <v>194</v>
      </c>
      <c r="E42" s="269"/>
      <c r="F42" s="133" t="s">
        <v>202</v>
      </c>
      <c r="I42" s="136">
        <f>I83</f>
        <v>4496373.1457857145</v>
      </c>
      <c r="J42" s="136">
        <f t="shared" ref="J42:BU42" si="19">J83</f>
        <v>171289.12507142854</v>
      </c>
      <c r="K42" s="136">
        <f t="shared" si="19"/>
        <v>171289.12507142854</v>
      </c>
      <c r="L42" s="136">
        <f t="shared" si="19"/>
        <v>161048.60407142807</v>
      </c>
      <c r="M42" s="136">
        <f t="shared" si="19"/>
        <v>0</v>
      </c>
      <c r="N42" s="136">
        <f t="shared" si="19"/>
        <v>0</v>
      </c>
      <c r="O42" s="136">
        <f t="shared" si="19"/>
        <v>0</v>
      </c>
      <c r="P42" s="136">
        <f t="shared" si="19"/>
        <v>0</v>
      </c>
      <c r="Q42" s="136">
        <f t="shared" si="19"/>
        <v>0</v>
      </c>
      <c r="R42" s="136">
        <f t="shared" si="19"/>
        <v>0</v>
      </c>
      <c r="S42" s="136">
        <f t="shared" si="19"/>
        <v>0</v>
      </c>
      <c r="T42" s="136">
        <f t="shared" si="19"/>
        <v>0</v>
      </c>
      <c r="U42" s="136">
        <f t="shared" si="19"/>
        <v>0</v>
      </c>
      <c r="V42" s="136">
        <f t="shared" si="19"/>
        <v>0</v>
      </c>
      <c r="W42" s="136">
        <f t="shared" si="19"/>
        <v>0</v>
      </c>
      <c r="X42" s="136">
        <f t="shared" si="19"/>
        <v>0</v>
      </c>
      <c r="Y42" s="136">
        <f t="shared" si="19"/>
        <v>0</v>
      </c>
      <c r="Z42" s="136">
        <f t="shared" si="19"/>
        <v>0</v>
      </c>
      <c r="AA42" s="136">
        <f t="shared" si="19"/>
        <v>0</v>
      </c>
      <c r="AB42" s="136">
        <f t="shared" si="19"/>
        <v>0</v>
      </c>
      <c r="AC42" s="136">
        <f t="shared" si="19"/>
        <v>0</v>
      </c>
      <c r="AD42" s="136">
        <f t="shared" si="19"/>
        <v>0</v>
      </c>
      <c r="AE42" s="136">
        <f t="shared" si="19"/>
        <v>0</v>
      </c>
      <c r="AF42" s="136">
        <f t="shared" si="19"/>
        <v>0</v>
      </c>
      <c r="AG42" s="136">
        <f t="shared" si="19"/>
        <v>0</v>
      </c>
      <c r="AH42" s="136">
        <f t="shared" si="19"/>
        <v>0</v>
      </c>
      <c r="AI42" s="136">
        <f t="shared" si="19"/>
        <v>0</v>
      </c>
      <c r="AJ42" s="136">
        <f t="shared" si="19"/>
        <v>0</v>
      </c>
      <c r="AK42" s="136">
        <f t="shared" si="19"/>
        <v>0</v>
      </c>
      <c r="AL42" s="136">
        <f t="shared" si="19"/>
        <v>0</v>
      </c>
      <c r="AM42" s="136">
        <f t="shared" si="19"/>
        <v>0</v>
      </c>
      <c r="AN42" s="136">
        <f t="shared" si="19"/>
        <v>0</v>
      </c>
      <c r="AO42" s="136">
        <f t="shared" si="19"/>
        <v>0</v>
      </c>
      <c r="AP42" s="136">
        <f t="shared" si="19"/>
        <v>0</v>
      </c>
      <c r="AQ42" s="136">
        <f t="shared" si="19"/>
        <v>0</v>
      </c>
      <c r="AR42" s="136">
        <f t="shared" si="19"/>
        <v>0</v>
      </c>
      <c r="AS42" s="136">
        <f t="shared" si="19"/>
        <v>0</v>
      </c>
      <c r="AT42" s="136">
        <f t="shared" si="19"/>
        <v>0</v>
      </c>
      <c r="AU42" s="136">
        <f t="shared" si="19"/>
        <v>0</v>
      </c>
      <c r="AV42" s="136">
        <f t="shared" si="19"/>
        <v>0</v>
      </c>
      <c r="AW42" s="136">
        <f t="shared" si="19"/>
        <v>0</v>
      </c>
      <c r="AX42" s="136">
        <f t="shared" si="19"/>
        <v>0</v>
      </c>
      <c r="AY42" s="136">
        <f t="shared" si="19"/>
        <v>0</v>
      </c>
      <c r="AZ42" s="136">
        <f t="shared" si="19"/>
        <v>0</v>
      </c>
      <c r="BA42" s="136">
        <f t="shared" si="19"/>
        <v>0</v>
      </c>
      <c r="BB42" s="136">
        <f t="shared" si="19"/>
        <v>0</v>
      </c>
      <c r="BC42" s="136">
        <f t="shared" si="19"/>
        <v>0</v>
      </c>
      <c r="BD42" s="136">
        <f t="shared" si="19"/>
        <v>0</v>
      </c>
      <c r="BE42" s="136">
        <f t="shared" si="19"/>
        <v>0</v>
      </c>
      <c r="BF42" s="136">
        <f t="shared" si="19"/>
        <v>0</v>
      </c>
      <c r="BG42" s="136">
        <f t="shared" si="19"/>
        <v>0</v>
      </c>
      <c r="BH42" s="136">
        <f t="shared" si="19"/>
        <v>0</v>
      </c>
      <c r="BI42" s="136">
        <f t="shared" si="19"/>
        <v>0</v>
      </c>
      <c r="BJ42" s="136">
        <f t="shared" si="19"/>
        <v>0</v>
      </c>
      <c r="BK42" s="136">
        <f t="shared" si="19"/>
        <v>0</v>
      </c>
      <c r="BL42" s="136">
        <f t="shared" si="19"/>
        <v>0</v>
      </c>
      <c r="BM42" s="136">
        <f t="shared" si="19"/>
        <v>0</v>
      </c>
      <c r="BN42" s="136">
        <f t="shared" si="19"/>
        <v>0</v>
      </c>
      <c r="BO42" s="136">
        <f t="shared" si="19"/>
        <v>0</v>
      </c>
      <c r="BP42" s="136">
        <f t="shared" si="19"/>
        <v>0</v>
      </c>
      <c r="BQ42" s="136">
        <f t="shared" si="19"/>
        <v>0</v>
      </c>
      <c r="BR42" s="136">
        <f t="shared" si="19"/>
        <v>0</v>
      </c>
      <c r="BS42" s="136">
        <f t="shared" si="19"/>
        <v>0</v>
      </c>
      <c r="BT42" s="136">
        <f t="shared" si="19"/>
        <v>0</v>
      </c>
      <c r="BU42" s="136">
        <f t="shared" si="19"/>
        <v>0</v>
      </c>
      <c r="BV42" s="136">
        <f t="shared" ref="BV42:CO42" si="20">BV83</f>
        <v>0</v>
      </c>
      <c r="BW42" s="136">
        <f t="shared" si="20"/>
        <v>0</v>
      </c>
      <c r="BX42" s="136">
        <f t="shared" si="20"/>
        <v>0</v>
      </c>
      <c r="BY42" s="136">
        <f t="shared" si="20"/>
        <v>0</v>
      </c>
      <c r="BZ42" s="136">
        <f t="shared" si="20"/>
        <v>0</v>
      </c>
      <c r="CA42" s="136">
        <f t="shared" si="20"/>
        <v>0</v>
      </c>
      <c r="CB42" s="136">
        <f t="shared" si="20"/>
        <v>0</v>
      </c>
      <c r="CC42" s="136">
        <f t="shared" si="20"/>
        <v>0</v>
      </c>
      <c r="CD42" s="136">
        <f t="shared" si="20"/>
        <v>0</v>
      </c>
      <c r="CE42" s="136">
        <f t="shared" si="20"/>
        <v>0</v>
      </c>
      <c r="CF42" s="136">
        <f t="shared" si="20"/>
        <v>0</v>
      </c>
      <c r="CG42" s="136">
        <f t="shared" si="20"/>
        <v>0</v>
      </c>
      <c r="CH42" s="136">
        <f t="shared" si="20"/>
        <v>0</v>
      </c>
      <c r="CI42" s="136">
        <f t="shared" si="20"/>
        <v>0</v>
      </c>
      <c r="CJ42" s="136">
        <f t="shared" si="20"/>
        <v>0</v>
      </c>
      <c r="CK42" s="136">
        <f t="shared" si="20"/>
        <v>0</v>
      </c>
      <c r="CL42" s="136">
        <f t="shared" si="20"/>
        <v>0</v>
      </c>
      <c r="CM42" s="136">
        <f t="shared" si="20"/>
        <v>0</v>
      </c>
      <c r="CN42" s="136">
        <f t="shared" si="20"/>
        <v>0</v>
      </c>
      <c r="CO42" s="136">
        <f t="shared" si="20"/>
        <v>0</v>
      </c>
      <c r="CP42" s="13" t="s">
        <v>15</v>
      </c>
    </row>
    <row r="43" spans="2:94" ht="15" customHeight="1" x14ac:dyDescent="0.2">
      <c r="B43" s="136">
        <f t="shared" ca="1" si="14"/>
        <v>11697955.794413233</v>
      </c>
      <c r="D43" s="259" t="s">
        <v>194</v>
      </c>
      <c r="E43" s="269"/>
      <c r="F43" s="133" t="s">
        <v>203</v>
      </c>
      <c r="I43" s="136">
        <f>I89</f>
        <v>0</v>
      </c>
      <c r="J43" s="136">
        <f t="shared" ref="J43:BU43" ca="1" si="21">J89</f>
        <v>0</v>
      </c>
      <c r="K43" s="136">
        <f t="shared" ca="1" si="21"/>
        <v>0</v>
      </c>
      <c r="L43" s="136">
        <f t="shared" ca="1" si="21"/>
        <v>0</v>
      </c>
      <c r="M43" s="136">
        <f t="shared" ca="1" si="21"/>
        <v>0</v>
      </c>
      <c r="N43" s="136">
        <f t="shared" ca="1" si="21"/>
        <v>0</v>
      </c>
      <c r="O43" s="136">
        <f t="shared" ca="1" si="21"/>
        <v>0</v>
      </c>
      <c r="P43" s="136">
        <f t="shared" ca="1" si="21"/>
        <v>0</v>
      </c>
      <c r="Q43" s="136">
        <f t="shared" ca="1" si="21"/>
        <v>0</v>
      </c>
      <c r="R43" s="136">
        <f t="shared" ca="1" si="21"/>
        <v>0</v>
      </c>
      <c r="S43" s="136">
        <f t="shared" ca="1" si="21"/>
        <v>0</v>
      </c>
      <c r="T43" s="136">
        <f t="shared" ca="1" si="21"/>
        <v>0</v>
      </c>
      <c r="U43" s="136">
        <f t="shared" ca="1" si="21"/>
        <v>0</v>
      </c>
      <c r="V43" s="136">
        <f t="shared" ca="1" si="21"/>
        <v>0</v>
      </c>
      <c r="W43" s="136">
        <f t="shared" ca="1" si="21"/>
        <v>0</v>
      </c>
      <c r="X43" s="136">
        <f t="shared" ca="1" si="21"/>
        <v>449773.28533834737</v>
      </c>
      <c r="Y43" s="136">
        <f t="shared" ca="1" si="21"/>
        <v>1240443.3873497124</v>
      </c>
      <c r="Z43" s="136">
        <f t="shared" ca="1" si="21"/>
        <v>1265948.6335659986</v>
      </c>
      <c r="AA43" s="136">
        <f t="shared" ca="1" si="21"/>
        <v>1270621.2468927118</v>
      </c>
      <c r="AB43" s="136">
        <f t="shared" ca="1" si="21"/>
        <v>1276065.2661681226</v>
      </c>
      <c r="AC43" s="136">
        <f t="shared" ca="1" si="21"/>
        <v>1313815.6667371551</v>
      </c>
      <c r="AD43" s="136">
        <f t="shared" ca="1" si="21"/>
        <v>1518695.3272951371</v>
      </c>
      <c r="AE43" s="136">
        <f t="shared" ca="1" si="21"/>
        <v>1415349.8387141544</v>
      </c>
      <c r="AF43" s="136">
        <f t="shared" ca="1" si="21"/>
        <v>621594.01087459177</v>
      </c>
      <c r="AG43" s="136">
        <f t="shared" ca="1" si="21"/>
        <v>1325649.1314773017</v>
      </c>
      <c r="AH43" s="136">
        <f t="shared" ca="1" si="21"/>
        <v>0</v>
      </c>
      <c r="AI43" s="136">
        <f t="shared" ca="1" si="21"/>
        <v>0</v>
      </c>
      <c r="AJ43" s="136">
        <f t="shared" ca="1" si="21"/>
        <v>0</v>
      </c>
      <c r="AK43" s="136">
        <f t="shared" ca="1" si="21"/>
        <v>0</v>
      </c>
      <c r="AL43" s="136">
        <f t="shared" ca="1" si="21"/>
        <v>0</v>
      </c>
      <c r="AM43" s="136">
        <f t="shared" ca="1" si="21"/>
        <v>0</v>
      </c>
      <c r="AN43" s="136">
        <f t="shared" ca="1" si="21"/>
        <v>0</v>
      </c>
      <c r="AO43" s="136">
        <f t="shared" ca="1" si="21"/>
        <v>0</v>
      </c>
      <c r="AP43" s="136">
        <f t="shared" ca="1" si="21"/>
        <v>0</v>
      </c>
      <c r="AQ43" s="136">
        <f t="shared" ca="1" si="21"/>
        <v>0</v>
      </c>
      <c r="AR43" s="136">
        <f t="shared" ca="1" si="21"/>
        <v>0</v>
      </c>
      <c r="AS43" s="136">
        <f t="shared" ca="1" si="21"/>
        <v>0</v>
      </c>
      <c r="AT43" s="136">
        <f t="shared" ca="1" si="21"/>
        <v>0</v>
      </c>
      <c r="AU43" s="136">
        <f t="shared" ca="1" si="21"/>
        <v>0</v>
      </c>
      <c r="AV43" s="136">
        <f t="shared" ca="1" si="21"/>
        <v>0</v>
      </c>
      <c r="AW43" s="136">
        <f t="shared" ca="1" si="21"/>
        <v>0</v>
      </c>
      <c r="AX43" s="136">
        <f t="shared" ca="1" si="21"/>
        <v>0</v>
      </c>
      <c r="AY43" s="136">
        <f t="shared" ca="1" si="21"/>
        <v>0</v>
      </c>
      <c r="AZ43" s="136">
        <f t="shared" ca="1" si="21"/>
        <v>0</v>
      </c>
      <c r="BA43" s="136">
        <f t="shared" ca="1" si="21"/>
        <v>0</v>
      </c>
      <c r="BB43" s="136">
        <f t="shared" ca="1" si="21"/>
        <v>0</v>
      </c>
      <c r="BC43" s="136">
        <f t="shared" ca="1" si="21"/>
        <v>0</v>
      </c>
      <c r="BD43" s="136">
        <f t="shared" ca="1" si="21"/>
        <v>0</v>
      </c>
      <c r="BE43" s="136">
        <f t="shared" ca="1" si="21"/>
        <v>0</v>
      </c>
      <c r="BF43" s="136">
        <f t="shared" ca="1" si="21"/>
        <v>0</v>
      </c>
      <c r="BG43" s="136">
        <f t="shared" ca="1" si="21"/>
        <v>0</v>
      </c>
      <c r="BH43" s="136">
        <f t="shared" ca="1" si="21"/>
        <v>0</v>
      </c>
      <c r="BI43" s="136">
        <f t="shared" ca="1" si="21"/>
        <v>0</v>
      </c>
      <c r="BJ43" s="136">
        <f t="shared" ca="1" si="21"/>
        <v>0</v>
      </c>
      <c r="BK43" s="136">
        <f t="shared" ca="1" si="21"/>
        <v>0</v>
      </c>
      <c r="BL43" s="136">
        <f t="shared" ca="1" si="21"/>
        <v>0</v>
      </c>
      <c r="BM43" s="136">
        <f t="shared" ca="1" si="21"/>
        <v>0</v>
      </c>
      <c r="BN43" s="136">
        <f t="shared" ca="1" si="21"/>
        <v>0</v>
      </c>
      <c r="BO43" s="136">
        <f t="shared" ca="1" si="21"/>
        <v>0</v>
      </c>
      <c r="BP43" s="136">
        <f t="shared" ca="1" si="21"/>
        <v>0</v>
      </c>
      <c r="BQ43" s="136">
        <f t="shared" ca="1" si="21"/>
        <v>0</v>
      </c>
      <c r="BR43" s="136">
        <f t="shared" ca="1" si="21"/>
        <v>0</v>
      </c>
      <c r="BS43" s="136">
        <f t="shared" ca="1" si="21"/>
        <v>0</v>
      </c>
      <c r="BT43" s="136">
        <f t="shared" ca="1" si="21"/>
        <v>0</v>
      </c>
      <c r="BU43" s="136">
        <f t="shared" ca="1" si="21"/>
        <v>0</v>
      </c>
      <c r="BV43" s="136">
        <f t="shared" ref="BV43:CO43" ca="1" si="22">BV89</f>
        <v>0</v>
      </c>
      <c r="BW43" s="136">
        <f t="shared" ca="1" si="22"/>
        <v>0</v>
      </c>
      <c r="BX43" s="136">
        <f t="shared" ca="1" si="22"/>
        <v>0</v>
      </c>
      <c r="BY43" s="136">
        <f t="shared" ca="1" si="22"/>
        <v>0</v>
      </c>
      <c r="BZ43" s="136">
        <f t="shared" ca="1" si="22"/>
        <v>0</v>
      </c>
      <c r="CA43" s="136">
        <f t="shared" ca="1" si="22"/>
        <v>0</v>
      </c>
      <c r="CB43" s="136">
        <f t="shared" ca="1" si="22"/>
        <v>0</v>
      </c>
      <c r="CC43" s="136">
        <f t="shared" ca="1" si="22"/>
        <v>0</v>
      </c>
      <c r="CD43" s="136">
        <f t="shared" ca="1" si="22"/>
        <v>0</v>
      </c>
      <c r="CE43" s="136">
        <f t="shared" ca="1" si="22"/>
        <v>0</v>
      </c>
      <c r="CF43" s="136">
        <f t="shared" ca="1" si="22"/>
        <v>0</v>
      </c>
      <c r="CG43" s="136">
        <f t="shared" ca="1" si="22"/>
        <v>0</v>
      </c>
      <c r="CH43" s="136">
        <f t="shared" ca="1" si="22"/>
        <v>0</v>
      </c>
      <c r="CI43" s="136">
        <f t="shared" ca="1" si="22"/>
        <v>0</v>
      </c>
      <c r="CJ43" s="136">
        <f t="shared" ca="1" si="22"/>
        <v>0</v>
      </c>
      <c r="CK43" s="136">
        <f t="shared" ca="1" si="22"/>
        <v>0</v>
      </c>
      <c r="CL43" s="136">
        <f t="shared" ca="1" si="22"/>
        <v>0</v>
      </c>
      <c r="CM43" s="136">
        <f t="shared" ca="1" si="22"/>
        <v>0</v>
      </c>
      <c r="CN43" s="136">
        <f t="shared" ca="1" si="22"/>
        <v>0</v>
      </c>
      <c r="CO43" s="136">
        <f t="shared" ca="1" si="22"/>
        <v>0</v>
      </c>
      <c r="CP43" s="13" t="s">
        <v>15</v>
      </c>
    </row>
    <row r="44" spans="2:94" ht="15" customHeight="1" x14ac:dyDescent="0.2">
      <c r="B44" s="136">
        <f t="shared" ca="1" si="14"/>
        <v>-564113.48250669183</v>
      </c>
      <c r="C44" s="133" t="s">
        <v>204</v>
      </c>
      <c r="D44" s="259" t="s">
        <v>199</v>
      </c>
      <c r="E44" s="269"/>
      <c r="F44" s="133" t="s">
        <v>205</v>
      </c>
      <c r="I44" s="136">
        <f>-I97+I98</f>
        <v>0</v>
      </c>
      <c r="J44" s="136">
        <f t="shared" ref="J44:BU44" ca="1" si="23">-J97+J98</f>
        <v>0</v>
      </c>
      <c r="K44" s="136">
        <f t="shared" ca="1" si="23"/>
        <v>0</v>
      </c>
      <c r="L44" s="136">
        <f t="shared" ca="1" si="23"/>
        <v>0</v>
      </c>
      <c r="M44" s="136">
        <f t="shared" ca="1" si="23"/>
        <v>0</v>
      </c>
      <c r="N44" s="136">
        <f t="shared" ca="1" si="23"/>
        <v>0</v>
      </c>
      <c r="O44" s="136">
        <f t="shared" ca="1" si="23"/>
        <v>0</v>
      </c>
      <c r="P44" s="136">
        <f t="shared" ca="1" si="23"/>
        <v>0</v>
      </c>
      <c r="Q44" s="136">
        <f t="shared" ca="1" si="23"/>
        <v>0</v>
      </c>
      <c r="R44" s="136">
        <f t="shared" ca="1" si="23"/>
        <v>0</v>
      </c>
      <c r="S44" s="136">
        <f t="shared" ca="1" si="23"/>
        <v>0</v>
      </c>
      <c r="T44" s="136">
        <f t="shared" ca="1" si="23"/>
        <v>0</v>
      </c>
      <c r="U44" s="136">
        <f t="shared" ca="1" si="23"/>
        <v>0</v>
      </c>
      <c r="V44" s="136">
        <f t="shared" ca="1" si="23"/>
        <v>0</v>
      </c>
      <c r="W44" s="136">
        <f t="shared" ca="1" si="23"/>
        <v>0</v>
      </c>
      <c r="X44" s="136">
        <f t="shared" ca="1" si="23"/>
        <v>0</v>
      </c>
      <c r="Y44" s="136">
        <f t="shared" ca="1" si="23"/>
        <v>0</v>
      </c>
      <c r="Z44" s="136">
        <f t="shared" ca="1" si="23"/>
        <v>0</v>
      </c>
      <c r="AA44" s="136">
        <f t="shared" ca="1" si="23"/>
        <v>0</v>
      </c>
      <c r="AB44" s="136">
        <f t="shared" ca="1" si="23"/>
        <v>0</v>
      </c>
      <c r="AC44" s="136">
        <f t="shared" ca="1" si="23"/>
        <v>0</v>
      </c>
      <c r="AD44" s="136">
        <f t="shared" ca="1" si="23"/>
        <v>0</v>
      </c>
      <c r="AE44" s="136">
        <f t="shared" ca="1" si="23"/>
        <v>0</v>
      </c>
      <c r="AF44" s="136">
        <f t="shared" ca="1" si="23"/>
        <v>0</v>
      </c>
      <c r="AG44" s="136">
        <f t="shared" ca="1" si="23"/>
        <v>0</v>
      </c>
      <c r="AH44" s="136">
        <f t="shared" ca="1" si="23"/>
        <v>-47135.206921701436</v>
      </c>
      <c r="AI44" s="136">
        <f t="shared" ca="1" si="23"/>
        <v>-42689.285091908911</v>
      </c>
      <c r="AJ44" s="136">
        <f t="shared" ca="1" si="23"/>
        <v>-47419.775943561363</v>
      </c>
      <c r="AK44" s="136">
        <f t="shared" ca="1" si="23"/>
        <v>-46041.496796406274</v>
      </c>
      <c r="AL44" s="136">
        <f t="shared" ca="1" si="23"/>
        <v>-47703.942035832828</v>
      </c>
      <c r="AM44" s="136">
        <f t="shared" ca="1" si="23"/>
        <v>-46295.927334934764</v>
      </c>
      <c r="AN44" s="136">
        <f t="shared" ca="1" si="23"/>
        <v>-47984.17956461665</v>
      </c>
      <c r="AO44" s="136">
        <f t="shared" ca="1" si="23"/>
        <v>-48107.677483484003</v>
      </c>
      <c r="AP44" s="136">
        <f t="shared" ca="1" si="23"/>
        <v>-46689.076132592003</v>
      </c>
      <c r="AQ44" s="136">
        <f t="shared" ca="1" si="23"/>
        <v>-48394.865547669004</v>
      </c>
      <c r="AR44" s="136">
        <f t="shared" ca="1" si="23"/>
        <v>-46967.779929393902</v>
      </c>
      <c r="AS44" s="136">
        <f t="shared" ca="1" si="23"/>
        <v>-48684.269724590624</v>
      </c>
      <c r="AT44" s="136">
        <f t="shared" ca="1" si="23"/>
        <v>0</v>
      </c>
      <c r="AU44" s="136">
        <f t="shared" ca="1" si="23"/>
        <v>0</v>
      </c>
      <c r="AV44" s="136">
        <f t="shared" ca="1" si="23"/>
        <v>0</v>
      </c>
      <c r="AW44" s="136">
        <f t="shared" ca="1" si="23"/>
        <v>0</v>
      </c>
      <c r="AX44" s="136">
        <f t="shared" ca="1" si="23"/>
        <v>0</v>
      </c>
      <c r="AY44" s="136">
        <f t="shared" ca="1" si="23"/>
        <v>0</v>
      </c>
      <c r="AZ44" s="136">
        <f t="shared" ca="1" si="23"/>
        <v>0</v>
      </c>
      <c r="BA44" s="136">
        <f t="shared" ca="1" si="23"/>
        <v>0</v>
      </c>
      <c r="BB44" s="136">
        <f t="shared" ca="1" si="23"/>
        <v>0</v>
      </c>
      <c r="BC44" s="136">
        <f t="shared" ca="1" si="23"/>
        <v>0</v>
      </c>
      <c r="BD44" s="136">
        <f t="shared" ca="1" si="23"/>
        <v>0</v>
      </c>
      <c r="BE44" s="136">
        <f t="shared" ca="1" si="23"/>
        <v>0</v>
      </c>
      <c r="BF44" s="136">
        <f t="shared" ca="1" si="23"/>
        <v>0</v>
      </c>
      <c r="BG44" s="136">
        <f t="shared" ca="1" si="23"/>
        <v>0</v>
      </c>
      <c r="BH44" s="136">
        <f t="shared" ca="1" si="23"/>
        <v>0</v>
      </c>
      <c r="BI44" s="136">
        <f t="shared" ca="1" si="23"/>
        <v>0</v>
      </c>
      <c r="BJ44" s="136">
        <f t="shared" ca="1" si="23"/>
        <v>0</v>
      </c>
      <c r="BK44" s="136">
        <f t="shared" ca="1" si="23"/>
        <v>0</v>
      </c>
      <c r="BL44" s="136">
        <f t="shared" ca="1" si="23"/>
        <v>0</v>
      </c>
      <c r="BM44" s="136">
        <f t="shared" ca="1" si="23"/>
        <v>0</v>
      </c>
      <c r="BN44" s="136">
        <f t="shared" ca="1" si="23"/>
        <v>0</v>
      </c>
      <c r="BO44" s="136">
        <f t="shared" ca="1" si="23"/>
        <v>0</v>
      </c>
      <c r="BP44" s="136">
        <f t="shared" ca="1" si="23"/>
        <v>0</v>
      </c>
      <c r="BQ44" s="136">
        <f t="shared" ca="1" si="23"/>
        <v>0</v>
      </c>
      <c r="BR44" s="136">
        <f t="shared" ca="1" si="23"/>
        <v>0</v>
      </c>
      <c r="BS44" s="136">
        <f t="shared" ca="1" si="23"/>
        <v>0</v>
      </c>
      <c r="BT44" s="136">
        <f t="shared" ca="1" si="23"/>
        <v>0</v>
      </c>
      <c r="BU44" s="136">
        <f t="shared" ca="1" si="23"/>
        <v>0</v>
      </c>
      <c r="BV44" s="136">
        <f t="shared" ref="BV44:CO44" ca="1" si="24">-BV97+BV98</f>
        <v>0</v>
      </c>
      <c r="BW44" s="136">
        <f t="shared" ca="1" si="24"/>
        <v>0</v>
      </c>
      <c r="BX44" s="136">
        <f t="shared" ca="1" si="24"/>
        <v>0</v>
      </c>
      <c r="BY44" s="136">
        <f t="shared" ca="1" si="24"/>
        <v>0</v>
      </c>
      <c r="BZ44" s="136">
        <f t="shared" ca="1" si="24"/>
        <v>0</v>
      </c>
      <c r="CA44" s="136">
        <f t="shared" ca="1" si="24"/>
        <v>0</v>
      </c>
      <c r="CB44" s="136">
        <f t="shared" ca="1" si="24"/>
        <v>0</v>
      </c>
      <c r="CC44" s="136">
        <f t="shared" ca="1" si="24"/>
        <v>0</v>
      </c>
      <c r="CD44" s="136">
        <f t="shared" ca="1" si="24"/>
        <v>0</v>
      </c>
      <c r="CE44" s="136">
        <f t="shared" ca="1" si="24"/>
        <v>0</v>
      </c>
      <c r="CF44" s="136">
        <f t="shared" ca="1" si="24"/>
        <v>0</v>
      </c>
      <c r="CG44" s="136">
        <f t="shared" ca="1" si="24"/>
        <v>0</v>
      </c>
      <c r="CH44" s="136">
        <f t="shared" ca="1" si="24"/>
        <v>0</v>
      </c>
      <c r="CI44" s="136">
        <f t="shared" ca="1" si="24"/>
        <v>0</v>
      </c>
      <c r="CJ44" s="136">
        <f t="shared" ca="1" si="24"/>
        <v>0</v>
      </c>
      <c r="CK44" s="136">
        <f t="shared" ca="1" si="24"/>
        <v>0</v>
      </c>
      <c r="CL44" s="136">
        <f t="shared" ca="1" si="24"/>
        <v>0</v>
      </c>
      <c r="CM44" s="136">
        <f t="shared" ca="1" si="24"/>
        <v>0</v>
      </c>
      <c r="CN44" s="136">
        <f t="shared" ca="1" si="24"/>
        <v>0</v>
      </c>
      <c r="CO44" s="136">
        <f t="shared" ca="1" si="24"/>
        <v>0</v>
      </c>
      <c r="CP44" s="13" t="s">
        <v>15</v>
      </c>
    </row>
    <row r="45" spans="2:94" ht="15" customHeight="1" x14ac:dyDescent="0.2">
      <c r="B45" s="136">
        <f t="shared" ca="1" si="14"/>
        <v>0</v>
      </c>
      <c r="C45" s="133" t="s">
        <v>206</v>
      </c>
      <c r="D45" s="259" t="s">
        <v>199</v>
      </c>
      <c r="E45" s="269"/>
      <c r="F45" s="133" t="s">
        <v>207</v>
      </c>
      <c r="I45" s="136">
        <f t="shared" ref="I45:BT45" si="25">-ConstLoanExtensionDummy*(ConstLoanExtensionFee*I88)*(Today=ConstLoanExtensionDate)</f>
        <v>0</v>
      </c>
      <c r="J45" s="136">
        <f t="shared" si="25"/>
        <v>0</v>
      </c>
      <c r="K45" s="136">
        <f t="shared" ca="1" si="25"/>
        <v>0</v>
      </c>
      <c r="L45" s="136">
        <f t="shared" ca="1" si="25"/>
        <v>0</v>
      </c>
      <c r="M45" s="136">
        <f t="shared" ca="1" si="25"/>
        <v>0</v>
      </c>
      <c r="N45" s="136">
        <f t="shared" ca="1" si="25"/>
        <v>0</v>
      </c>
      <c r="O45" s="136">
        <f t="shared" ca="1" si="25"/>
        <v>0</v>
      </c>
      <c r="P45" s="136">
        <f t="shared" ca="1" si="25"/>
        <v>0</v>
      </c>
      <c r="Q45" s="136">
        <f t="shared" ca="1" si="25"/>
        <v>0</v>
      </c>
      <c r="R45" s="136">
        <f t="shared" ca="1" si="25"/>
        <v>0</v>
      </c>
      <c r="S45" s="136">
        <f t="shared" ca="1" si="25"/>
        <v>0</v>
      </c>
      <c r="T45" s="136">
        <f t="shared" ca="1" si="25"/>
        <v>0</v>
      </c>
      <c r="U45" s="136">
        <f t="shared" ca="1" si="25"/>
        <v>0</v>
      </c>
      <c r="V45" s="136">
        <f t="shared" ca="1" si="25"/>
        <v>0</v>
      </c>
      <c r="W45" s="136">
        <f t="shared" ca="1" si="25"/>
        <v>0</v>
      </c>
      <c r="X45" s="136">
        <f t="shared" ca="1" si="25"/>
        <v>0</v>
      </c>
      <c r="Y45" s="136">
        <f t="shared" ca="1" si="25"/>
        <v>0</v>
      </c>
      <c r="Z45" s="136">
        <f t="shared" ca="1" si="25"/>
        <v>0</v>
      </c>
      <c r="AA45" s="136">
        <f t="shared" ca="1" si="25"/>
        <v>0</v>
      </c>
      <c r="AB45" s="136">
        <f t="shared" ca="1" si="25"/>
        <v>0</v>
      </c>
      <c r="AC45" s="136">
        <f t="shared" ca="1" si="25"/>
        <v>0</v>
      </c>
      <c r="AD45" s="136">
        <f t="shared" ca="1" si="25"/>
        <v>0</v>
      </c>
      <c r="AE45" s="136">
        <f t="shared" ca="1" si="25"/>
        <v>0</v>
      </c>
      <c r="AF45" s="136">
        <f t="shared" ca="1" si="25"/>
        <v>0</v>
      </c>
      <c r="AG45" s="136">
        <f t="shared" ca="1" si="25"/>
        <v>0</v>
      </c>
      <c r="AH45" s="136">
        <f t="shared" ca="1" si="25"/>
        <v>0</v>
      </c>
      <c r="AI45" s="136">
        <f t="shared" ca="1" si="25"/>
        <v>0</v>
      </c>
      <c r="AJ45" s="136">
        <f t="shared" ca="1" si="25"/>
        <v>0</v>
      </c>
      <c r="AK45" s="136">
        <f t="shared" ca="1" si="25"/>
        <v>0</v>
      </c>
      <c r="AL45" s="136">
        <f t="shared" ca="1" si="25"/>
        <v>0</v>
      </c>
      <c r="AM45" s="136">
        <f t="shared" ca="1" si="25"/>
        <v>0</v>
      </c>
      <c r="AN45" s="136">
        <f t="shared" ca="1" si="25"/>
        <v>0</v>
      </c>
      <c r="AO45" s="136">
        <f t="shared" ca="1" si="25"/>
        <v>0</v>
      </c>
      <c r="AP45" s="136">
        <f t="shared" ca="1" si="25"/>
        <v>0</v>
      </c>
      <c r="AQ45" s="136">
        <f t="shared" ca="1" si="25"/>
        <v>0</v>
      </c>
      <c r="AR45" s="136">
        <f t="shared" ca="1" si="25"/>
        <v>0</v>
      </c>
      <c r="AS45" s="136">
        <f t="shared" ca="1" si="25"/>
        <v>0</v>
      </c>
      <c r="AT45" s="136">
        <f t="shared" ca="1" si="25"/>
        <v>0</v>
      </c>
      <c r="AU45" s="136">
        <f t="shared" ca="1" si="25"/>
        <v>0</v>
      </c>
      <c r="AV45" s="136">
        <f t="shared" ca="1" si="25"/>
        <v>0</v>
      </c>
      <c r="AW45" s="136">
        <f t="shared" ca="1" si="25"/>
        <v>0</v>
      </c>
      <c r="AX45" s="136">
        <f t="shared" ca="1" si="25"/>
        <v>0</v>
      </c>
      <c r="AY45" s="136">
        <f t="shared" ca="1" si="25"/>
        <v>0</v>
      </c>
      <c r="AZ45" s="136">
        <f t="shared" ca="1" si="25"/>
        <v>0</v>
      </c>
      <c r="BA45" s="136">
        <f t="shared" ca="1" si="25"/>
        <v>0</v>
      </c>
      <c r="BB45" s="136">
        <f t="shared" ca="1" si="25"/>
        <v>0</v>
      </c>
      <c r="BC45" s="136">
        <f t="shared" ca="1" si="25"/>
        <v>0</v>
      </c>
      <c r="BD45" s="136">
        <f t="shared" ca="1" si="25"/>
        <v>0</v>
      </c>
      <c r="BE45" s="136">
        <f t="shared" ca="1" si="25"/>
        <v>0</v>
      </c>
      <c r="BF45" s="136">
        <f t="shared" ca="1" si="25"/>
        <v>0</v>
      </c>
      <c r="BG45" s="136">
        <f t="shared" ca="1" si="25"/>
        <v>0</v>
      </c>
      <c r="BH45" s="136">
        <f t="shared" ca="1" si="25"/>
        <v>0</v>
      </c>
      <c r="BI45" s="136">
        <f t="shared" ca="1" si="25"/>
        <v>0</v>
      </c>
      <c r="BJ45" s="136">
        <f t="shared" ca="1" si="25"/>
        <v>0</v>
      </c>
      <c r="BK45" s="136">
        <f t="shared" ca="1" si="25"/>
        <v>0</v>
      </c>
      <c r="BL45" s="136">
        <f t="shared" ca="1" si="25"/>
        <v>0</v>
      </c>
      <c r="BM45" s="136">
        <f t="shared" ca="1" si="25"/>
        <v>0</v>
      </c>
      <c r="BN45" s="136">
        <f t="shared" ca="1" si="25"/>
        <v>0</v>
      </c>
      <c r="BO45" s="136">
        <f t="shared" ca="1" si="25"/>
        <v>0</v>
      </c>
      <c r="BP45" s="136">
        <f t="shared" ca="1" si="25"/>
        <v>0</v>
      </c>
      <c r="BQ45" s="136">
        <f t="shared" ca="1" si="25"/>
        <v>0</v>
      </c>
      <c r="BR45" s="136">
        <f t="shared" ca="1" si="25"/>
        <v>0</v>
      </c>
      <c r="BS45" s="136">
        <f t="shared" ca="1" si="25"/>
        <v>0</v>
      </c>
      <c r="BT45" s="136">
        <f t="shared" ca="1" si="25"/>
        <v>0</v>
      </c>
      <c r="BU45" s="136">
        <f t="shared" ref="BU45:CO45" ca="1" si="26">-ConstLoanExtensionDummy*(ConstLoanExtensionFee*BU88)*(Today=ConstLoanExtensionDate)</f>
        <v>0</v>
      </c>
      <c r="BV45" s="136">
        <f t="shared" ca="1" si="26"/>
        <v>0</v>
      </c>
      <c r="BW45" s="136">
        <f t="shared" ca="1" si="26"/>
        <v>0</v>
      </c>
      <c r="BX45" s="136">
        <f t="shared" ca="1" si="26"/>
        <v>0</v>
      </c>
      <c r="BY45" s="136">
        <f t="shared" ca="1" si="26"/>
        <v>0</v>
      </c>
      <c r="BZ45" s="136">
        <f t="shared" ca="1" si="26"/>
        <v>0</v>
      </c>
      <c r="CA45" s="136">
        <f t="shared" ca="1" si="26"/>
        <v>0</v>
      </c>
      <c r="CB45" s="136">
        <f t="shared" ca="1" si="26"/>
        <v>0</v>
      </c>
      <c r="CC45" s="136">
        <f t="shared" ca="1" si="26"/>
        <v>0</v>
      </c>
      <c r="CD45" s="136">
        <f t="shared" ca="1" si="26"/>
        <v>0</v>
      </c>
      <c r="CE45" s="136">
        <f t="shared" ca="1" si="26"/>
        <v>0</v>
      </c>
      <c r="CF45" s="136">
        <f t="shared" ca="1" si="26"/>
        <v>0</v>
      </c>
      <c r="CG45" s="136">
        <f t="shared" ca="1" si="26"/>
        <v>0</v>
      </c>
      <c r="CH45" s="136">
        <f t="shared" ca="1" si="26"/>
        <v>0</v>
      </c>
      <c r="CI45" s="136">
        <f t="shared" ca="1" si="26"/>
        <v>0</v>
      </c>
      <c r="CJ45" s="136">
        <f t="shared" ca="1" si="26"/>
        <v>0</v>
      </c>
      <c r="CK45" s="136">
        <f t="shared" ca="1" si="26"/>
        <v>0</v>
      </c>
      <c r="CL45" s="136">
        <f t="shared" ca="1" si="26"/>
        <v>0</v>
      </c>
      <c r="CM45" s="136">
        <f t="shared" ca="1" si="26"/>
        <v>0</v>
      </c>
      <c r="CN45" s="136">
        <f t="shared" ca="1" si="26"/>
        <v>0</v>
      </c>
      <c r="CO45" s="136">
        <f t="shared" ca="1" si="26"/>
        <v>0</v>
      </c>
      <c r="CP45" s="13" t="s">
        <v>15</v>
      </c>
    </row>
    <row r="46" spans="2:94" ht="15" customHeight="1" x14ac:dyDescent="0.2">
      <c r="B46" s="136">
        <f t="shared" ca="1" si="14"/>
        <v>-11697955.794413233</v>
      </c>
      <c r="D46" s="259" t="s">
        <v>199</v>
      </c>
      <c r="E46" s="269"/>
      <c r="F46" s="133" t="s">
        <v>208</v>
      </c>
      <c r="I46" s="136">
        <f t="shared" ref="I46:BT46" si="27">I90</f>
        <v>0</v>
      </c>
      <c r="J46" s="136">
        <f t="shared" ca="1" si="27"/>
        <v>0</v>
      </c>
      <c r="K46" s="136">
        <f t="shared" ca="1" si="27"/>
        <v>0</v>
      </c>
      <c r="L46" s="136">
        <f t="shared" ca="1" si="27"/>
        <v>0</v>
      </c>
      <c r="M46" s="136">
        <f t="shared" ca="1" si="27"/>
        <v>0</v>
      </c>
      <c r="N46" s="136">
        <f t="shared" ca="1" si="27"/>
        <v>0</v>
      </c>
      <c r="O46" s="136">
        <f t="shared" ca="1" si="27"/>
        <v>0</v>
      </c>
      <c r="P46" s="136">
        <f t="shared" ca="1" si="27"/>
        <v>0</v>
      </c>
      <c r="Q46" s="136">
        <f t="shared" ca="1" si="27"/>
        <v>0</v>
      </c>
      <c r="R46" s="136">
        <f t="shared" ca="1" si="27"/>
        <v>0</v>
      </c>
      <c r="S46" s="136">
        <f t="shared" ca="1" si="27"/>
        <v>0</v>
      </c>
      <c r="T46" s="136">
        <f t="shared" ca="1" si="27"/>
        <v>0</v>
      </c>
      <c r="U46" s="136">
        <f t="shared" ca="1" si="27"/>
        <v>0</v>
      </c>
      <c r="V46" s="136">
        <f t="shared" ca="1" si="27"/>
        <v>0</v>
      </c>
      <c r="W46" s="136">
        <f t="shared" ca="1" si="27"/>
        <v>0</v>
      </c>
      <c r="X46" s="136">
        <f t="shared" ca="1" si="27"/>
        <v>0</v>
      </c>
      <c r="Y46" s="136">
        <f t="shared" ca="1" si="27"/>
        <v>0</v>
      </c>
      <c r="Z46" s="136">
        <f t="shared" ca="1" si="27"/>
        <v>0</v>
      </c>
      <c r="AA46" s="136">
        <f t="shared" ca="1" si="27"/>
        <v>0</v>
      </c>
      <c r="AB46" s="136">
        <f t="shared" ca="1" si="27"/>
        <v>0</v>
      </c>
      <c r="AC46" s="136">
        <f t="shared" ca="1" si="27"/>
        <v>0</v>
      </c>
      <c r="AD46" s="136">
        <f t="shared" ca="1" si="27"/>
        <v>0</v>
      </c>
      <c r="AE46" s="136">
        <f t="shared" ca="1" si="27"/>
        <v>0</v>
      </c>
      <c r="AF46" s="136">
        <f t="shared" ca="1" si="27"/>
        <v>0</v>
      </c>
      <c r="AG46" s="136">
        <f t="shared" ca="1" si="27"/>
        <v>0</v>
      </c>
      <c r="AH46" s="136">
        <f t="shared" ca="1" si="27"/>
        <v>0</v>
      </c>
      <c r="AI46" s="136">
        <f t="shared" ca="1" si="27"/>
        <v>0</v>
      </c>
      <c r="AJ46" s="136">
        <f t="shared" ca="1" si="27"/>
        <v>0</v>
      </c>
      <c r="AK46" s="136">
        <f t="shared" ca="1" si="27"/>
        <v>0</v>
      </c>
      <c r="AL46" s="136">
        <f t="shared" ca="1" si="27"/>
        <v>0</v>
      </c>
      <c r="AM46" s="136">
        <f t="shared" ca="1" si="27"/>
        <v>0</v>
      </c>
      <c r="AN46" s="136">
        <f t="shared" ca="1" si="27"/>
        <v>0</v>
      </c>
      <c r="AO46" s="136">
        <f t="shared" ca="1" si="27"/>
        <v>0</v>
      </c>
      <c r="AP46" s="136">
        <f t="shared" ca="1" si="27"/>
        <v>0</v>
      </c>
      <c r="AQ46" s="136">
        <f t="shared" ca="1" si="27"/>
        <v>0</v>
      </c>
      <c r="AR46" s="136">
        <f t="shared" ca="1" si="27"/>
        <v>0</v>
      </c>
      <c r="AS46" s="136">
        <f t="shared" ca="1" si="27"/>
        <v>-11697955.794413233</v>
      </c>
      <c r="AT46" s="136">
        <f t="shared" ca="1" si="27"/>
        <v>0</v>
      </c>
      <c r="AU46" s="136">
        <f t="shared" ca="1" si="27"/>
        <v>0</v>
      </c>
      <c r="AV46" s="136">
        <f t="shared" ca="1" si="27"/>
        <v>0</v>
      </c>
      <c r="AW46" s="136">
        <f t="shared" ca="1" si="27"/>
        <v>0</v>
      </c>
      <c r="AX46" s="136">
        <f t="shared" ca="1" si="27"/>
        <v>0</v>
      </c>
      <c r="AY46" s="136">
        <f t="shared" ca="1" si="27"/>
        <v>0</v>
      </c>
      <c r="AZ46" s="136">
        <f t="shared" ca="1" si="27"/>
        <v>0</v>
      </c>
      <c r="BA46" s="136">
        <f t="shared" ca="1" si="27"/>
        <v>0</v>
      </c>
      <c r="BB46" s="136">
        <f t="shared" ca="1" si="27"/>
        <v>0</v>
      </c>
      <c r="BC46" s="136">
        <f t="shared" ca="1" si="27"/>
        <v>0</v>
      </c>
      <c r="BD46" s="136">
        <f t="shared" ca="1" si="27"/>
        <v>0</v>
      </c>
      <c r="BE46" s="136">
        <f t="shared" ca="1" si="27"/>
        <v>0</v>
      </c>
      <c r="BF46" s="136">
        <f t="shared" ca="1" si="27"/>
        <v>0</v>
      </c>
      <c r="BG46" s="136">
        <f t="shared" ca="1" si="27"/>
        <v>0</v>
      </c>
      <c r="BH46" s="136">
        <f t="shared" ca="1" si="27"/>
        <v>0</v>
      </c>
      <c r="BI46" s="136">
        <f t="shared" ca="1" si="27"/>
        <v>0</v>
      </c>
      <c r="BJ46" s="136">
        <f t="shared" ca="1" si="27"/>
        <v>0</v>
      </c>
      <c r="BK46" s="136">
        <f t="shared" ca="1" si="27"/>
        <v>0</v>
      </c>
      <c r="BL46" s="136">
        <f t="shared" ca="1" si="27"/>
        <v>0</v>
      </c>
      <c r="BM46" s="136">
        <f t="shared" ca="1" si="27"/>
        <v>0</v>
      </c>
      <c r="BN46" s="136">
        <f t="shared" ca="1" si="27"/>
        <v>0</v>
      </c>
      <c r="BO46" s="136">
        <f t="shared" ca="1" si="27"/>
        <v>0</v>
      </c>
      <c r="BP46" s="136">
        <f t="shared" ca="1" si="27"/>
        <v>0</v>
      </c>
      <c r="BQ46" s="136">
        <f t="shared" ca="1" si="27"/>
        <v>0</v>
      </c>
      <c r="BR46" s="136">
        <f t="shared" ca="1" si="27"/>
        <v>0</v>
      </c>
      <c r="BS46" s="136">
        <f t="shared" ca="1" si="27"/>
        <v>0</v>
      </c>
      <c r="BT46" s="136">
        <f t="shared" ca="1" si="27"/>
        <v>0</v>
      </c>
      <c r="BU46" s="136">
        <f t="shared" ref="BU46:CO46" ca="1" si="28">BU90</f>
        <v>0</v>
      </c>
      <c r="BV46" s="136">
        <f t="shared" ca="1" si="28"/>
        <v>0</v>
      </c>
      <c r="BW46" s="136">
        <f t="shared" ca="1" si="28"/>
        <v>0</v>
      </c>
      <c r="BX46" s="136">
        <f t="shared" ca="1" si="28"/>
        <v>0</v>
      </c>
      <c r="BY46" s="136">
        <f t="shared" ca="1" si="28"/>
        <v>0</v>
      </c>
      <c r="BZ46" s="136">
        <f t="shared" ca="1" si="28"/>
        <v>0</v>
      </c>
      <c r="CA46" s="136">
        <f t="shared" ca="1" si="28"/>
        <v>0</v>
      </c>
      <c r="CB46" s="136">
        <f t="shared" ca="1" si="28"/>
        <v>0</v>
      </c>
      <c r="CC46" s="136">
        <f t="shared" ca="1" si="28"/>
        <v>0</v>
      </c>
      <c r="CD46" s="136">
        <f t="shared" ca="1" si="28"/>
        <v>0</v>
      </c>
      <c r="CE46" s="136">
        <f t="shared" ca="1" si="28"/>
        <v>0</v>
      </c>
      <c r="CF46" s="136">
        <f t="shared" ca="1" si="28"/>
        <v>0</v>
      </c>
      <c r="CG46" s="136">
        <f t="shared" ca="1" si="28"/>
        <v>0</v>
      </c>
      <c r="CH46" s="136">
        <f t="shared" ca="1" si="28"/>
        <v>0</v>
      </c>
      <c r="CI46" s="136">
        <f t="shared" ca="1" si="28"/>
        <v>0</v>
      </c>
      <c r="CJ46" s="136">
        <f t="shared" ca="1" si="28"/>
        <v>0</v>
      </c>
      <c r="CK46" s="136">
        <f t="shared" ca="1" si="28"/>
        <v>0</v>
      </c>
      <c r="CL46" s="136">
        <f t="shared" ca="1" si="28"/>
        <v>0</v>
      </c>
      <c r="CM46" s="136">
        <f t="shared" ca="1" si="28"/>
        <v>0</v>
      </c>
      <c r="CN46" s="136">
        <f t="shared" ca="1" si="28"/>
        <v>0</v>
      </c>
      <c r="CO46" s="136">
        <f t="shared" ca="1" si="28"/>
        <v>0</v>
      </c>
      <c r="CP46" s="13" t="s">
        <v>15</v>
      </c>
    </row>
    <row r="47" spans="2:94" ht="15" customHeight="1" x14ac:dyDescent="0.2">
      <c r="B47" s="136">
        <f t="shared" ca="1" si="14"/>
        <v>35005242.318935432</v>
      </c>
      <c r="D47" s="259" t="s">
        <v>194</v>
      </c>
      <c r="E47" s="269"/>
      <c r="F47" s="133" t="s">
        <v>288</v>
      </c>
      <c r="I47" s="136">
        <f t="shared" ref="I47:BT47" ca="1" si="29">I102</f>
        <v>0</v>
      </c>
      <c r="J47" s="136">
        <f t="shared" ca="1" si="29"/>
        <v>0</v>
      </c>
      <c r="K47" s="136">
        <f t="shared" ca="1" si="29"/>
        <v>0</v>
      </c>
      <c r="L47" s="136">
        <f t="shared" ca="1" si="29"/>
        <v>0</v>
      </c>
      <c r="M47" s="136">
        <f t="shared" ca="1" si="29"/>
        <v>0</v>
      </c>
      <c r="N47" s="136">
        <f t="shared" ca="1" si="29"/>
        <v>0</v>
      </c>
      <c r="O47" s="136">
        <f t="shared" ca="1" si="29"/>
        <v>0</v>
      </c>
      <c r="P47" s="136">
        <f t="shared" ca="1" si="29"/>
        <v>0</v>
      </c>
      <c r="Q47" s="136">
        <f t="shared" ca="1" si="29"/>
        <v>0</v>
      </c>
      <c r="R47" s="136">
        <f t="shared" ca="1" si="29"/>
        <v>0</v>
      </c>
      <c r="S47" s="136">
        <f t="shared" ca="1" si="29"/>
        <v>0</v>
      </c>
      <c r="T47" s="136">
        <f t="shared" ca="1" si="29"/>
        <v>0</v>
      </c>
      <c r="U47" s="136">
        <f t="shared" ca="1" si="29"/>
        <v>0</v>
      </c>
      <c r="V47" s="136">
        <f t="shared" ca="1" si="29"/>
        <v>0</v>
      </c>
      <c r="W47" s="136">
        <f t="shared" ca="1" si="29"/>
        <v>0</v>
      </c>
      <c r="X47" s="136">
        <f t="shared" ca="1" si="29"/>
        <v>0</v>
      </c>
      <c r="Y47" s="136">
        <f t="shared" ca="1" si="29"/>
        <v>0</v>
      </c>
      <c r="Z47" s="136">
        <f t="shared" ca="1" si="29"/>
        <v>0</v>
      </c>
      <c r="AA47" s="136">
        <f t="shared" ca="1" si="29"/>
        <v>0</v>
      </c>
      <c r="AB47" s="136">
        <f t="shared" ca="1" si="29"/>
        <v>0</v>
      </c>
      <c r="AC47" s="136">
        <f t="shared" ca="1" si="29"/>
        <v>0</v>
      </c>
      <c r="AD47" s="136">
        <f t="shared" ca="1" si="29"/>
        <v>0</v>
      </c>
      <c r="AE47" s="136">
        <f t="shared" ca="1" si="29"/>
        <v>0</v>
      </c>
      <c r="AF47" s="136">
        <f t="shared" ca="1" si="29"/>
        <v>0</v>
      </c>
      <c r="AG47" s="136">
        <f t="shared" ca="1" si="29"/>
        <v>0</v>
      </c>
      <c r="AH47" s="136">
        <f t="shared" ca="1" si="29"/>
        <v>0</v>
      </c>
      <c r="AI47" s="136">
        <f t="shared" ca="1" si="29"/>
        <v>0</v>
      </c>
      <c r="AJ47" s="136">
        <f t="shared" ca="1" si="29"/>
        <v>0</v>
      </c>
      <c r="AK47" s="136">
        <f t="shared" ca="1" si="29"/>
        <v>0</v>
      </c>
      <c r="AL47" s="136">
        <f t="shared" ca="1" si="29"/>
        <v>0</v>
      </c>
      <c r="AM47" s="136">
        <f t="shared" ca="1" si="29"/>
        <v>0</v>
      </c>
      <c r="AN47" s="136">
        <f t="shared" ca="1" si="29"/>
        <v>0</v>
      </c>
      <c r="AO47" s="136">
        <f t="shared" ca="1" si="29"/>
        <v>0</v>
      </c>
      <c r="AP47" s="136">
        <f t="shared" ca="1" si="29"/>
        <v>0</v>
      </c>
      <c r="AQ47" s="136">
        <f t="shared" ca="1" si="29"/>
        <v>0</v>
      </c>
      <c r="AR47" s="136">
        <f t="shared" ca="1" si="29"/>
        <v>0</v>
      </c>
      <c r="AS47" s="136">
        <f t="shared" ca="1" si="29"/>
        <v>35005242.318935432</v>
      </c>
      <c r="AT47" s="136">
        <f t="shared" ca="1" si="29"/>
        <v>0</v>
      </c>
      <c r="AU47" s="136">
        <f t="shared" ca="1" si="29"/>
        <v>0</v>
      </c>
      <c r="AV47" s="136">
        <f t="shared" ca="1" si="29"/>
        <v>0</v>
      </c>
      <c r="AW47" s="136">
        <f t="shared" ca="1" si="29"/>
        <v>0</v>
      </c>
      <c r="AX47" s="136">
        <f t="shared" ca="1" si="29"/>
        <v>0</v>
      </c>
      <c r="AY47" s="136">
        <f t="shared" ca="1" si="29"/>
        <v>0</v>
      </c>
      <c r="AZ47" s="136">
        <f t="shared" ca="1" si="29"/>
        <v>0</v>
      </c>
      <c r="BA47" s="136">
        <f t="shared" ca="1" si="29"/>
        <v>0</v>
      </c>
      <c r="BB47" s="136">
        <f t="shared" ca="1" si="29"/>
        <v>0</v>
      </c>
      <c r="BC47" s="136">
        <f t="shared" ca="1" si="29"/>
        <v>0</v>
      </c>
      <c r="BD47" s="136">
        <f t="shared" ca="1" si="29"/>
        <v>0</v>
      </c>
      <c r="BE47" s="136">
        <f t="shared" ca="1" si="29"/>
        <v>0</v>
      </c>
      <c r="BF47" s="136">
        <f t="shared" ca="1" si="29"/>
        <v>0</v>
      </c>
      <c r="BG47" s="136">
        <f t="shared" ca="1" si="29"/>
        <v>0</v>
      </c>
      <c r="BH47" s="136">
        <f t="shared" ca="1" si="29"/>
        <v>0</v>
      </c>
      <c r="BI47" s="136">
        <f t="shared" ca="1" si="29"/>
        <v>0</v>
      </c>
      <c r="BJ47" s="136">
        <f t="shared" ca="1" si="29"/>
        <v>0</v>
      </c>
      <c r="BK47" s="136">
        <f t="shared" ca="1" si="29"/>
        <v>0</v>
      </c>
      <c r="BL47" s="136">
        <f t="shared" ca="1" si="29"/>
        <v>0</v>
      </c>
      <c r="BM47" s="136">
        <f t="shared" ca="1" si="29"/>
        <v>0</v>
      </c>
      <c r="BN47" s="136">
        <f t="shared" ca="1" si="29"/>
        <v>0</v>
      </c>
      <c r="BO47" s="136">
        <f t="shared" ca="1" si="29"/>
        <v>0</v>
      </c>
      <c r="BP47" s="136">
        <f t="shared" ca="1" si="29"/>
        <v>0</v>
      </c>
      <c r="BQ47" s="136">
        <f t="shared" ca="1" si="29"/>
        <v>0</v>
      </c>
      <c r="BR47" s="136">
        <f t="shared" ca="1" si="29"/>
        <v>0</v>
      </c>
      <c r="BS47" s="136">
        <f t="shared" ca="1" si="29"/>
        <v>0</v>
      </c>
      <c r="BT47" s="136">
        <f t="shared" ca="1" si="29"/>
        <v>0</v>
      </c>
      <c r="BU47" s="136">
        <f t="shared" ref="BU47:CO47" ca="1" si="30">BU102</f>
        <v>0</v>
      </c>
      <c r="BV47" s="136">
        <f t="shared" ca="1" si="30"/>
        <v>0</v>
      </c>
      <c r="BW47" s="136">
        <f t="shared" ca="1" si="30"/>
        <v>0</v>
      </c>
      <c r="BX47" s="136">
        <f t="shared" ca="1" si="30"/>
        <v>0</v>
      </c>
      <c r="BY47" s="136">
        <f t="shared" ca="1" si="30"/>
        <v>0</v>
      </c>
      <c r="BZ47" s="136">
        <f t="shared" ca="1" si="30"/>
        <v>0</v>
      </c>
      <c r="CA47" s="136">
        <f t="shared" ca="1" si="30"/>
        <v>0</v>
      </c>
      <c r="CB47" s="136">
        <f t="shared" ca="1" si="30"/>
        <v>0</v>
      </c>
      <c r="CC47" s="136">
        <f t="shared" ca="1" si="30"/>
        <v>0</v>
      </c>
      <c r="CD47" s="136">
        <f t="shared" ca="1" si="30"/>
        <v>0</v>
      </c>
      <c r="CE47" s="136">
        <f t="shared" ca="1" si="30"/>
        <v>0</v>
      </c>
      <c r="CF47" s="136">
        <f t="shared" ca="1" si="30"/>
        <v>0</v>
      </c>
      <c r="CG47" s="136">
        <f t="shared" ca="1" si="30"/>
        <v>0</v>
      </c>
      <c r="CH47" s="136">
        <f t="shared" ca="1" si="30"/>
        <v>0</v>
      </c>
      <c r="CI47" s="136">
        <f t="shared" ca="1" si="30"/>
        <v>0</v>
      </c>
      <c r="CJ47" s="136">
        <f t="shared" ca="1" si="30"/>
        <v>0</v>
      </c>
      <c r="CK47" s="136">
        <f t="shared" ca="1" si="30"/>
        <v>0</v>
      </c>
      <c r="CL47" s="136">
        <f t="shared" ca="1" si="30"/>
        <v>0</v>
      </c>
      <c r="CM47" s="136">
        <f t="shared" ca="1" si="30"/>
        <v>0</v>
      </c>
      <c r="CN47" s="136">
        <f t="shared" ca="1" si="30"/>
        <v>0</v>
      </c>
      <c r="CO47" s="136">
        <f t="shared" ca="1" si="30"/>
        <v>0</v>
      </c>
      <c r="CP47" s="13" t="s">
        <v>15</v>
      </c>
    </row>
    <row r="48" spans="2:94" ht="15" customHeight="1" x14ac:dyDescent="0.2">
      <c r="B48" s="136">
        <f t="shared" ca="1" si="14"/>
        <v>-350052.4231893543</v>
      </c>
      <c r="C48" s="133" t="s">
        <v>209</v>
      </c>
      <c r="D48" s="259" t="s">
        <v>199</v>
      </c>
      <c r="E48" s="269"/>
      <c r="F48" s="133" t="s">
        <v>289</v>
      </c>
      <c r="I48" s="136">
        <f t="shared" ref="I48:BT48" ca="1" si="31">-I47*PermanentLoanPoints</f>
        <v>0</v>
      </c>
      <c r="J48" s="136">
        <f t="shared" ca="1" si="31"/>
        <v>0</v>
      </c>
      <c r="K48" s="136">
        <f t="shared" ca="1" si="31"/>
        <v>0</v>
      </c>
      <c r="L48" s="136">
        <f t="shared" ca="1" si="31"/>
        <v>0</v>
      </c>
      <c r="M48" s="136">
        <f t="shared" ca="1" si="31"/>
        <v>0</v>
      </c>
      <c r="N48" s="136">
        <f t="shared" ca="1" si="31"/>
        <v>0</v>
      </c>
      <c r="O48" s="136">
        <f t="shared" ca="1" si="31"/>
        <v>0</v>
      </c>
      <c r="P48" s="136">
        <f t="shared" ca="1" si="31"/>
        <v>0</v>
      </c>
      <c r="Q48" s="136">
        <f t="shared" ca="1" si="31"/>
        <v>0</v>
      </c>
      <c r="R48" s="136">
        <f t="shared" ca="1" si="31"/>
        <v>0</v>
      </c>
      <c r="S48" s="136">
        <f t="shared" ca="1" si="31"/>
        <v>0</v>
      </c>
      <c r="T48" s="136">
        <f t="shared" ca="1" si="31"/>
        <v>0</v>
      </c>
      <c r="U48" s="136">
        <f t="shared" ca="1" si="31"/>
        <v>0</v>
      </c>
      <c r="V48" s="136">
        <f t="shared" ca="1" si="31"/>
        <v>0</v>
      </c>
      <c r="W48" s="136">
        <f t="shared" ca="1" si="31"/>
        <v>0</v>
      </c>
      <c r="X48" s="136">
        <f t="shared" ca="1" si="31"/>
        <v>0</v>
      </c>
      <c r="Y48" s="136">
        <f t="shared" ca="1" si="31"/>
        <v>0</v>
      </c>
      <c r="Z48" s="136">
        <f t="shared" ca="1" si="31"/>
        <v>0</v>
      </c>
      <c r="AA48" s="136">
        <f t="shared" ca="1" si="31"/>
        <v>0</v>
      </c>
      <c r="AB48" s="136">
        <f t="shared" ca="1" si="31"/>
        <v>0</v>
      </c>
      <c r="AC48" s="136">
        <f t="shared" ca="1" si="31"/>
        <v>0</v>
      </c>
      <c r="AD48" s="136">
        <f t="shared" ca="1" si="31"/>
        <v>0</v>
      </c>
      <c r="AE48" s="136">
        <f t="shared" ca="1" si="31"/>
        <v>0</v>
      </c>
      <c r="AF48" s="136">
        <f t="shared" ca="1" si="31"/>
        <v>0</v>
      </c>
      <c r="AG48" s="136">
        <f t="shared" ca="1" si="31"/>
        <v>0</v>
      </c>
      <c r="AH48" s="136">
        <f t="shared" ca="1" si="31"/>
        <v>0</v>
      </c>
      <c r="AI48" s="136">
        <f t="shared" ca="1" si="31"/>
        <v>0</v>
      </c>
      <c r="AJ48" s="136">
        <f t="shared" ca="1" si="31"/>
        <v>0</v>
      </c>
      <c r="AK48" s="136">
        <f t="shared" ca="1" si="31"/>
        <v>0</v>
      </c>
      <c r="AL48" s="136">
        <f t="shared" ca="1" si="31"/>
        <v>0</v>
      </c>
      <c r="AM48" s="136">
        <f t="shared" ca="1" si="31"/>
        <v>0</v>
      </c>
      <c r="AN48" s="136">
        <f t="shared" ca="1" si="31"/>
        <v>0</v>
      </c>
      <c r="AO48" s="136">
        <f t="shared" ca="1" si="31"/>
        <v>0</v>
      </c>
      <c r="AP48" s="136">
        <f t="shared" ca="1" si="31"/>
        <v>0</v>
      </c>
      <c r="AQ48" s="136">
        <f t="shared" ca="1" si="31"/>
        <v>0</v>
      </c>
      <c r="AR48" s="136">
        <f t="shared" ca="1" si="31"/>
        <v>0</v>
      </c>
      <c r="AS48" s="136">
        <f t="shared" ca="1" si="31"/>
        <v>-350052.4231893543</v>
      </c>
      <c r="AT48" s="136">
        <f t="shared" ca="1" si="31"/>
        <v>0</v>
      </c>
      <c r="AU48" s="136">
        <f t="shared" ca="1" si="31"/>
        <v>0</v>
      </c>
      <c r="AV48" s="136">
        <f t="shared" ca="1" si="31"/>
        <v>0</v>
      </c>
      <c r="AW48" s="136">
        <f t="shared" ca="1" si="31"/>
        <v>0</v>
      </c>
      <c r="AX48" s="136">
        <f t="shared" ca="1" si="31"/>
        <v>0</v>
      </c>
      <c r="AY48" s="136">
        <f t="shared" ca="1" si="31"/>
        <v>0</v>
      </c>
      <c r="AZ48" s="136">
        <f t="shared" ca="1" si="31"/>
        <v>0</v>
      </c>
      <c r="BA48" s="136">
        <f t="shared" ca="1" si="31"/>
        <v>0</v>
      </c>
      <c r="BB48" s="136">
        <f t="shared" ca="1" si="31"/>
        <v>0</v>
      </c>
      <c r="BC48" s="136">
        <f t="shared" ca="1" si="31"/>
        <v>0</v>
      </c>
      <c r="BD48" s="136">
        <f t="shared" ca="1" si="31"/>
        <v>0</v>
      </c>
      <c r="BE48" s="136">
        <f t="shared" ca="1" si="31"/>
        <v>0</v>
      </c>
      <c r="BF48" s="136">
        <f t="shared" ca="1" si="31"/>
        <v>0</v>
      </c>
      <c r="BG48" s="136">
        <f t="shared" ca="1" si="31"/>
        <v>0</v>
      </c>
      <c r="BH48" s="136">
        <f t="shared" ca="1" si="31"/>
        <v>0</v>
      </c>
      <c r="BI48" s="136">
        <f t="shared" ca="1" si="31"/>
        <v>0</v>
      </c>
      <c r="BJ48" s="136">
        <f t="shared" ca="1" si="31"/>
        <v>0</v>
      </c>
      <c r="BK48" s="136">
        <f t="shared" ca="1" si="31"/>
        <v>0</v>
      </c>
      <c r="BL48" s="136">
        <f t="shared" ca="1" si="31"/>
        <v>0</v>
      </c>
      <c r="BM48" s="136">
        <f t="shared" ca="1" si="31"/>
        <v>0</v>
      </c>
      <c r="BN48" s="136">
        <f t="shared" ca="1" si="31"/>
        <v>0</v>
      </c>
      <c r="BO48" s="136">
        <f t="shared" ca="1" si="31"/>
        <v>0</v>
      </c>
      <c r="BP48" s="136">
        <f t="shared" ca="1" si="31"/>
        <v>0</v>
      </c>
      <c r="BQ48" s="136">
        <f t="shared" ca="1" si="31"/>
        <v>0</v>
      </c>
      <c r="BR48" s="136">
        <f t="shared" ca="1" si="31"/>
        <v>0</v>
      </c>
      <c r="BS48" s="136">
        <f t="shared" ca="1" si="31"/>
        <v>0</v>
      </c>
      <c r="BT48" s="136">
        <f t="shared" ca="1" si="31"/>
        <v>0</v>
      </c>
      <c r="BU48" s="136">
        <f t="shared" ref="BU48:CO48" ca="1" si="32">-BU47*PermanentLoanPoints</f>
        <v>0</v>
      </c>
      <c r="BV48" s="136">
        <f t="shared" ca="1" si="32"/>
        <v>0</v>
      </c>
      <c r="BW48" s="136">
        <f t="shared" ca="1" si="32"/>
        <v>0</v>
      </c>
      <c r="BX48" s="136">
        <f t="shared" ca="1" si="32"/>
        <v>0</v>
      </c>
      <c r="BY48" s="136">
        <f t="shared" ca="1" si="32"/>
        <v>0</v>
      </c>
      <c r="BZ48" s="136">
        <f t="shared" ca="1" si="32"/>
        <v>0</v>
      </c>
      <c r="CA48" s="136">
        <f t="shared" ca="1" si="32"/>
        <v>0</v>
      </c>
      <c r="CB48" s="136">
        <f t="shared" ca="1" si="32"/>
        <v>0</v>
      </c>
      <c r="CC48" s="136">
        <f t="shared" ca="1" si="32"/>
        <v>0</v>
      </c>
      <c r="CD48" s="136">
        <f t="shared" ca="1" si="32"/>
        <v>0</v>
      </c>
      <c r="CE48" s="136">
        <f t="shared" ca="1" si="32"/>
        <v>0</v>
      </c>
      <c r="CF48" s="136">
        <f t="shared" ca="1" si="32"/>
        <v>0</v>
      </c>
      <c r="CG48" s="136">
        <f t="shared" ca="1" si="32"/>
        <v>0</v>
      </c>
      <c r="CH48" s="136">
        <f t="shared" ca="1" si="32"/>
        <v>0</v>
      </c>
      <c r="CI48" s="136">
        <f t="shared" ca="1" si="32"/>
        <v>0</v>
      </c>
      <c r="CJ48" s="136">
        <f t="shared" ca="1" si="32"/>
        <v>0</v>
      </c>
      <c r="CK48" s="136">
        <f t="shared" ca="1" si="32"/>
        <v>0</v>
      </c>
      <c r="CL48" s="136">
        <f t="shared" ca="1" si="32"/>
        <v>0</v>
      </c>
      <c r="CM48" s="136">
        <f t="shared" ca="1" si="32"/>
        <v>0</v>
      </c>
      <c r="CN48" s="136">
        <f t="shared" ca="1" si="32"/>
        <v>0</v>
      </c>
      <c r="CO48" s="136">
        <f t="shared" ca="1" si="32"/>
        <v>0</v>
      </c>
      <c r="CP48" s="13" t="s">
        <v>15</v>
      </c>
    </row>
    <row r="49" spans="2:94" ht="15" customHeight="1" x14ac:dyDescent="0.2">
      <c r="D49" s="259"/>
      <c r="E49" s="269"/>
      <c r="F49" s="133" t="s">
        <v>290</v>
      </c>
      <c r="I49" s="136">
        <f t="shared" ref="I49:BT49" ca="1" si="33">-I110</f>
        <v>0</v>
      </c>
      <c r="J49" s="136">
        <f t="shared" ca="1" si="33"/>
        <v>0</v>
      </c>
      <c r="K49" s="136">
        <f t="shared" ca="1" si="33"/>
        <v>0</v>
      </c>
      <c r="L49" s="136">
        <f t="shared" ca="1" si="33"/>
        <v>0</v>
      </c>
      <c r="M49" s="136">
        <f t="shared" ca="1" si="33"/>
        <v>0</v>
      </c>
      <c r="N49" s="136">
        <f t="shared" ca="1" si="33"/>
        <v>0</v>
      </c>
      <c r="O49" s="136">
        <f t="shared" ca="1" si="33"/>
        <v>0</v>
      </c>
      <c r="P49" s="136">
        <f t="shared" ca="1" si="33"/>
        <v>0</v>
      </c>
      <c r="Q49" s="136">
        <f t="shared" ca="1" si="33"/>
        <v>0</v>
      </c>
      <c r="R49" s="136">
        <f t="shared" ca="1" si="33"/>
        <v>0</v>
      </c>
      <c r="S49" s="136">
        <f t="shared" ca="1" si="33"/>
        <v>0</v>
      </c>
      <c r="T49" s="136">
        <f t="shared" ca="1" si="33"/>
        <v>0</v>
      </c>
      <c r="U49" s="136">
        <f t="shared" ca="1" si="33"/>
        <v>0</v>
      </c>
      <c r="V49" s="136">
        <f t="shared" ca="1" si="33"/>
        <v>0</v>
      </c>
      <c r="W49" s="136">
        <f t="shared" ca="1" si="33"/>
        <v>0</v>
      </c>
      <c r="X49" s="136">
        <f t="shared" ca="1" si="33"/>
        <v>0</v>
      </c>
      <c r="Y49" s="136">
        <f t="shared" ca="1" si="33"/>
        <v>0</v>
      </c>
      <c r="Z49" s="136">
        <f t="shared" ca="1" si="33"/>
        <v>0</v>
      </c>
      <c r="AA49" s="136">
        <f t="shared" ca="1" si="33"/>
        <v>0</v>
      </c>
      <c r="AB49" s="136">
        <f t="shared" ca="1" si="33"/>
        <v>0</v>
      </c>
      <c r="AC49" s="136">
        <f t="shared" ca="1" si="33"/>
        <v>0</v>
      </c>
      <c r="AD49" s="136">
        <f t="shared" ca="1" si="33"/>
        <v>0</v>
      </c>
      <c r="AE49" s="136">
        <f t="shared" ca="1" si="33"/>
        <v>0</v>
      </c>
      <c r="AF49" s="136">
        <f t="shared" ca="1" si="33"/>
        <v>0</v>
      </c>
      <c r="AG49" s="136">
        <f t="shared" ca="1" si="33"/>
        <v>0</v>
      </c>
      <c r="AH49" s="136">
        <f t="shared" ca="1" si="33"/>
        <v>0</v>
      </c>
      <c r="AI49" s="136">
        <f t="shared" ca="1" si="33"/>
        <v>0</v>
      </c>
      <c r="AJ49" s="136">
        <f t="shared" ca="1" si="33"/>
        <v>0</v>
      </c>
      <c r="AK49" s="136">
        <f t="shared" ca="1" si="33"/>
        <v>0</v>
      </c>
      <c r="AL49" s="136">
        <f t="shared" ca="1" si="33"/>
        <v>0</v>
      </c>
      <c r="AM49" s="136">
        <f t="shared" ca="1" si="33"/>
        <v>0</v>
      </c>
      <c r="AN49" s="136">
        <f t="shared" ca="1" si="33"/>
        <v>0</v>
      </c>
      <c r="AO49" s="136">
        <f t="shared" ca="1" si="33"/>
        <v>0</v>
      </c>
      <c r="AP49" s="136">
        <f t="shared" ca="1" si="33"/>
        <v>0</v>
      </c>
      <c r="AQ49" s="136">
        <f t="shared" ca="1" si="33"/>
        <v>0</v>
      </c>
      <c r="AR49" s="136">
        <f t="shared" ca="1" si="33"/>
        <v>0</v>
      </c>
      <c r="AS49" s="136">
        <f t="shared" ca="1" si="33"/>
        <v>0</v>
      </c>
      <c r="AT49" s="136">
        <f t="shared" ca="1" si="33"/>
        <v>-232890.75059139673</v>
      </c>
      <c r="AU49" s="136">
        <f t="shared" ca="1" si="33"/>
        <v>-232890.75059139673</v>
      </c>
      <c r="AV49" s="136">
        <f t="shared" ca="1" si="33"/>
        <v>-232890.75059139673</v>
      </c>
      <c r="AW49" s="136">
        <f t="shared" ca="1" si="33"/>
        <v>-232890.75059139673</v>
      </c>
      <c r="AX49" s="136">
        <f t="shared" ca="1" si="33"/>
        <v>-232890.75059139673</v>
      </c>
      <c r="AY49" s="136">
        <f t="shared" ca="1" si="33"/>
        <v>-232890.75059139673</v>
      </c>
      <c r="AZ49" s="136">
        <f t="shared" ca="1" si="33"/>
        <v>-232890.75059139673</v>
      </c>
      <c r="BA49" s="136">
        <f t="shared" ca="1" si="33"/>
        <v>-232890.75059139673</v>
      </c>
      <c r="BB49" s="136">
        <f t="shared" ca="1" si="33"/>
        <v>-232890.75059139673</v>
      </c>
      <c r="BC49" s="136">
        <f t="shared" ca="1" si="33"/>
        <v>-232890.75059139673</v>
      </c>
      <c r="BD49" s="136">
        <f t="shared" ca="1" si="33"/>
        <v>-232890.75059139673</v>
      </c>
      <c r="BE49" s="136">
        <f t="shared" ca="1" si="33"/>
        <v>-232890.75059139673</v>
      </c>
      <c r="BF49" s="136">
        <f t="shared" ca="1" si="33"/>
        <v>-232890.75059139673</v>
      </c>
      <c r="BG49" s="136">
        <f t="shared" ca="1" si="33"/>
        <v>-232890.75059139673</v>
      </c>
      <c r="BH49" s="136">
        <f t="shared" ca="1" si="33"/>
        <v>-232890.75059139673</v>
      </c>
      <c r="BI49" s="136">
        <f t="shared" ca="1" si="33"/>
        <v>-232890.75059139673</v>
      </c>
      <c r="BJ49" s="136">
        <f t="shared" ca="1" si="33"/>
        <v>-232890.75059139673</v>
      </c>
      <c r="BK49" s="136">
        <f t="shared" ca="1" si="33"/>
        <v>-232890.75059139673</v>
      </c>
      <c r="BL49" s="136">
        <f t="shared" ca="1" si="33"/>
        <v>-232890.75059139673</v>
      </c>
      <c r="BM49" s="136">
        <f t="shared" ca="1" si="33"/>
        <v>-232890.75059139673</v>
      </c>
      <c r="BN49" s="136">
        <f t="shared" ca="1" si="33"/>
        <v>-232890.75059139673</v>
      </c>
      <c r="BO49" s="136">
        <f t="shared" ca="1" si="33"/>
        <v>-232890.75059139673</v>
      </c>
      <c r="BP49" s="136">
        <f t="shared" ca="1" si="33"/>
        <v>-232890.75059139673</v>
      </c>
      <c r="BQ49" s="136">
        <f t="shared" ca="1" si="33"/>
        <v>-232890.75059139673</v>
      </c>
      <c r="BR49" s="136">
        <f t="shared" ca="1" si="33"/>
        <v>-232890.75059139673</v>
      </c>
      <c r="BS49" s="136">
        <f t="shared" ca="1" si="33"/>
        <v>-232890.75059139673</v>
      </c>
      <c r="BT49" s="136">
        <f t="shared" ca="1" si="33"/>
        <v>-232890.75059139673</v>
      </c>
      <c r="BU49" s="136">
        <f t="shared" ref="BU49:CO49" ca="1" si="34">-BU110</f>
        <v>-232890.75059139673</v>
      </c>
      <c r="BV49" s="136">
        <f t="shared" ca="1" si="34"/>
        <v>-232890.75059139673</v>
      </c>
      <c r="BW49" s="136">
        <f t="shared" ca="1" si="34"/>
        <v>-232890.75059139673</v>
      </c>
      <c r="BX49" s="136">
        <f t="shared" ca="1" si="34"/>
        <v>-232890.75059139673</v>
      </c>
      <c r="BY49" s="136">
        <f t="shared" ca="1" si="34"/>
        <v>-232890.75059139673</v>
      </c>
      <c r="BZ49" s="136">
        <f t="shared" ca="1" si="34"/>
        <v>-232890.75059139673</v>
      </c>
      <c r="CA49" s="136">
        <f t="shared" ca="1" si="34"/>
        <v>-232890.75059139673</v>
      </c>
      <c r="CB49" s="136">
        <f t="shared" ca="1" si="34"/>
        <v>-232890.75059139673</v>
      </c>
      <c r="CC49" s="136">
        <f t="shared" ca="1" si="34"/>
        <v>-232890.75059139673</v>
      </c>
      <c r="CD49" s="136">
        <f t="shared" ca="1" si="34"/>
        <v>0</v>
      </c>
      <c r="CE49" s="136">
        <f t="shared" ca="1" si="34"/>
        <v>0</v>
      </c>
      <c r="CF49" s="136">
        <f t="shared" ca="1" si="34"/>
        <v>0</v>
      </c>
      <c r="CG49" s="136">
        <f t="shared" ca="1" si="34"/>
        <v>0</v>
      </c>
      <c r="CH49" s="136">
        <f t="shared" ca="1" si="34"/>
        <v>0</v>
      </c>
      <c r="CI49" s="136">
        <f t="shared" ca="1" si="34"/>
        <v>0</v>
      </c>
      <c r="CJ49" s="136">
        <f t="shared" ca="1" si="34"/>
        <v>0</v>
      </c>
      <c r="CK49" s="136">
        <f t="shared" ca="1" si="34"/>
        <v>0</v>
      </c>
      <c r="CL49" s="136">
        <f t="shared" ca="1" si="34"/>
        <v>0</v>
      </c>
      <c r="CM49" s="136">
        <f t="shared" ca="1" si="34"/>
        <v>0</v>
      </c>
      <c r="CN49" s="136">
        <f t="shared" ca="1" si="34"/>
        <v>0</v>
      </c>
      <c r="CO49" s="136">
        <f t="shared" ca="1" si="34"/>
        <v>0</v>
      </c>
      <c r="CP49" s="13" t="s">
        <v>15</v>
      </c>
    </row>
    <row r="50" spans="2:94" ht="15" customHeight="1" x14ac:dyDescent="0.2">
      <c r="B50" s="136">
        <f t="shared" ref="B50:B55" ca="1" si="35">SUM(I50:CO50)</f>
        <v>-33859507.825226754</v>
      </c>
      <c r="D50" s="259" t="s">
        <v>199</v>
      </c>
      <c r="E50" s="269"/>
      <c r="F50" s="133" t="s">
        <v>291</v>
      </c>
      <c r="I50" s="136">
        <f t="shared" ref="I50:BT50" ca="1" si="36">I104</f>
        <v>0</v>
      </c>
      <c r="J50" s="136">
        <f t="shared" ca="1" si="36"/>
        <v>0</v>
      </c>
      <c r="K50" s="136">
        <f t="shared" ca="1" si="36"/>
        <v>0</v>
      </c>
      <c r="L50" s="136">
        <f t="shared" ca="1" si="36"/>
        <v>0</v>
      </c>
      <c r="M50" s="136">
        <f t="shared" ca="1" si="36"/>
        <v>0</v>
      </c>
      <c r="N50" s="136">
        <f t="shared" ca="1" si="36"/>
        <v>0</v>
      </c>
      <c r="O50" s="136">
        <f t="shared" ca="1" si="36"/>
        <v>0</v>
      </c>
      <c r="P50" s="136">
        <f t="shared" ca="1" si="36"/>
        <v>0</v>
      </c>
      <c r="Q50" s="136">
        <f t="shared" ca="1" si="36"/>
        <v>0</v>
      </c>
      <c r="R50" s="136">
        <f t="shared" ca="1" si="36"/>
        <v>0</v>
      </c>
      <c r="S50" s="136">
        <f t="shared" ca="1" si="36"/>
        <v>0</v>
      </c>
      <c r="T50" s="136">
        <f t="shared" ca="1" si="36"/>
        <v>0</v>
      </c>
      <c r="U50" s="136">
        <f t="shared" ca="1" si="36"/>
        <v>0</v>
      </c>
      <c r="V50" s="136">
        <f t="shared" ca="1" si="36"/>
        <v>0</v>
      </c>
      <c r="W50" s="136">
        <f t="shared" ca="1" si="36"/>
        <v>0</v>
      </c>
      <c r="X50" s="136">
        <f t="shared" ca="1" si="36"/>
        <v>0</v>
      </c>
      <c r="Y50" s="136">
        <f t="shared" ca="1" si="36"/>
        <v>0</v>
      </c>
      <c r="Z50" s="136">
        <f t="shared" ca="1" si="36"/>
        <v>0</v>
      </c>
      <c r="AA50" s="136">
        <f t="shared" ca="1" si="36"/>
        <v>0</v>
      </c>
      <c r="AB50" s="136">
        <f t="shared" ca="1" si="36"/>
        <v>0</v>
      </c>
      <c r="AC50" s="136">
        <f t="shared" ca="1" si="36"/>
        <v>0</v>
      </c>
      <c r="AD50" s="136">
        <f t="shared" ca="1" si="36"/>
        <v>0</v>
      </c>
      <c r="AE50" s="136">
        <f t="shared" ca="1" si="36"/>
        <v>0</v>
      </c>
      <c r="AF50" s="136">
        <f t="shared" ca="1" si="36"/>
        <v>0</v>
      </c>
      <c r="AG50" s="136">
        <f t="shared" ca="1" si="36"/>
        <v>0</v>
      </c>
      <c r="AH50" s="136">
        <f t="shared" ca="1" si="36"/>
        <v>0</v>
      </c>
      <c r="AI50" s="136">
        <f t="shared" ca="1" si="36"/>
        <v>0</v>
      </c>
      <c r="AJ50" s="136">
        <f t="shared" ca="1" si="36"/>
        <v>0</v>
      </c>
      <c r="AK50" s="136">
        <f t="shared" ca="1" si="36"/>
        <v>0</v>
      </c>
      <c r="AL50" s="136">
        <f t="shared" ca="1" si="36"/>
        <v>0</v>
      </c>
      <c r="AM50" s="136">
        <f t="shared" ca="1" si="36"/>
        <v>0</v>
      </c>
      <c r="AN50" s="136">
        <f t="shared" ca="1" si="36"/>
        <v>0</v>
      </c>
      <c r="AO50" s="136">
        <f t="shared" ca="1" si="36"/>
        <v>0</v>
      </c>
      <c r="AP50" s="136">
        <f t="shared" ca="1" si="36"/>
        <v>0</v>
      </c>
      <c r="AQ50" s="136">
        <f t="shared" ca="1" si="36"/>
        <v>0</v>
      </c>
      <c r="AR50" s="136">
        <f t="shared" ca="1" si="36"/>
        <v>0</v>
      </c>
      <c r="AS50" s="136">
        <f t="shared" ca="1" si="36"/>
        <v>0</v>
      </c>
      <c r="AT50" s="136">
        <f t="shared" ca="1" si="36"/>
        <v>0</v>
      </c>
      <c r="AU50" s="136">
        <f t="shared" ca="1" si="36"/>
        <v>0</v>
      </c>
      <c r="AV50" s="136">
        <f t="shared" ca="1" si="36"/>
        <v>0</v>
      </c>
      <c r="AW50" s="136">
        <f t="shared" ca="1" si="36"/>
        <v>0</v>
      </c>
      <c r="AX50" s="136">
        <f t="shared" ca="1" si="36"/>
        <v>0</v>
      </c>
      <c r="AY50" s="136">
        <f t="shared" ca="1" si="36"/>
        <v>0</v>
      </c>
      <c r="AZ50" s="136">
        <f t="shared" ca="1" si="36"/>
        <v>0</v>
      </c>
      <c r="BA50" s="136">
        <f t="shared" ca="1" si="36"/>
        <v>0</v>
      </c>
      <c r="BB50" s="136">
        <f t="shared" ca="1" si="36"/>
        <v>0</v>
      </c>
      <c r="BC50" s="136">
        <f t="shared" ca="1" si="36"/>
        <v>0</v>
      </c>
      <c r="BD50" s="136">
        <f t="shared" ca="1" si="36"/>
        <v>0</v>
      </c>
      <c r="BE50" s="136">
        <f t="shared" ca="1" si="36"/>
        <v>0</v>
      </c>
      <c r="BF50" s="136">
        <f t="shared" ca="1" si="36"/>
        <v>0</v>
      </c>
      <c r="BG50" s="136">
        <f t="shared" ca="1" si="36"/>
        <v>0</v>
      </c>
      <c r="BH50" s="136">
        <f t="shared" ca="1" si="36"/>
        <v>0</v>
      </c>
      <c r="BI50" s="136">
        <f t="shared" ca="1" si="36"/>
        <v>0</v>
      </c>
      <c r="BJ50" s="136">
        <f t="shared" ca="1" si="36"/>
        <v>0</v>
      </c>
      <c r="BK50" s="136">
        <f t="shared" ca="1" si="36"/>
        <v>0</v>
      </c>
      <c r="BL50" s="136">
        <f t="shared" ca="1" si="36"/>
        <v>0</v>
      </c>
      <c r="BM50" s="136">
        <f t="shared" ca="1" si="36"/>
        <v>0</v>
      </c>
      <c r="BN50" s="136">
        <f t="shared" ca="1" si="36"/>
        <v>0</v>
      </c>
      <c r="BO50" s="136">
        <f t="shared" ca="1" si="36"/>
        <v>0</v>
      </c>
      <c r="BP50" s="136">
        <f t="shared" ca="1" si="36"/>
        <v>0</v>
      </c>
      <c r="BQ50" s="136">
        <f t="shared" ca="1" si="36"/>
        <v>0</v>
      </c>
      <c r="BR50" s="136">
        <f t="shared" ca="1" si="36"/>
        <v>0</v>
      </c>
      <c r="BS50" s="136">
        <f t="shared" ca="1" si="36"/>
        <v>0</v>
      </c>
      <c r="BT50" s="136">
        <f t="shared" ca="1" si="36"/>
        <v>0</v>
      </c>
      <c r="BU50" s="136">
        <f t="shared" ref="BU50:CO50" ca="1" si="37">BU104</f>
        <v>0</v>
      </c>
      <c r="BV50" s="136">
        <f t="shared" ca="1" si="37"/>
        <v>0</v>
      </c>
      <c r="BW50" s="136">
        <f t="shared" ca="1" si="37"/>
        <v>0</v>
      </c>
      <c r="BX50" s="136">
        <f t="shared" ca="1" si="37"/>
        <v>0</v>
      </c>
      <c r="BY50" s="136">
        <f t="shared" ca="1" si="37"/>
        <v>0</v>
      </c>
      <c r="BZ50" s="136">
        <f t="shared" ca="1" si="37"/>
        <v>0</v>
      </c>
      <c r="CA50" s="136">
        <f t="shared" ca="1" si="37"/>
        <v>0</v>
      </c>
      <c r="CB50" s="136">
        <f t="shared" ca="1" si="37"/>
        <v>0</v>
      </c>
      <c r="CC50" s="136">
        <f t="shared" ca="1" si="37"/>
        <v>-33859507.825226754</v>
      </c>
      <c r="CD50" s="136">
        <f t="shared" ca="1" si="37"/>
        <v>0</v>
      </c>
      <c r="CE50" s="136">
        <f t="shared" ca="1" si="37"/>
        <v>0</v>
      </c>
      <c r="CF50" s="136">
        <f t="shared" ca="1" si="37"/>
        <v>0</v>
      </c>
      <c r="CG50" s="136">
        <f t="shared" ca="1" si="37"/>
        <v>0</v>
      </c>
      <c r="CH50" s="136">
        <f t="shared" ca="1" si="37"/>
        <v>0</v>
      </c>
      <c r="CI50" s="136">
        <f t="shared" ca="1" si="37"/>
        <v>0</v>
      </c>
      <c r="CJ50" s="136">
        <f t="shared" ca="1" si="37"/>
        <v>0</v>
      </c>
      <c r="CK50" s="136">
        <f t="shared" ca="1" si="37"/>
        <v>0</v>
      </c>
      <c r="CL50" s="136">
        <f t="shared" ca="1" si="37"/>
        <v>0</v>
      </c>
      <c r="CM50" s="136">
        <f t="shared" ca="1" si="37"/>
        <v>0</v>
      </c>
      <c r="CN50" s="136">
        <f t="shared" ca="1" si="37"/>
        <v>0</v>
      </c>
      <c r="CO50" s="136">
        <f t="shared" ca="1" si="37"/>
        <v>0</v>
      </c>
      <c r="CP50" s="13" t="s">
        <v>15</v>
      </c>
    </row>
    <row r="51" spans="2:94" ht="15" customHeight="1" x14ac:dyDescent="0.2">
      <c r="B51" s="136">
        <f t="shared" ca="1" si="35"/>
        <v>0</v>
      </c>
      <c r="C51" s="133" t="s">
        <v>206</v>
      </c>
      <c r="D51" s="259" t="s">
        <v>199</v>
      </c>
      <c r="E51" s="269"/>
      <c r="F51" s="133" t="s">
        <v>292</v>
      </c>
      <c r="I51" s="136">
        <f t="shared" ref="I51:BT51" ca="1" si="38">I50*PermanentLoanPPMTFee*PermanentLoanPPMTDummy</f>
        <v>0</v>
      </c>
      <c r="J51" s="136">
        <f t="shared" ca="1" si="38"/>
        <v>0</v>
      </c>
      <c r="K51" s="136">
        <f t="shared" ca="1" si="38"/>
        <v>0</v>
      </c>
      <c r="L51" s="136">
        <f t="shared" ca="1" si="38"/>
        <v>0</v>
      </c>
      <c r="M51" s="136">
        <f t="shared" ca="1" si="38"/>
        <v>0</v>
      </c>
      <c r="N51" s="136">
        <f t="shared" ca="1" si="38"/>
        <v>0</v>
      </c>
      <c r="O51" s="136">
        <f t="shared" ca="1" si="38"/>
        <v>0</v>
      </c>
      <c r="P51" s="136">
        <f t="shared" ca="1" si="38"/>
        <v>0</v>
      </c>
      <c r="Q51" s="136">
        <f t="shared" ca="1" si="38"/>
        <v>0</v>
      </c>
      <c r="R51" s="136">
        <f t="shared" ca="1" si="38"/>
        <v>0</v>
      </c>
      <c r="S51" s="136">
        <f t="shared" ca="1" si="38"/>
        <v>0</v>
      </c>
      <c r="T51" s="136">
        <f t="shared" ca="1" si="38"/>
        <v>0</v>
      </c>
      <c r="U51" s="136">
        <f t="shared" ca="1" si="38"/>
        <v>0</v>
      </c>
      <c r="V51" s="136">
        <f t="shared" ca="1" si="38"/>
        <v>0</v>
      </c>
      <c r="W51" s="136">
        <f t="shared" ca="1" si="38"/>
        <v>0</v>
      </c>
      <c r="X51" s="136">
        <f t="shared" ca="1" si="38"/>
        <v>0</v>
      </c>
      <c r="Y51" s="136">
        <f t="shared" ca="1" si="38"/>
        <v>0</v>
      </c>
      <c r="Z51" s="136">
        <f t="shared" ca="1" si="38"/>
        <v>0</v>
      </c>
      <c r="AA51" s="136">
        <f t="shared" ca="1" si="38"/>
        <v>0</v>
      </c>
      <c r="AB51" s="136">
        <f t="shared" ca="1" si="38"/>
        <v>0</v>
      </c>
      <c r="AC51" s="136">
        <f t="shared" ca="1" si="38"/>
        <v>0</v>
      </c>
      <c r="AD51" s="136">
        <f t="shared" ca="1" si="38"/>
        <v>0</v>
      </c>
      <c r="AE51" s="136">
        <f t="shared" ca="1" si="38"/>
        <v>0</v>
      </c>
      <c r="AF51" s="136">
        <f t="shared" ca="1" si="38"/>
        <v>0</v>
      </c>
      <c r="AG51" s="136">
        <f t="shared" ca="1" si="38"/>
        <v>0</v>
      </c>
      <c r="AH51" s="136">
        <f t="shared" ca="1" si="38"/>
        <v>0</v>
      </c>
      <c r="AI51" s="136">
        <f t="shared" ca="1" si="38"/>
        <v>0</v>
      </c>
      <c r="AJ51" s="136">
        <f t="shared" ca="1" si="38"/>
        <v>0</v>
      </c>
      <c r="AK51" s="136">
        <f t="shared" ca="1" si="38"/>
        <v>0</v>
      </c>
      <c r="AL51" s="136">
        <f t="shared" ca="1" si="38"/>
        <v>0</v>
      </c>
      <c r="AM51" s="136">
        <f t="shared" ca="1" si="38"/>
        <v>0</v>
      </c>
      <c r="AN51" s="136">
        <f t="shared" ca="1" si="38"/>
        <v>0</v>
      </c>
      <c r="AO51" s="136">
        <f t="shared" ca="1" si="38"/>
        <v>0</v>
      </c>
      <c r="AP51" s="136">
        <f t="shared" ca="1" si="38"/>
        <v>0</v>
      </c>
      <c r="AQ51" s="136">
        <f t="shared" ca="1" si="38"/>
        <v>0</v>
      </c>
      <c r="AR51" s="136">
        <f t="shared" ca="1" si="38"/>
        <v>0</v>
      </c>
      <c r="AS51" s="136">
        <f t="shared" ca="1" si="38"/>
        <v>0</v>
      </c>
      <c r="AT51" s="136">
        <f t="shared" ca="1" si="38"/>
        <v>0</v>
      </c>
      <c r="AU51" s="136">
        <f t="shared" ca="1" si="38"/>
        <v>0</v>
      </c>
      <c r="AV51" s="136">
        <f t="shared" ca="1" si="38"/>
        <v>0</v>
      </c>
      <c r="AW51" s="136">
        <f t="shared" ca="1" si="38"/>
        <v>0</v>
      </c>
      <c r="AX51" s="136">
        <f t="shared" ca="1" si="38"/>
        <v>0</v>
      </c>
      <c r="AY51" s="136">
        <f t="shared" ca="1" si="38"/>
        <v>0</v>
      </c>
      <c r="AZ51" s="136">
        <f t="shared" ca="1" si="38"/>
        <v>0</v>
      </c>
      <c r="BA51" s="136">
        <f t="shared" ca="1" si="38"/>
        <v>0</v>
      </c>
      <c r="BB51" s="136">
        <f t="shared" ca="1" si="38"/>
        <v>0</v>
      </c>
      <c r="BC51" s="136">
        <f t="shared" ca="1" si="38"/>
        <v>0</v>
      </c>
      <c r="BD51" s="136">
        <f t="shared" ca="1" si="38"/>
        <v>0</v>
      </c>
      <c r="BE51" s="136">
        <f t="shared" ca="1" si="38"/>
        <v>0</v>
      </c>
      <c r="BF51" s="136">
        <f t="shared" ca="1" si="38"/>
        <v>0</v>
      </c>
      <c r="BG51" s="136">
        <f t="shared" ca="1" si="38"/>
        <v>0</v>
      </c>
      <c r="BH51" s="136">
        <f t="shared" ca="1" si="38"/>
        <v>0</v>
      </c>
      <c r="BI51" s="136">
        <f t="shared" ca="1" si="38"/>
        <v>0</v>
      </c>
      <c r="BJ51" s="136">
        <f t="shared" ca="1" si="38"/>
        <v>0</v>
      </c>
      <c r="BK51" s="136">
        <f t="shared" ca="1" si="38"/>
        <v>0</v>
      </c>
      <c r="BL51" s="136">
        <f t="shared" ca="1" si="38"/>
        <v>0</v>
      </c>
      <c r="BM51" s="136">
        <f t="shared" ca="1" si="38"/>
        <v>0</v>
      </c>
      <c r="BN51" s="136">
        <f t="shared" ca="1" si="38"/>
        <v>0</v>
      </c>
      <c r="BO51" s="136">
        <f t="shared" ca="1" si="38"/>
        <v>0</v>
      </c>
      <c r="BP51" s="136">
        <f t="shared" ca="1" si="38"/>
        <v>0</v>
      </c>
      <c r="BQ51" s="136">
        <f t="shared" ca="1" si="38"/>
        <v>0</v>
      </c>
      <c r="BR51" s="136">
        <f t="shared" ca="1" si="38"/>
        <v>0</v>
      </c>
      <c r="BS51" s="136">
        <f t="shared" ca="1" si="38"/>
        <v>0</v>
      </c>
      <c r="BT51" s="136">
        <f t="shared" ca="1" si="38"/>
        <v>0</v>
      </c>
      <c r="BU51" s="136">
        <f t="shared" ref="BU51:CO51" ca="1" si="39">BU50*PermanentLoanPPMTFee*PermanentLoanPPMTDummy</f>
        <v>0</v>
      </c>
      <c r="BV51" s="136">
        <f t="shared" ca="1" si="39"/>
        <v>0</v>
      </c>
      <c r="BW51" s="136">
        <f t="shared" ca="1" si="39"/>
        <v>0</v>
      </c>
      <c r="BX51" s="136">
        <f t="shared" ca="1" si="39"/>
        <v>0</v>
      </c>
      <c r="BY51" s="136">
        <f t="shared" ca="1" si="39"/>
        <v>0</v>
      </c>
      <c r="BZ51" s="136">
        <f t="shared" ca="1" si="39"/>
        <v>0</v>
      </c>
      <c r="CA51" s="136">
        <f t="shared" ca="1" si="39"/>
        <v>0</v>
      </c>
      <c r="CB51" s="136">
        <f t="shared" ca="1" si="39"/>
        <v>0</v>
      </c>
      <c r="CC51" s="136">
        <f t="shared" ca="1" si="39"/>
        <v>0</v>
      </c>
      <c r="CD51" s="136">
        <f t="shared" ca="1" si="39"/>
        <v>0</v>
      </c>
      <c r="CE51" s="136">
        <f t="shared" ca="1" si="39"/>
        <v>0</v>
      </c>
      <c r="CF51" s="136">
        <f t="shared" ca="1" si="39"/>
        <v>0</v>
      </c>
      <c r="CG51" s="136">
        <f t="shared" ca="1" si="39"/>
        <v>0</v>
      </c>
      <c r="CH51" s="136">
        <f t="shared" ca="1" si="39"/>
        <v>0</v>
      </c>
      <c r="CI51" s="136">
        <f t="shared" ca="1" si="39"/>
        <v>0</v>
      </c>
      <c r="CJ51" s="136">
        <f t="shared" ca="1" si="39"/>
        <v>0</v>
      </c>
      <c r="CK51" s="136">
        <f t="shared" ca="1" si="39"/>
        <v>0</v>
      </c>
      <c r="CL51" s="136">
        <f t="shared" ca="1" si="39"/>
        <v>0</v>
      </c>
      <c r="CM51" s="136">
        <f t="shared" ca="1" si="39"/>
        <v>0</v>
      </c>
      <c r="CN51" s="136">
        <f t="shared" ca="1" si="39"/>
        <v>0</v>
      </c>
      <c r="CO51" s="136">
        <f t="shared" ca="1" si="39"/>
        <v>0</v>
      </c>
      <c r="CP51" s="13" t="s">
        <v>15</v>
      </c>
    </row>
    <row r="52" spans="2:94" ht="15" customHeight="1" x14ac:dyDescent="0.2">
      <c r="B52" s="136">
        <f t="shared" ca="1" si="35"/>
        <v>47973474.418063693</v>
      </c>
      <c r="D52" s="259" t="s">
        <v>194</v>
      </c>
      <c r="E52" s="269"/>
      <c r="F52" s="133" t="s">
        <v>180</v>
      </c>
      <c r="I52" s="136">
        <f t="shared" ref="I52:BT52" ca="1" si="40">I36/TerminalCapRateHotel*(Today=ExitDate)</f>
        <v>0</v>
      </c>
      <c r="J52" s="136">
        <f t="shared" ca="1" si="40"/>
        <v>0</v>
      </c>
      <c r="K52" s="136">
        <f t="shared" ca="1" si="40"/>
        <v>0</v>
      </c>
      <c r="L52" s="136">
        <f t="shared" ca="1" si="40"/>
        <v>0</v>
      </c>
      <c r="M52" s="136">
        <f t="shared" ca="1" si="40"/>
        <v>0</v>
      </c>
      <c r="N52" s="136">
        <f t="shared" ca="1" si="40"/>
        <v>0</v>
      </c>
      <c r="O52" s="136">
        <f t="shared" ca="1" si="40"/>
        <v>0</v>
      </c>
      <c r="P52" s="136">
        <f t="shared" ca="1" si="40"/>
        <v>0</v>
      </c>
      <c r="Q52" s="136">
        <f t="shared" ca="1" si="40"/>
        <v>0</v>
      </c>
      <c r="R52" s="136">
        <f t="shared" ca="1" si="40"/>
        <v>0</v>
      </c>
      <c r="S52" s="136">
        <f t="shared" ca="1" si="40"/>
        <v>0</v>
      </c>
      <c r="T52" s="136">
        <f t="shared" ca="1" si="40"/>
        <v>0</v>
      </c>
      <c r="U52" s="136">
        <f t="shared" ca="1" si="40"/>
        <v>0</v>
      </c>
      <c r="V52" s="136">
        <f t="shared" ca="1" si="40"/>
        <v>0</v>
      </c>
      <c r="W52" s="136">
        <f t="shared" ca="1" si="40"/>
        <v>0</v>
      </c>
      <c r="X52" s="136">
        <f t="shared" ca="1" si="40"/>
        <v>0</v>
      </c>
      <c r="Y52" s="136">
        <f t="shared" ca="1" si="40"/>
        <v>0</v>
      </c>
      <c r="Z52" s="136">
        <f t="shared" ca="1" si="40"/>
        <v>0</v>
      </c>
      <c r="AA52" s="136">
        <f t="shared" ca="1" si="40"/>
        <v>0</v>
      </c>
      <c r="AB52" s="136">
        <f t="shared" ca="1" si="40"/>
        <v>0</v>
      </c>
      <c r="AC52" s="136">
        <f t="shared" ca="1" si="40"/>
        <v>0</v>
      </c>
      <c r="AD52" s="136">
        <f t="shared" ca="1" si="40"/>
        <v>0</v>
      </c>
      <c r="AE52" s="136">
        <f t="shared" ca="1" si="40"/>
        <v>0</v>
      </c>
      <c r="AF52" s="136">
        <f t="shared" ca="1" si="40"/>
        <v>0</v>
      </c>
      <c r="AG52" s="136">
        <f t="shared" ca="1" si="40"/>
        <v>0</v>
      </c>
      <c r="AH52" s="136">
        <f t="shared" ca="1" si="40"/>
        <v>0</v>
      </c>
      <c r="AI52" s="136">
        <f t="shared" ca="1" si="40"/>
        <v>0</v>
      </c>
      <c r="AJ52" s="136">
        <f t="shared" ca="1" si="40"/>
        <v>0</v>
      </c>
      <c r="AK52" s="136">
        <f t="shared" ca="1" si="40"/>
        <v>0</v>
      </c>
      <c r="AL52" s="136">
        <f t="shared" ca="1" si="40"/>
        <v>0</v>
      </c>
      <c r="AM52" s="136">
        <f t="shared" ca="1" si="40"/>
        <v>0</v>
      </c>
      <c r="AN52" s="136">
        <f t="shared" ca="1" si="40"/>
        <v>0</v>
      </c>
      <c r="AO52" s="136">
        <f t="shared" ca="1" si="40"/>
        <v>0</v>
      </c>
      <c r="AP52" s="136">
        <f t="shared" ca="1" si="40"/>
        <v>0</v>
      </c>
      <c r="AQ52" s="136">
        <f t="shared" ca="1" si="40"/>
        <v>0</v>
      </c>
      <c r="AR52" s="136">
        <f t="shared" ca="1" si="40"/>
        <v>0</v>
      </c>
      <c r="AS52" s="136">
        <f t="shared" ca="1" si="40"/>
        <v>0</v>
      </c>
      <c r="AT52" s="136">
        <f t="shared" ca="1" si="40"/>
        <v>0</v>
      </c>
      <c r="AU52" s="136">
        <f t="shared" ca="1" si="40"/>
        <v>0</v>
      </c>
      <c r="AV52" s="136">
        <f t="shared" ca="1" si="40"/>
        <v>0</v>
      </c>
      <c r="AW52" s="136">
        <f t="shared" ca="1" si="40"/>
        <v>0</v>
      </c>
      <c r="AX52" s="136">
        <f t="shared" ca="1" si="40"/>
        <v>0</v>
      </c>
      <c r="AY52" s="136">
        <f t="shared" ca="1" si="40"/>
        <v>0</v>
      </c>
      <c r="AZ52" s="136">
        <f t="shared" ca="1" si="40"/>
        <v>0</v>
      </c>
      <c r="BA52" s="136">
        <f t="shared" ca="1" si="40"/>
        <v>0</v>
      </c>
      <c r="BB52" s="136">
        <f t="shared" ca="1" si="40"/>
        <v>0</v>
      </c>
      <c r="BC52" s="136">
        <f t="shared" ca="1" si="40"/>
        <v>0</v>
      </c>
      <c r="BD52" s="136">
        <f t="shared" ca="1" si="40"/>
        <v>0</v>
      </c>
      <c r="BE52" s="136">
        <f t="shared" ca="1" si="40"/>
        <v>0</v>
      </c>
      <c r="BF52" s="136">
        <f t="shared" ca="1" si="40"/>
        <v>0</v>
      </c>
      <c r="BG52" s="136">
        <f t="shared" ca="1" si="40"/>
        <v>0</v>
      </c>
      <c r="BH52" s="136">
        <f t="shared" ca="1" si="40"/>
        <v>0</v>
      </c>
      <c r="BI52" s="136">
        <f t="shared" ca="1" si="40"/>
        <v>0</v>
      </c>
      <c r="BJ52" s="136">
        <f t="shared" ca="1" si="40"/>
        <v>0</v>
      </c>
      <c r="BK52" s="136">
        <f t="shared" ca="1" si="40"/>
        <v>0</v>
      </c>
      <c r="BL52" s="136">
        <f t="shared" ca="1" si="40"/>
        <v>0</v>
      </c>
      <c r="BM52" s="136">
        <f t="shared" ca="1" si="40"/>
        <v>0</v>
      </c>
      <c r="BN52" s="136">
        <f t="shared" ca="1" si="40"/>
        <v>0</v>
      </c>
      <c r="BO52" s="136">
        <f t="shared" ca="1" si="40"/>
        <v>0</v>
      </c>
      <c r="BP52" s="136">
        <f t="shared" ca="1" si="40"/>
        <v>0</v>
      </c>
      <c r="BQ52" s="136">
        <f t="shared" ca="1" si="40"/>
        <v>0</v>
      </c>
      <c r="BR52" s="136">
        <f t="shared" ca="1" si="40"/>
        <v>0</v>
      </c>
      <c r="BS52" s="136">
        <f t="shared" ca="1" si="40"/>
        <v>0</v>
      </c>
      <c r="BT52" s="136">
        <f t="shared" ca="1" si="40"/>
        <v>0</v>
      </c>
      <c r="BU52" s="136">
        <f t="shared" ref="BU52:CO52" ca="1" si="41">BU36/TerminalCapRateHotel*(Today=ExitDate)</f>
        <v>0</v>
      </c>
      <c r="BV52" s="136">
        <f t="shared" ca="1" si="41"/>
        <v>0</v>
      </c>
      <c r="BW52" s="136">
        <f t="shared" ca="1" si="41"/>
        <v>0</v>
      </c>
      <c r="BX52" s="136">
        <f t="shared" ca="1" si="41"/>
        <v>0</v>
      </c>
      <c r="BY52" s="136">
        <f t="shared" ca="1" si="41"/>
        <v>0</v>
      </c>
      <c r="BZ52" s="136">
        <f t="shared" ca="1" si="41"/>
        <v>0</v>
      </c>
      <c r="CA52" s="136">
        <f t="shared" ca="1" si="41"/>
        <v>0</v>
      </c>
      <c r="CB52" s="136">
        <f t="shared" ca="1" si="41"/>
        <v>0</v>
      </c>
      <c r="CC52" s="136">
        <f t="shared" ca="1" si="41"/>
        <v>47973474.418063693</v>
      </c>
      <c r="CD52" s="136">
        <f t="shared" ca="1" si="41"/>
        <v>0</v>
      </c>
      <c r="CE52" s="136">
        <f t="shared" ca="1" si="41"/>
        <v>0</v>
      </c>
      <c r="CF52" s="136">
        <f t="shared" ca="1" si="41"/>
        <v>0</v>
      </c>
      <c r="CG52" s="136">
        <f t="shared" ca="1" si="41"/>
        <v>0</v>
      </c>
      <c r="CH52" s="136">
        <f t="shared" ca="1" si="41"/>
        <v>0</v>
      </c>
      <c r="CI52" s="136">
        <f t="shared" ca="1" si="41"/>
        <v>0</v>
      </c>
      <c r="CJ52" s="136">
        <f t="shared" ca="1" si="41"/>
        <v>0</v>
      </c>
      <c r="CK52" s="136">
        <f t="shared" ca="1" si="41"/>
        <v>0</v>
      </c>
      <c r="CL52" s="136">
        <f t="shared" ca="1" si="41"/>
        <v>0</v>
      </c>
      <c r="CM52" s="136">
        <f t="shared" ca="1" si="41"/>
        <v>0</v>
      </c>
      <c r="CN52" s="136">
        <f t="shared" ca="1" si="41"/>
        <v>0</v>
      </c>
      <c r="CO52" s="136">
        <f t="shared" ca="1" si="41"/>
        <v>0</v>
      </c>
      <c r="CP52" s="13" t="s">
        <v>15</v>
      </c>
    </row>
    <row r="53" spans="2:94" ht="15" customHeight="1" x14ac:dyDescent="0.2">
      <c r="B53" s="136">
        <f t="shared" ca="1" si="35"/>
        <v>-1439204.2325419108</v>
      </c>
      <c r="D53" s="259" t="s">
        <v>199</v>
      </c>
      <c r="E53" s="269"/>
      <c r="F53" s="133" t="s">
        <v>178</v>
      </c>
      <c r="I53" s="136">
        <f t="shared" ref="I53:BT53" ca="1" si="42">-SellingCost*I52</f>
        <v>0</v>
      </c>
      <c r="J53" s="136">
        <f t="shared" ca="1" si="42"/>
        <v>0</v>
      </c>
      <c r="K53" s="136">
        <f t="shared" ca="1" si="42"/>
        <v>0</v>
      </c>
      <c r="L53" s="136">
        <f t="shared" ca="1" si="42"/>
        <v>0</v>
      </c>
      <c r="M53" s="136">
        <f t="shared" ca="1" si="42"/>
        <v>0</v>
      </c>
      <c r="N53" s="136">
        <f t="shared" ca="1" si="42"/>
        <v>0</v>
      </c>
      <c r="O53" s="136">
        <f t="shared" ca="1" si="42"/>
        <v>0</v>
      </c>
      <c r="P53" s="136">
        <f t="shared" ca="1" si="42"/>
        <v>0</v>
      </c>
      <c r="Q53" s="136">
        <f t="shared" ca="1" si="42"/>
        <v>0</v>
      </c>
      <c r="R53" s="136">
        <f t="shared" ca="1" si="42"/>
        <v>0</v>
      </c>
      <c r="S53" s="136">
        <f t="shared" ca="1" si="42"/>
        <v>0</v>
      </c>
      <c r="T53" s="136">
        <f t="shared" ca="1" si="42"/>
        <v>0</v>
      </c>
      <c r="U53" s="136">
        <f t="shared" ca="1" si="42"/>
        <v>0</v>
      </c>
      <c r="V53" s="136">
        <f t="shared" ca="1" si="42"/>
        <v>0</v>
      </c>
      <c r="W53" s="136">
        <f t="shared" ca="1" si="42"/>
        <v>0</v>
      </c>
      <c r="X53" s="136">
        <f t="shared" ca="1" si="42"/>
        <v>0</v>
      </c>
      <c r="Y53" s="136">
        <f t="shared" ca="1" si="42"/>
        <v>0</v>
      </c>
      <c r="Z53" s="136">
        <f t="shared" ca="1" si="42"/>
        <v>0</v>
      </c>
      <c r="AA53" s="136">
        <f t="shared" ca="1" si="42"/>
        <v>0</v>
      </c>
      <c r="AB53" s="136">
        <f t="shared" ca="1" si="42"/>
        <v>0</v>
      </c>
      <c r="AC53" s="136">
        <f t="shared" ca="1" si="42"/>
        <v>0</v>
      </c>
      <c r="AD53" s="136">
        <f t="shared" ca="1" si="42"/>
        <v>0</v>
      </c>
      <c r="AE53" s="136">
        <f t="shared" ca="1" si="42"/>
        <v>0</v>
      </c>
      <c r="AF53" s="136">
        <f t="shared" ca="1" si="42"/>
        <v>0</v>
      </c>
      <c r="AG53" s="136">
        <f t="shared" ca="1" si="42"/>
        <v>0</v>
      </c>
      <c r="AH53" s="136">
        <f t="shared" ca="1" si="42"/>
        <v>0</v>
      </c>
      <c r="AI53" s="136">
        <f t="shared" ca="1" si="42"/>
        <v>0</v>
      </c>
      <c r="AJ53" s="136">
        <f t="shared" ca="1" si="42"/>
        <v>0</v>
      </c>
      <c r="AK53" s="136">
        <f t="shared" ca="1" si="42"/>
        <v>0</v>
      </c>
      <c r="AL53" s="136">
        <f t="shared" ca="1" si="42"/>
        <v>0</v>
      </c>
      <c r="AM53" s="136">
        <f t="shared" ca="1" si="42"/>
        <v>0</v>
      </c>
      <c r="AN53" s="136">
        <f t="shared" ca="1" si="42"/>
        <v>0</v>
      </c>
      <c r="AO53" s="136">
        <f t="shared" ca="1" si="42"/>
        <v>0</v>
      </c>
      <c r="AP53" s="136">
        <f t="shared" ca="1" si="42"/>
        <v>0</v>
      </c>
      <c r="AQ53" s="136">
        <f t="shared" ca="1" si="42"/>
        <v>0</v>
      </c>
      <c r="AR53" s="136">
        <f t="shared" ca="1" si="42"/>
        <v>0</v>
      </c>
      <c r="AS53" s="136">
        <f t="shared" ca="1" si="42"/>
        <v>0</v>
      </c>
      <c r="AT53" s="136">
        <f t="shared" ca="1" si="42"/>
        <v>0</v>
      </c>
      <c r="AU53" s="136">
        <f t="shared" ca="1" si="42"/>
        <v>0</v>
      </c>
      <c r="AV53" s="136">
        <f t="shared" ca="1" si="42"/>
        <v>0</v>
      </c>
      <c r="AW53" s="136">
        <f t="shared" ca="1" si="42"/>
        <v>0</v>
      </c>
      <c r="AX53" s="136">
        <f t="shared" ca="1" si="42"/>
        <v>0</v>
      </c>
      <c r="AY53" s="136">
        <f t="shared" ca="1" si="42"/>
        <v>0</v>
      </c>
      <c r="AZ53" s="136">
        <f t="shared" ca="1" si="42"/>
        <v>0</v>
      </c>
      <c r="BA53" s="136">
        <f t="shared" ca="1" si="42"/>
        <v>0</v>
      </c>
      <c r="BB53" s="136">
        <f t="shared" ca="1" si="42"/>
        <v>0</v>
      </c>
      <c r="BC53" s="136">
        <f t="shared" ca="1" si="42"/>
        <v>0</v>
      </c>
      <c r="BD53" s="136">
        <f t="shared" ca="1" si="42"/>
        <v>0</v>
      </c>
      <c r="BE53" s="136">
        <f t="shared" ca="1" si="42"/>
        <v>0</v>
      </c>
      <c r="BF53" s="136">
        <f t="shared" ca="1" si="42"/>
        <v>0</v>
      </c>
      <c r="BG53" s="136">
        <f t="shared" ca="1" si="42"/>
        <v>0</v>
      </c>
      <c r="BH53" s="136">
        <f t="shared" ca="1" si="42"/>
        <v>0</v>
      </c>
      <c r="BI53" s="136">
        <f t="shared" ca="1" si="42"/>
        <v>0</v>
      </c>
      <c r="BJ53" s="136">
        <f t="shared" ca="1" si="42"/>
        <v>0</v>
      </c>
      <c r="BK53" s="136">
        <f t="shared" ca="1" si="42"/>
        <v>0</v>
      </c>
      <c r="BL53" s="136">
        <f t="shared" ca="1" si="42"/>
        <v>0</v>
      </c>
      <c r="BM53" s="136">
        <f t="shared" ca="1" si="42"/>
        <v>0</v>
      </c>
      <c r="BN53" s="136">
        <f t="shared" ca="1" si="42"/>
        <v>0</v>
      </c>
      <c r="BO53" s="136">
        <f t="shared" ca="1" si="42"/>
        <v>0</v>
      </c>
      <c r="BP53" s="136">
        <f t="shared" ca="1" si="42"/>
        <v>0</v>
      </c>
      <c r="BQ53" s="136">
        <f t="shared" ca="1" si="42"/>
        <v>0</v>
      </c>
      <c r="BR53" s="136">
        <f t="shared" ca="1" si="42"/>
        <v>0</v>
      </c>
      <c r="BS53" s="136">
        <f t="shared" ca="1" si="42"/>
        <v>0</v>
      </c>
      <c r="BT53" s="136">
        <f t="shared" ca="1" si="42"/>
        <v>0</v>
      </c>
      <c r="BU53" s="136">
        <f t="shared" ref="BU53:CO53" ca="1" si="43">-SellingCost*BU52</f>
        <v>0</v>
      </c>
      <c r="BV53" s="136">
        <f t="shared" ca="1" si="43"/>
        <v>0</v>
      </c>
      <c r="BW53" s="136">
        <f t="shared" ca="1" si="43"/>
        <v>0</v>
      </c>
      <c r="BX53" s="136">
        <f t="shared" ca="1" si="43"/>
        <v>0</v>
      </c>
      <c r="BY53" s="136">
        <f t="shared" ca="1" si="43"/>
        <v>0</v>
      </c>
      <c r="BZ53" s="136">
        <f t="shared" ca="1" si="43"/>
        <v>0</v>
      </c>
      <c r="CA53" s="136">
        <f t="shared" ca="1" si="43"/>
        <v>0</v>
      </c>
      <c r="CB53" s="136">
        <f t="shared" ca="1" si="43"/>
        <v>0</v>
      </c>
      <c r="CC53" s="136">
        <f t="shared" ca="1" si="43"/>
        <v>-1439204.2325419108</v>
      </c>
      <c r="CD53" s="136">
        <f t="shared" ca="1" si="43"/>
        <v>0</v>
      </c>
      <c r="CE53" s="136">
        <f t="shared" ca="1" si="43"/>
        <v>0</v>
      </c>
      <c r="CF53" s="136">
        <f t="shared" ca="1" si="43"/>
        <v>0</v>
      </c>
      <c r="CG53" s="136">
        <f t="shared" ca="1" si="43"/>
        <v>0</v>
      </c>
      <c r="CH53" s="136">
        <f t="shared" ca="1" si="43"/>
        <v>0</v>
      </c>
      <c r="CI53" s="136">
        <f t="shared" ca="1" si="43"/>
        <v>0</v>
      </c>
      <c r="CJ53" s="136">
        <f t="shared" ca="1" si="43"/>
        <v>0</v>
      </c>
      <c r="CK53" s="136">
        <f t="shared" ca="1" si="43"/>
        <v>0</v>
      </c>
      <c r="CL53" s="136">
        <f t="shared" ca="1" si="43"/>
        <v>0</v>
      </c>
      <c r="CM53" s="136">
        <f t="shared" ca="1" si="43"/>
        <v>0</v>
      </c>
      <c r="CN53" s="136">
        <f t="shared" ca="1" si="43"/>
        <v>0</v>
      </c>
      <c r="CO53" s="136">
        <f t="shared" ca="1" si="43"/>
        <v>0</v>
      </c>
      <c r="CP53" s="13" t="s">
        <v>15</v>
      </c>
    </row>
    <row r="54" spans="2:94" ht="15" customHeight="1" x14ac:dyDescent="0.2">
      <c r="B54" s="136">
        <f t="shared" ca="1" si="35"/>
        <v>-6838344.077608509</v>
      </c>
      <c r="D54" s="259" t="s">
        <v>199</v>
      </c>
      <c r="E54" s="269"/>
      <c r="F54" s="133" t="s">
        <v>210</v>
      </c>
      <c r="I54" s="136">
        <f t="shared" ref="I54:BT54" ca="1" si="44">I84</f>
        <v>0</v>
      </c>
      <c r="J54" s="136">
        <f t="shared" ca="1" si="44"/>
        <v>0</v>
      </c>
      <c r="K54" s="136">
        <f t="shared" ca="1" si="44"/>
        <v>0</v>
      </c>
      <c r="L54" s="136">
        <f t="shared" ca="1" si="44"/>
        <v>0</v>
      </c>
      <c r="M54" s="136">
        <f t="shared" ca="1" si="44"/>
        <v>0</v>
      </c>
      <c r="N54" s="136">
        <f t="shared" ca="1" si="44"/>
        <v>0</v>
      </c>
      <c r="O54" s="136">
        <f t="shared" ca="1" si="44"/>
        <v>0</v>
      </c>
      <c r="P54" s="136">
        <f t="shared" ca="1" si="44"/>
        <v>0</v>
      </c>
      <c r="Q54" s="136">
        <f t="shared" ca="1" si="44"/>
        <v>0</v>
      </c>
      <c r="R54" s="136">
        <f t="shared" ca="1" si="44"/>
        <v>0</v>
      </c>
      <c r="S54" s="136">
        <f t="shared" ca="1" si="44"/>
        <v>0</v>
      </c>
      <c r="T54" s="136">
        <f t="shared" ca="1" si="44"/>
        <v>0</v>
      </c>
      <c r="U54" s="136">
        <f t="shared" ca="1" si="44"/>
        <v>0</v>
      </c>
      <c r="V54" s="136">
        <f t="shared" ca="1" si="44"/>
        <v>0</v>
      </c>
      <c r="W54" s="136">
        <f t="shared" ca="1" si="44"/>
        <v>0</v>
      </c>
      <c r="X54" s="136">
        <f t="shared" ca="1" si="44"/>
        <v>0</v>
      </c>
      <c r="Y54" s="136">
        <f t="shared" ca="1" si="44"/>
        <v>0</v>
      </c>
      <c r="Z54" s="136">
        <f t="shared" ca="1" si="44"/>
        <v>0</v>
      </c>
      <c r="AA54" s="136">
        <f t="shared" ca="1" si="44"/>
        <v>0</v>
      </c>
      <c r="AB54" s="136">
        <f t="shared" ca="1" si="44"/>
        <v>0</v>
      </c>
      <c r="AC54" s="136">
        <f t="shared" ca="1" si="44"/>
        <v>0</v>
      </c>
      <c r="AD54" s="136">
        <f t="shared" ca="1" si="44"/>
        <v>0</v>
      </c>
      <c r="AE54" s="136">
        <f t="shared" ca="1" si="44"/>
        <v>0</v>
      </c>
      <c r="AF54" s="136">
        <f t="shared" ca="1" si="44"/>
        <v>0</v>
      </c>
      <c r="AG54" s="136">
        <f t="shared" ca="1" si="44"/>
        <v>0</v>
      </c>
      <c r="AH54" s="136">
        <f t="shared" ca="1" si="44"/>
        <v>-267267.30637668417</v>
      </c>
      <c r="AI54" s="136">
        <f t="shared" ca="1" si="44"/>
        <v>-271713.22820647666</v>
      </c>
      <c r="AJ54" s="136">
        <f t="shared" ca="1" si="44"/>
        <v>-266982.73735482426</v>
      </c>
      <c r="AK54" s="136">
        <f t="shared" ca="1" si="44"/>
        <v>-268361.01650197932</v>
      </c>
      <c r="AL54" s="136">
        <f t="shared" ca="1" si="44"/>
        <v>-266698.57126255275</v>
      </c>
      <c r="AM54" s="136">
        <f t="shared" ca="1" si="44"/>
        <v>-268106.58596345084</v>
      </c>
      <c r="AN54" s="136">
        <f t="shared" ca="1" si="44"/>
        <v>-266418.33373376896</v>
      </c>
      <c r="AO54" s="136">
        <f t="shared" ca="1" si="44"/>
        <v>-266294.83581490163</v>
      </c>
      <c r="AP54" s="136">
        <f t="shared" ca="1" si="44"/>
        <v>-267713.43716579361</v>
      </c>
      <c r="AQ54" s="136">
        <f t="shared" ca="1" si="44"/>
        <v>-266007.6477507166</v>
      </c>
      <c r="AR54" s="136">
        <f t="shared" ca="1" si="44"/>
        <v>-267434.7333689917</v>
      </c>
      <c r="AS54" s="136">
        <f t="shared" ca="1" si="44"/>
        <v>-3895345.6441083681</v>
      </c>
      <c r="AT54" s="136">
        <f t="shared" ca="1" si="44"/>
        <v>0</v>
      </c>
      <c r="AU54" s="136">
        <f t="shared" ca="1" si="44"/>
        <v>0</v>
      </c>
      <c r="AV54" s="136">
        <f t="shared" ca="1" si="44"/>
        <v>0</v>
      </c>
      <c r="AW54" s="136">
        <f t="shared" ca="1" si="44"/>
        <v>0</v>
      </c>
      <c r="AX54" s="136">
        <f t="shared" ca="1" si="44"/>
        <v>0</v>
      </c>
      <c r="AY54" s="136">
        <f t="shared" ca="1" si="44"/>
        <v>0</v>
      </c>
      <c r="AZ54" s="136">
        <f t="shared" ca="1" si="44"/>
        <v>0</v>
      </c>
      <c r="BA54" s="136">
        <f t="shared" ca="1" si="44"/>
        <v>0</v>
      </c>
      <c r="BB54" s="136">
        <f t="shared" ca="1" si="44"/>
        <v>0</v>
      </c>
      <c r="BC54" s="136">
        <f t="shared" ca="1" si="44"/>
        <v>0</v>
      </c>
      <c r="BD54" s="136">
        <f t="shared" ca="1" si="44"/>
        <v>0</v>
      </c>
      <c r="BE54" s="136">
        <f t="shared" ca="1" si="44"/>
        <v>0</v>
      </c>
      <c r="BF54" s="136">
        <f t="shared" ca="1" si="44"/>
        <v>0</v>
      </c>
      <c r="BG54" s="136">
        <f t="shared" ca="1" si="44"/>
        <v>0</v>
      </c>
      <c r="BH54" s="136">
        <f t="shared" ca="1" si="44"/>
        <v>0</v>
      </c>
      <c r="BI54" s="136">
        <f t="shared" ca="1" si="44"/>
        <v>0</v>
      </c>
      <c r="BJ54" s="136">
        <f t="shared" ca="1" si="44"/>
        <v>0</v>
      </c>
      <c r="BK54" s="136">
        <f t="shared" ca="1" si="44"/>
        <v>0</v>
      </c>
      <c r="BL54" s="136">
        <f t="shared" ca="1" si="44"/>
        <v>0</v>
      </c>
      <c r="BM54" s="136">
        <f t="shared" ca="1" si="44"/>
        <v>0</v>
      </c>
      <c r="BN54" s="136">
        <f t="shared" ca="1" si="44"/>
        <v>0</v>
      </c>
      <c r="BO54" s="136">
        <f t="shared" ca="1" si="44"/>
        <v>0</v>
      </c>
      <c r="BP54" s="136">
        <f t="shared" ca="1" si="44"/>
        <v>0</v>
      </c>
      <c r="BQ54" s="136">
        <f t="shared" ca="1" si="44"/>
        <v>0</v>
      </c>
      <c r="BR54" s="136">
        <f t="shared" ca="1" si="44"/>
        <v>0</v>
      </c>
      <c r="BS54" s="136">
        <f t="shared" ca="1" si="44"/>
        <v>0</v>
      </c>
      <c r="BT54" s="136">
        <f t="shared" ca="1" si="44"/>
        <v>0</v>
      </c>
      <c r="BU54" s="136">
        <f t="shared" ref="BU54:CO54" ca="1" si="45">BU84</f>
        <v>0</v>
      </c>
      <c r="BV54" s="136">
        <f t="shared" ca="1" si="45"/>
        <v>0</v>
      </c>
      <c r="BW54" s="136">
        <f t="shared" ca="1" si="45"/>
        <v>0</v>
      </c>
      <c r="BX54" s="136">
        <f t="shared" ca="1" si="45"/>
        <v>0</v>
      </c>
      <c r="BY54" s="136">
        <f t="shared" ca="1" si="45"/>
        <v>0</v>
      </c>
      <c r="BZ54" s="136">
        <f t="shared" ca="1" si="45"/>
        <v>0</v>
      </c>
      <c r="CA54" s="136">
        <f t="shared" ca="1" si="45"/>
        <v>0</v>
      </c>
      <c r="CB54" s="136">
        <f t="shared" ca="1" si="45"/>
        <v>0</v>
      </c>
      <c r="CC54" s="136">
        <f t="shared" ca="1" si="45"/>
        <v>0</v>
      </c>
      <c r="CD54" s="136">
        <f t="shared" ca="1" si="45"/>
        <v>0</v>
      </c>
      <c r="CE54" s="136">
        <f t="shared" ca="1" si="45"/>
        <v>0</v>
      </c>
      <c r="CF54" s="136">
        <f t="shared" ca="1" si="45"/>
        <v>0</v>
      </c>
      <c r="CG54" s="136">
        <f t="shared" ca="1" si="45"/>
        <v>0</v>
      </c>
      <c r="CH54" s="136">
        <f t="shared" ca="1" si="45"/>
        <v>0</v>
      </c>
      <c r="CI54" s="136">
        <f t="shared" ca="1" si="45"/>
        <v>0</v>
      </c>
      <c r="CJ54" s="136">
        <f t="shared" ca="1" si="45"/>
        <v>0</v>
      </c>
      <c r="CK54" s="136">
        <f t="shared" ca="1" si="45"/>
        <v>0</v>
      </c>
      <c r="CL54" s="136">
        <f t="shared" ca="1" si="45"/>
        <v>0</v>
      </c>
      <c r="CM54" s="136">
        <f t="shared" ca="1" si="45"/>
        <v>0</v>
      </c>
      <c r="CN54" s="136">
        <f t="shared" ca="1" si="45"/>
        <v>0</v>
      </c>
      <c r="CO54" s="136">
        <f t="shared" ca="1" si="45"/>
        <v>0</v>
      </c>
      <c r="CP54" s="13" t="s">
        <v>15</v>
      </c>
    </row>
    <row r="55" spans="2:94" ht="15" customHeight="1" x14ac:dyDescent="0.2">
      <c r="B55" s="136">
        <f t="shared" ca="1" si="35"/>
        <v>23568475.321811102</v>
      </c>
      <c r="D55" s="259" t="s">
        <v>194</v>
      </c>
      <c r="E55" s="269"/>
      <c r="F55" s="133" t="s">
        <v>211</v>
      </c>
      <c r="I55" s="136">
        <f ca="1">SUM(I38:I54)</f>
        <v>-3678850.7556428574</v>
      </c>
      <c r="J55" s="136">
        <f t="shared" ref="J55:AN55" ca="1" si="46">SUM(J38:J54)</f>
        <v>-140145.64778571425</v>
      </c>
      <c r="K55" s="136">
        <f t="shared" ca="1" si="46"/>
        <v>-140145.64778571425</v>
      </c>
      <c r="L55" s="136">
        <f t="shared" ca="1" si="46"/>
        <v>-173725.96878571477</v>
      </c>
      <c r="M55" s="136">
        <f t="shared" ca="1" si="46"/>
        <v>-317269.7228571428</v>
      </c>
      <c r="N55" s="136">
        <f t="shared" ca="1" si="46"/>
        <v>-268256.14285714284</v>
      </c>
      <c r="O55" s="136">
        <f t="shared" ca="1" si="46"/>
        <v>-455644.58496240602</v>
      </c>
      <c r="P55" s="136">
        <f t="shared" ca="1" si="46"/>
        <v>-697211.51496240601</v>
      </c>
      <c r="Q55" s="136">
        <f t="shared" ca="1" si="46"/>
        <v>-697211.51496240601</v>
      </c>
      <c r="R55" s="136">
        <f t="shared" ca="1" si="46"/>
        <v>-697211.51496240601</v>
      </c>
      <c r="S55" s="136">
        <f t="shared" ca="1" si="46"/>
        <v>-697211.51496240601</v>
      </c>
      <c r="T55" s="136">
        <f t="shared" ca="1" si="46"/>
        <v>-697211.51496240601</v>
      </c>
      <c r="U55" s="136">
        <f t="shared" ca="1" si="46"/>
        <v>-697211.51496240601</v>
      </c>
      <c r="V55" s="136">
        <f t="shared" ca="1" si="46"/>
        <v>-1075316.2749624059</v>
      </c>
      <c r="W55" s="136">
        <f t="shared" ca="1" si="46"/>
        <v>-1192015.2749624061</v>
      </c>
      <c r="X55" s="136">
        <f t="shared" ca="1" si="46"/>
        <v>-520513.88962405868</v>
      </c>
      <c r="Y55" s="136">
        <f t="shared" ca="1" si="46"/>
        <v>0</v>
      </c>
      <c r="Z55" s="136">
        <f t="shared" ca="1" si="46"/>
        <v>0</v>
      </c>
      <c r="AA55" s="136">
        <f t="shared" ca="1" si="46"/>
        <v>0</v>
      </c>
      <c r="AB55" s="136">
        <f t="shared" ca="1" si="46"/>
        <v>0</v>
      </c>
      <c r="AC55" s="136">
        <f t="shared" ca="1" si="46"/>
        <v>0</v>
      </c>
      <c r="AD55" s="136">
        <f t="shared" ca="1" si="46"/>
        <v>0</v>
      </c>
      <c r="AE55" s="136">
        <f t="shared" ca="1" si="46"/>
        <v>0</v>
      </c>
      <c r="AF55" s="136">
        <f t="shared" ca="1" si="46"/>
        <v>0</v>
      </c>
      <c r="AG55" s="136">
        <f t="shared" ca="1" si="46"/>
        <v>0</v>
      </c>
      <c r="AH55" s="136">
        <f t="shared" ca="1" si="46"/>
        <v>0</v>
      </c>
      <c r="AI55" s="136">
        <f t="shared" ca="1" si="46"/>
        <v>0</v>
      </c>
      <c r="AJ55" s="136">
        <f t="shared" ca="1" si="46"/>
        <v>0</v>
      </c>
      <c r="AK55" s="136">
        <f t="shared" ca="1" si="46"/>
        <v>0</v>
      </c>
      <c r="AL55" s="136">
        <f t="shared" ca="1" si="46"/>
        <v>0</v>
      </c>
      <c r="AM55" s="136">
        <f t="shared" ca="1" si="46"/>
        <v>0</v>
      </c>
      <c r="AN55" s="136">
        <f t="shared" ca="1" si="46"/>
        <v>0</v>
      </c>
      <c r="AO55" s="136">
        <f t="shared" ref="AO55:CO55" ca="1" si="47">SUM(AO38:AO54)</f>
        <v>0</v>
      </c>
      <c r="AP55" s="136">
        <f t="shared" ca="1" si="47"/>
        <v>0</v>
      </c>
      <c r="AQ55" s="136">
        <f t="shared" ca="1" si="47"/>
        <v>0</v>
      </c>
      <c r="AR55" s="136">
        <f t="shared" ca="1" si="47"/>
        <v>0</v>
      </c>
      <c r="AS55" s="136">
        <f t="shared" ca="1" si="47"/>
        <v>19327606.700798273</v>
      </c>
      <c r="AT55" s="136">
        <f t="shared" ca="1" si="47"/>
        <v>110073.79706883527</v>
      </c>
      <c r="AU55" s="136">
        <f t="shared" ca="1" si="47"/>
        <v>110073.79706883527</v>
      </c>
      <c r="AV55" s="136">
        <f t="shared" ca="1" si="47"/>
        <v>110073.79706883527</v>
      </c>
      <c r="AW55" s="136">
        <f t="shared" ca="1" si="47"/>
        <v>110073.79706883527</v>
      </c>
      <c r="AX55" s="136">
        <f t="shared" ca="1" si="47"/>
        <v>110073.79706883527</v>
      </c>
      <c r="AY55" s="136">
        <f t="shared" ca="1" si="47"/>
        <v>110073.79706883527</v>
      </c>
      <c r="AZ55" s="136">
        <f t="shared" ca="1" si="47"/>
        <v>110073.79706883527</v>
      </c>
      <c r="BA55" s="136">
        <f t="shared" ca="1" si="47"/>
        <v>110073.79706883527</v>
      </c>
      <c r="BB55" s="136">
        <f t="shared" ca="1" si="47"/>
        <v>110073.79706883527</v>
      </c>
      <c r="BC55" s="136">
        <f t="shared" ca="1" si="47"/>
        <v>110073.79706883527</v>
      </c>
      <c r="BD55" s="136">
        <f t="shared" ca="1" si="47"/>
        <v>110073.79706883527</v>
      </c>
      <c r="BE55" s="136">
        <f t="shared" ca="1" si="47"/>
        <v>110073.79706883527</v>
      </c>
      <c r="BF55" s="136">
        <f t="shared" ca="1" si="47"/>
        <v>92276.448121092428</v>
      </c>
      <c r="BG55" s="136">
        <f t="shared" ca="1" si="47"/>
        <v>92276.448121092428</v>
      </c>
      <c r="BH55" s="136">
        <f t="shared" ca="1" si="47"/>
        <v>92276.448121092428</v>
      </c>
      <c r="BI55" s="136">
        <f t="shared" ca="1" si="47"/>
        <v>92276.448121092428</v>
      </c>
      <c r="BJ55" s="136">
        <f t="shared" ca="1" si="47"/>
        <v>92276.448121092428</v>
      </c>
      <c r="BK55" s="136">
        <f t="shared" ca="1" si="47"/>
        <v>92276.448121092428</v>
      </c>
      <c r="BL55" s="136">
        <f t="shared" ca="1" si="47"/>
        <v>92276.448121092428</v>
      </c>
      <c r="BM55" s="136">
        <f t="shared" ca="1" si="47"/>
        <v>92276.448121092428</v>
      </c>
      <c r="BN55" s="136">
        <f t="shared" ca="1" si="47"/>
        <v>92276.448121092428</v>
      </c>
      <c r="BO55" s="136">
        <f t="shared" ca="1" si="47"/>
        <v>92276.448121092428</v>
      </c>
      <c r="BP55" s="136">
        <f t="shared" ca="1" si="47"/>
        <v>92276.448121092428</v>
      </c>
      <c r="BQ55" s="136">
        <f t="shared" ca="1" si="47"/>
        <v>92276.448121092428</v>
      </c>
      <c r="BR55" s="136">
        <f t="shared" ca="1" si="47"/>
        <v>106921.35986988785</v>
      </c>
      <c r="BS55" s="136">
        <f t="shared" ca="1" si="47"/>
        <v>106921.35986988785</v>
      </c>
      <c r="BT55" s="136">
        <f t="shared" ca="1" si="47"/>
        <v>106921.35986988785</v>
      </c>
      <c r="BU55" s="136">
        <f t="shared" ca="1" si="47"/>
        <v>106921.35986988785</v>
      </c>
      <c r="BV55" s="136">
        <f t="shared" ca="1" si="47"/>
        <v>106921.35986988785</v>
      </c>
      <c r="BW55" s="136">
        <f t="shared" ca="1" si="47"/>
        <v>106921.35986988785</v>
      </c>
      <c r="BX55" s="136">
        <f t="shared" ca="1" si="47"/>
        <v>106921.35986988785</v>
      </c>
      <c r="BY55" s="136">
        <f t="shared" ca="1" si="47"/>
        <v>106921.35986988785</v>
      </c>
      <c r="BZ55" s="136">
        <f t="shared" ca="1" si="47"/>
        <v>106921.35986988785</v>
      </c>
      <c r="CA55" s="136">
        <f t="shared" ca="1" si="47"/>
        <v>106921.35986988785</v>
      </c>
      <c r="CB55" s="136">
        <f t="shared" ca="1" si="47"/>
        <v>106921.35986988785</v>
      </c>
      <c r="CC55" s="136">
        <f ca="1">SUM(CC38:CC54)</f>
        <v>12781683.720164917</v>
      </c>
      <c r="CD55" s="136">
        <f t="shared" ca="1" si="47"/>
        <v>0</v>
      </c>
      <c r="CE55" s="136">
        <f t="shared" ca="1" si="47"/>
        <v>0</v>
      </c>
      <c r="CF55" s="136">
        <f t="shared" ca="1" si="47"/>
        <v>0</v>
      </c>
      <c r="CG55" s="136">
        <f t="shared" ca="1" si="47"/>
        <v>0</v>
      </c>
      <c r="CH55" s="136">
        <f t="shared" ca="1" si="47"/>
        <v>0</v>
      </c>
      <c r="CI55" s="136">
        <f t="shared" ca="1" si="47"/>
        <v>0</v>
      </c>
      <c r="CJ55" s="136">
        <f t="shared" ca="1" si="47"/>
        <v>0</v>
      </c>
      <c r="CK55" s="136">
        <f t="shared" ca="1" si="47"/>
        <v>0</v>
      </c>
      <c r="CL55" s="136">
        <f t="shared" ca="1" si="47"/>
        <v>0</v>
      </c>
      <c r="CM55" s="136">
        <f t="shared" ca="1" si="47"/>
        <v>0</v>
      </c>
      <c r="CN55" s="136">
        <f t="shared" ca="1" si="47"/>
        <v>0</v>
      </c>
      <c r="CO55" s="136">
        <f t="shared" ca="1" si="47"/>
        <v>0</v>
      </c>
      <c r="CP55" s="13" t="s">
        <v>15</v>
      </c>
    </row>
    <row r="56" spans="2:94" ht="15" customHeight="1" x14ac:dyDescent="0.2">
      <c r="C56" s="133" t="s">
        <v>212</v>
      </c>
      <c r="D56" s="259" t="s">
        <v>194</v>
      </c>
      <c r="E56" s="269"/>
      <c r="F56" s="270" t="s">
        <v>247</v>
      </c>
      <c r="G56" s="271"/>
      <c r="H56" s="271"/>
      <c r="I56" s="216">
        <f ca="1">MAX(H56-I55,0)</f>
        <v>3678850.7556428574</v>
      </c>
      <c r="J56" s="216">
        <f ca="1">MAX(I56-J55,0)</f>
        <v>3818996.4034285718</v>
      </c>
      <c r="K56" s="216">
        <f t="shared" ref="K56:BU56" ca="1" si="48">MAX(J56-K55,0)</f>
        <v>3959142.0512142861</v>
      </c>
      <c r="L56" s="216">
        <f t="shared" ca="1" si="48"/>
        <v>4132868.0200000009</v>
      </c>
      <c r="M56" s="216">
        <f t="shared" ca="1" si="48"/>
        <v>4450137.7428571433</v>
      </c>
      <c r="N56" s="216">
        <f t="shared" ca="1" si="48"/>
        <v>4718393.885714286</v>
      </c>
      <c r="O56" s="216">
        <f t="shared" ca="1" si="48"/>
        <v>5174038.4706766922</v>
      </c>
      <c r="P56" s="216">
        <f t="shared" ca="1" si="48"/>
        <v>5871249.9856390981</v>
      </c>
      <c r="Q56" s="216">
        <f t="shared" ca="1" si="48"/>
        <v>6568461.500601504</v>
      </c>
      <c r="R56" s="216">
        <f t="shared" ca="1" si="48"/>
        <v>7265673.0155639099</v>
      </c>
      <c r="S56" s="216">
        <f t="shared" ca="1" si="48"/>
        <v>7962884.5305263158</v>
      </c>
      <c r="T56" s="216">
        <f t="shared" ca="1" si="48"/>
        <v>8660096.0454887226</v>
      </c>
      <c r="U56" s="216">
        <f t="shared" ca="1" si="48"/>
        <v>9357307.5604511295</v>
      </c>
      <c r="V56" s="216">
        <f t="shared" ca="1" si="48"/>
        <v>10432623.835413536</v>
      </c>
      <c r="W56" s="216">
        <f t="shared" ca="1" si="48"/>
        <v>11624639.110375943</v>
      </c>
      <c r="X56" s="216">
        <f t="shared" ca="1" si="48"/>
        <v>12145153.000000002</v>
      </c>
      <c r="Y56" s="216">
        <f t="shared" ca="1" si="48"/>
        <v>12145153.000000002</v>
      </c>
      <c r="Z56" s="216">
        <f t="shared" ca="1" si="48"/>
        <v>12145153.000000002</v>
      </c>
      <c r="AA56" s="216">
        <f t="shared" ca="1" si="48"/>
        <v>12145153.000000002</v>
      </c>
      <c r="AB56" s="216">
        <f t="shared" ca="1" si="48"/>
        <v>12145153.000000002</v>
      </c>
      <c r="AC56" s="216">
        <f t="shared" ca="1" si="48"/>
        <v>12145153.000000002</v>
      </c>
      <c r="AD56" s="216">
        <f t="shared" ca="1" si="48"/>
        <v>12145153.000000002</v>
      </c>
      <c r="AE56" s="216">
        <f t="shared" ca="1" si="48"/>
        <v>12145153.000000002</v>
      </c>
      <c r="AF56" s="216">
        <f t="shared" ca="1" si="48"/>
        <v>12145153.000000002</v>
      </c>
      <c r="AG56" s="216">
        <f t="shared" ca="1" si="48"/>
        <v>12145153.000000002</v>
      </c>
      <c r="AH56" s="216">
        <f t="shared" ca="1" si="48"/>
        <v>12145153.000000002</v>
      </c>
      <c r="AI56" s="216">
        <f t="shared" ca="1" si="48"/>
        <v>12145153.000000002</v>
      </c>
      <c r="AJ56" s="216">
        <f t="shared" ca="1" si="48"/>
        <v>12145153.000000002</v>
      </c>
      <c r="AK56" s="216">
        <f t="shared" ca="1" si="48"/>
        <v>12145153.000000002</v>
      </c>
      <c r="AL56" s="216">
        <f t="shared" ca="1" si="48"/>
        <v>12145153.000000002</v>
      </c>
      <c r="AM56" s="216">
        <f t="shared" ca="1" si="48"/>
        <v>12145153.000000002</v>
      </c>
      <c r="AN56" s="216">
        <f t="shared" ca="1" si="48"/>
        <v>12145153.000000002</v>
      </c>
      <c r="AO56" s="216">
        <f t="shared" ca="1" si="48"/>
        <v>12145153.000000002</v>
      </c>
      <c r="AP56" s="216">
        <f t="shared" ca="1" si="48"/>
        <v>12145153.000000002</v>
      </c>
      <c r="AQ56" s="216">
        <f t="shared" ca="1" si="48"/>
        <v>12145153.000000002</v>
      </c>
      <c r="AR56" s="216">
        <f t="shared" ca="1" si="48"/>
        <v>12145153.000000002</v>
      </c>
      <c r="AS56" s="216">
        <f t="shared" ca="1" si="48"/>
        <v>0</v>
      </c>
      <c r="AT56" s="216">
        <f t="shared" ca="1" si="48"/>
        <v>0</v>
      </c>
      <c r="AU56" s="216">
        <f t="shared" ca="1" si="48"/>
        <v>0</v>
      </c>
      <c r="AV56" s="216">
        <f t="shared" ca="1" si="48"/>
        <v>0</v>
      </c>
      <c r="AW56" s="216">
        <f t="shared" ca="1" si="48"/>
        <v>0</v>
      </c>
      <c r="AX56" s="216">
        <f t="shared" ca="1" si="48"/>
        <v>0</v>
      </c>
      <c r="AY56" s="216">
        <f t="shared" ca="1" si="48"/>
        <v>0</v>
      </c>
      <c r="AZ56" s="216">
        <f t="shared" ca="1" si="48"/>
        <v>0</v>
      </c>
      <c r="BA56" s="216">
        <f t="shared" ca="1" si="48"/>
        <v>0</v>
      </c>
      <c r="BB56" s="216">
        <f t="shared" ca="1" si="48"/>
        <v>0</v>
      </c>
      <c r="BC56" s="216">
        <f t="shared" ca="1" si="48"/>
        <v>0</v>
      </c>
      <c r="BD56" s="216">
        <f t="shared" ca="1" si="48"/>
        <v>0</v>
      </c>
      <c r="BE56" s="216">
        <f t="shared" ca="1" si="48"/>
        <v>0</v>
      </c>
      <c r="BF56" s="216">
        <f t="shared" ca="1" si="48"/>
        <v>0</v>
      </c>
      <c r="BG56" s="216">
        <f t="shared" ca="1" si="48"/>
        <v>0</v>
      </c>
      <c r="BH56" s="216">
        <f t="shared" ca="1" si="48"/>
        <v>0</v>
      </c>
      <c r="BI56" s="216">
        <f t="shared" ca="1" si="48"/>
        <v>0</v>
      </c>
      <c r="BJ56" s="216">
        <f t="shared" ca="1" si="48"/>
        <v>0</v>
      </c>
      <c r="BK56" s="216">
        <f t="shared" ca="1" si="48"/>
        <v>0</v>
      </c>
      <c r="BL56" s="216">
        <f t="shared" ca="1" si="48"/>
        <v>0</v>
      </c>
      <c r="BM56" s="216">
        <f t="shared" ca="1" si="48"/>
        <v>0</v>
      </c>
      <c r="BN56" s="216">
        <f t="shared" ca="1" si="48"/>
        <v>0</v>
      </c>
      <c r="BO56" s="216">
        <f t="shared" ca="1" si="48"/>
        <v>0</v>
      </c>
      <c r="BP56" s="216">
        <f t="shared" ca="1" si="48"/>
        <v>0</v>
      </c>
      <c r="BQ56" s="216">
        <f t="shared" ca="1" si="48"/>
        <v>0</v>
      </c>
      <c r="BR56" s="216">
        <f t="shared" ca="1" si="48"/>
        <v>0</v>
      </c>
      <c r="BS56" s="216">
        <f t="shared" ca="1" si="48"/>
        <v>0</v>
      </c>
      <c r="BT56" s="216">
        <f t="shared" ca="1" si="48"/>
        <v>0</v>
      </c>
      <c r="BU56" s="216">
        <f t="shared" ca="1" si="48"/>
        <v>0</v>
      </c>
      <c r="BV56" s="216">
        <f t="shared" ref="BV56:CO56" ca="1" si="49">MAX(BU56-BV55,0)</f>
        <v>0</v>
      </c>
      <c r="BW56" s="216">
        <f t="shared" ca="1" si="49"/>
        <v>0</v>
      </c>
      <c r="BX56" s="216">
        <f t="shared" ca="1" si="49"/>
        <v>0</v>
      </c>
      <c r="BY56" s="216">
        <f t="shared" ca="1" si="49"/>
        <v>0</v>
      </c>
      <c r="BZ56" s="216">
        <f t="shared" ca="1" si="49"/>
        <v>0</v>
      </c>
      <c r="CA56" s="216">
        <f t="shared" ca="1" si="49"/>
        <v>0</v>
      </c>
      <c r="CB56" s="216">
        <f t="shared" ca="1" si="49"/>
        <v>0</v>
      </c>
      <c r="CC56" s="216">
        <f t="shared" ca="1" si="49"/>
        <v>0</v>
      </c>
      <c r="CD56" s="216">
        <f t="shared" ca="1" si="49"/>
        <v>0</v>
      </c>
      <c r="CE56" s="216">
        <f t="shared" ca="1" si="49"/>
        <v>0</v>
      </c>
      <c r="CF56" s="216">
        <f t="shared" ca="1" si="49"/>
        <v>0</v>
      </c>
      <c r="CG56" s="216">
        <f t="shared" ca="1" si="49"/>
        <v>0</v>
      </c>
      <c r="CH56" s="216">
        <f t="shared" ca="1" si="49"/>
        <v>0</v>
      </c>
      <c r="CI56" s="216">
        <f t="shared" ca="1" si="49"/>
        <v>0</v>
      </c>
      <c r="CJ56" s="216">
        <f t="shared" ca="1" si="49"/>
        <v>0</v>
      </c>
      <c r="CK56" s="216">
        <f t="shared" ca="1" si="49"/>
        <v>0</v>
      </c>
      <c r="CL56" s="216">
        <f t="shared" ca="1" si="49"/>
        <v>0</v>
      </c>
      <c r="CM56" s="216">
        <f t="shared" ca="1" si="49"/>
        <v>0</v>
      </c>
      <c r="CN56" s="216">
        <f t="shared" ca="1" si="49"/>
        <v>0</v>
      </c>
      <c r="CO56" s="216">
        <f t="shared" ca="1" si="49"/>
        <v>0</v>
      </c>
      <c r="CP56" s="13" t="s">
        <v>15</v>
      </c>
    </row>
    <row r="57" spans="2:94" ht="15" customHeight="1" x14ac:dyDescent="0.2">
      <c r="D57" s="259"/>
      <c r="E57" s="269"/>
      <c r="F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row>
    <row r="58" spans="2:94" ht="15" customHeight="1" x14ac:dyDescent="0.25">
      <c r="D58" s="259"/>
      <c r="E58" s="269"/>
      <c r="F58" s="146" t="s">
        <v>213</v>
      </c>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row>
    <row r="59" spans="2:94" ht="15" customHeight="1" x14ac:dyDescent="0.2">
      <c r="B59" s="136">
        <f t="shared" ref="B59:B64" si="50">SUM(I59:CO59)</f>
        <v>-28520153.000000004</v>
      </c>
      <c r="D59" s="259" t="s">
        <v>199</v>
      </c>
      <c r="E59" s="269"/>
      <c r="F59" s="133" t="s">
        <v>200</v>
      </c>
      <c r="I59" s="136">
        <f>I39</f>
        <v>-8050223.9014285719</v>
      </c>
      <c r="J59" s="136">
        <f t="shared" ref="J59:BU61" si="51">J39</f>
        <v>-311434.77285714279</v>
      </c>
      <c r="K59" s="136">
        <f t="shared" si="51"/>
        <v>-311434.77285714279</v>
      </c>
      <c r="L59" s="136">
        <f t="shared" si="51"/>
        <v>-334774.57285714283</v>
      </c>
      <c r="M59" s="136">
        <f t="shared" si="51"/>
        <v>-317269.7228571428</v>
      </c>
      <c r="N59" s="136">
        <f t="shared" si="51"/>
        <v>-268256.14285714284</v>
      </c>
      <c r="O59" s="136">
        <f t="shared" si="51"/>
        <v>-455644.58496240602</v>
      </c>
      <c r="P59" s="136">
        <f t="shared" si="51"/>
        <v>-697211.51496240601</v>
      </c>
      <c r="Q59" s="136">
        <f t="shared" si="51"/>
        <v>-697211.51496240601</v>
      </c>
      <c r="R59" s="136">
        <f t="shared" si="51"/>
        <v>-697211.51496240601</v>
      </c>
      <c r="S59" s="136">
        <f t="shared" si="51"/>
        <v>-697211.51496240601</v>
      </c>
      <c r="T59" s="136">
        <f t="shared" si="51"/>
        <v>-697211.51496240601</v>
      </c>
      <c r="U59" s="136">
        <f t="shared" si="51"/>
        <v>-697211.51496240601</v>
      </c>
      <c r="V59" s="136">
        <f t="shared" si="51"/>
        <v>-1075316.2749624059</v>
      </c>
      <c r="W59" s="136">
        <f t="shared" si="51"/>
        <v>-1192015.2749624061</v>
      </c>
      <c r="X59" s="136">
        <f t="shared" si="51"/>
        <v>-970287.17496240605</v>
      </c>
      <c r="Y59" s="136">
        <f t="shared" si="51"/>
        <v>-1238694.874962406</v>
      </c>
      <c r="Z59" s="136">
        <f t="shared" si="51"/>
        <v>-1259170.2449624061</v>
      </c>
      <c r="AA59" s="136">
        <f t="shared" si="51"/>
        <v>-1259170.2449624061</v>
      </c>
      <c r="AB59" s="136">
        <f t="shared" si="51"/>
        <v>-1259170.2449624061</v>
      </c>
      <c r="AC59" s="136">
        <f t="shared" si="51"/>
        <v>-1291845.9649624061</v>
      </c>
      <c r="AD59" s="136">
        <f t="shared" si="51"/>
        <v>-1492356.0649624062</v>
      </c>
      <c r="AE59" s="136">
        <f t="shared" si="51"/>
        <v>-1382022.4649624061</v>
      </c>
      <c r="AF59" s="136">
        <f t="shared" si="51"/>
        <v>-583801.30496240593</v>
      </c>
      <c r="AG59" s="136">
        <f t="shared" si="51"/>
        <v>-1283995.3049624062</v>
      </c>
      <c r="AH59" s="136">
        <f t="shared" si="51"/>
        <v>0</v>
      </c>
      <c r="AI59" s="136">
        <f t="shared" si="51"/>
        <v>0</v>
      </c>
      <c r="AJ59" s="136">
        <f t="shared" si="51"/>
        <v>0</v>
      </c>
      <c r="AK59" s="136">
        <f t="shared" si="51"/>
        <v>0</v>
      </c>
      <c r="AL59" s="136">
        <f t="shared" si="51"/>
        <v>0</v>
      </c>
      <c r="AM59" s="136">
        <f t="shared" si="51"/>
        <v>0</v>
      </c>
      <c r="AN59" s="136">
        <f t="shared" si="51"/>
        <v>0</v>
      </c>
      <c r="AO59" s="136">
        <f t="shared" si="51"/>
        <v>0</v>
      </c>
      <c r="AP59" s="136">
        <f t="shared" si="51"/>
        <v>0</v>
      </c>
      <c r="AQ59" s="136">
        <f t="shared" si="51"/>
        <v>0</v>
      </c>
      <c r="AR59" s="136">
        <f t="shared" si="51"/>
        <v>0</v>
      </c>
      <c r="AS59" s="136">
        <f t="shared" si="51"/>
        <v>0</v>
      </c>
      <c r="AT59" s="136">
        <f t="shared" si="51"/>
        <v>0</v>
      </c>
      <c r="AU59" s="136">
        <f t="shared" si="51"/>
        <v>0</v>
      </c>
      <c r="AV59" s="136">
        <f t="shared" si="51"/>
        <v>0</v>
      </c>
      <c r="AW59" s="136">
        <f t="shared" si="51"/>
        <v>0</v>
      </c>
      <c r="AX59" s="136">
        <f t="shared" si="51"/>
        <v>0</v>
      </c>
      <c r="AY59" s="136">
        <f t="shared" si="51"/>
        <v>0</v>
      </c>
      <c r="AZ59" s="136">
        <f t="shared" si="51"/>
        <v>0</v>
      </c>
      <c r="BA59" s="136">
        <f t="shared" si="51"/>
        <v>0</v>
      </c>
      <c r="BB59" s="136">
        <f t="shared" si="51"/>
        <v>0</v>
      </c>
      <c r="BC59" s="136">
        <f t="shared" si="51"/>
        <v>0</v>
      </c>
      <c r="BD59" s="136">
        <f t="shared" si="51"/>
        <v>0</v>
      </c>
      <c r="BE59" s="136">
        <f t="shared" si="51"/>
        <v>0</v>
      </c>
      <c r="BF59" s="136">
        <f t="shared" si="51"/>
        <v>0</v>
      </c>
      <c r="BG59" s="136">
        <f t="shared" si="51"/>
        <v>0</v>
      </c>
      <c r="BH59" s="136">
        <f t="shared" si="51"/>
        <v>0</v>
      </c>
      <c r="BI59" s="136">
        <f t="shared" si="51"/>
        <v>0</v>
      </c>
      <c r="BJ59" s="136">
        <f t="shared" si="51"/>
        <v>0</v>
      </c>
      <c r="BK59" s="136">
        <f t="shared" si="51"/>
        <v>0</v>
      </c>
      <c r="BL59" s="136">
        <f t="shared" si="51"/>
        <v>0</v>
      </c>
      <c r="BM59" s="136">
        <f t="shared" si="51"/>
        <v>0</v>
      </c>
      <c r="BN59" s="136">
        <f t="shared" si="51"/>
        <v>0</v>
      </c>
      <c r="BO59" s="136">
        <f t="shared" si="51"/>
        <v>0</v>
      </c>
      <c r="BP59" s="136">
        <f t="shared" si="51"/>
        <v>0</v>
      </c>
      <c r="BQ59" s="136">
        <f t="shared" si="51"/>
        <v>0</v>
      </c>
      <c r="BR59" s="136">
        <f t="shared" si="51"/>
        <v>0</v>
      </c>
      <c r="BS59" s="136">
        <f t="shared" si="51"/>
        <v>0</v>
      </c>
      <c r="BT59" s="136">
        <f t="shared" si="51"/>
        <v>0</v>
      </c>
      <c r="BU59" s="136">
        <f t="shared" si="51"/>
        <v>0</v>
      </c>
      <c r="BV59" s="136">
        <f t="shared" ref="BV59:CO61" si="52">BV39</f>
        <v>0</v>
      </c>
      <c r="BW59" s="136">
        <f t="shared" si="52"/>
        <v>0</v>
      </c>
      <c r="BX59" s="136">
        <f t="shared" si="52"/>
        <v>0</v>
      </c>
      <c r="BY59" s="136">
        <f t="shared" si="52"/>
        <v>0</v>
      </c>
      <c r="BZ59" s="136">
        <f t="shared" si="52"/>
        <v>0</v>
      </c>
      <c r="CA59" s="136">
        <f t="shared" si="52"/>
        <v>0</v>
      </c>
      <c r="CB59" s="136">
        <f t="shared" si="52"/>
        <v>0</v>
      </c>
      <c r="CC59" s="136">
        <f t="shared" si="52"/>
        <v>0</v>
      </c>
      <c r="CD59" s="136">
        <f t="shared" si="52"/>
        <v>0</v>
      </c>
      <c r="CE59" s="136">
        <f t="shared" si="52"/>
        <v>0</v>
      </c>
      <c r="CF59" s="136">
        <f t="shared" si="52"/>
        <v>0</v>
      </c>
      <c r="CG59" s="136">
        <f t="shared" si="52"/>
        <v>0</v>
      </c>
      <c r="CH59" s="136">
        <f t="shared" si="52"/>
        <v>0</v>
      </c>
      <c r="CI59" s="136">
        <f t="shared" si="52"/>
        <v>0</v>
      </c>
      <c r="CJ59" s="136">
        <f t="shared" si="52"/>
        <v>0</v>
      </c>
      <c r="CK59" s="136">
        <f t="shared" si="52"/>
        <v>0</v>
      </c>
      <c r="CL59" s="136">
        <f t="shared" si="52"/>
        <v>0</v>
      </c>
      <c r="CM59" s="136">
        <f t="shared" si="52"/>
        <v>0</v>
      </c>
      <c r="CN59" s="136">
        <f t="shared" si="52"/>
        <v>0</v>
      </c>
      <c r="CO59" s="136">
        <f t="shared" si="52"/>
        <v>0</v>
      </c>
      <c r="CP59" s="133" t="s">
        <v>15</v>
      </c>
    </row>
    <row r="60" spans="2:94" ht="15" customHeight="1" x14ac:dyDescent="0.2">
      <c r="B60" s="136">
        <f t="shared" si="50"/>
        <v>-125000</v>
      </c>
      <c r="D60" s="259" t="s">
        <v>199</v>
      </c>
      <c r="E60" s="269"/>
      <c r="F60" s="133" t="s">
        <v>155</v>
      </c>
      <c r="I60" s="136">
        <f>I40</f>
        <v>-125000</v>
      </c>
      <c r="J60" s="136">
        <f t="shared" si="51"/>
        <v>0</v>
      </c>
      <c r="K60" s="136">
        <f t="shared" si="51"/>
        <v>0</v>
      </c>
      <c r="L60" s="136">
        <f t="shared" si="51"/>
        <v>0</v>
      </c>
      <c r="M60" s="136">
        <f t="shared" si="51"/>
        <v>0</v>
      </c>
      <c r="N60" s="136">
        <f t="shared" si="51"/>
        <v>0</v>
      </c>
      <c r="O60" s="136">
        <f t="shared" si="51"/>
        <v>0</v>
      </c>
      <c r="P60" s="136">
        <f t="shared" si="51"/>
        <v>0</v>
      </c>
      <c r="Q60" s="136">
        <f t="shared" si="51"/>
        <v>0</v>
      </c>
      <c r="R60" s="136">
        <f t="shared" si="51"/>
        <v>0</v>
      </c>
      <c r="S60" s="136">
        <f t="shared" si="51"/>
        <v>0</v>
      </c>
      <c r="T60" s="136">
        <f t="shared" si="51"/>
        <v>0</v>
      </c>
      <c r="U60" s="136">
        <f t="shared" si="51"/>
        <v>0</v>
      </c>
      <c r="V60" s="136">
        <f t="shared" si="51"/>
        <v>0</v>
      </c>
      <c r="W60" s="136">
        <f t="shared" si="51"/>
        <v>0</v>
      </c>
      <c r="X60" s="136">
        <f t="shared" si="51"/>
        <v>0</v>
      </c>
      <c r="Y60" s="136">
        <f t="shared" si="51"/>
        <v>0</v>
      </c>
      <c r="Z60" s="136">
        <f t="shared" si="51"/>
        <v>0</v>
      </c>
      <c r="AA60" s="136">
        <f t="shared" si="51"/>
        <v>0</v>
      </c>
      <c r="AB60" s="136">
        <f t="shared" si="51"/>
        <v>0</v>
      </c>
      <c r="AC60" s="136">
        <f t="shared" si="51"/>
        <v>0</v>
      </c>
      <c r="AD60" s="136">
        <f t="shared" si="51"/>
        <v>0</v>
      </c>
      <c r="AE60" s="136">
        <f t="shared" si="51"/>
        <v>0</v>
      </c>
      <c r="AF60" s="136">
        <f t="shared" si="51"/>
        <v>0</v>
      </c>
      <c r="AG60" s="136">
        <f t="shared" si="51"/>
        <v>0</v>
      </c>
      <c r="AH60" s="136">
        <f t="shared" si="51"/>
        <v>0</v>
      </c>
      <c r="AI60" s="136">
        <f t="shared" si="51"/>
        <v>0</v>
      </c>
      <c r="AJ60" s="136">
        <f t="shared" si="51"/>
        <v>0</v>
      </c>
      <c r="AK60" s="136">
        <f t="shared" si="51"/>
        <v>0</v>
      </c>
      <c r="AL60" s="136">
        <f t="shared" si="51"/>
        <v>0</v>
      </c>
      <c r="AM60" s="136">
        <f t="shared" si="51"/>
        <v>0</v>
      </c>
      <c r="AN60" s="136">
        <f t="shared" si="51"/>
        <v>0</v>
      </c>
      <c r="AO60" s="136">
        <f t="shared" si="51"/>
        <v>0</v>
      </c>
      <c r="AP60" s="136">
        <f t="shared" si="51"/>
        <v>0</v>
      </c>
      <c r="AQ60" s="136">
        <f t="shared" si="51"/>
        <v>0</v>
      </c>
      <c r="AR60" s="136">
        <f t="shared" si="51"/>
        <v>0</v>
      </c>
      <c r="AS60" s="136">
        <f t="shared" si="51"/>
        <v>0</v>
      </c>
      <c r="AT60" s="136">
        <f t="shared" si="51"/>
        <v>0</v>
      </c>
      <c r="AU60" s="136">
        <f t="shared" si="51"/>
        <v>0</v>
      </c>
      <c r="AV60" s="136">
        <f t="shared" si="51"/>
        <v>0</v>
      </c>
      <c r="AW60" s="136">
        <f t="shared" si="51"/>
        <v>0</v>
      </c>
      <c r="AX60" s="136">
        <f t="shared" si="51"/>
        <v>0</v>
      </c>
      <c r="AY60" s="136">
        <f t="shared" si="51"/>
        <v>0</v>
      </c>
      <c r="AZ60" s="136">
        <f t="shared" si="51"/>
        <v>0</v>
      </c>
      <c r="BA60" s="136">
        <f t="shared" si="51"/>
        <v>0</v>
      </c>
      <c r="BB60" s="136">
        <f t="shared" si="51"/>
        <v>0</v>
      </c>
      <c r="BC60" s="136">
        <f t="shared" si="51"/>
        <v>0</v>
      </c>
      <c r="BD60" s="136">
        <f t="shared" si="51"/>
        <v>0</v>
      </c>
      <c r="BE60" s="136">
        <f t="shared" si="51"/>
        <v>0</v>
      </c>
      <c r="BF60" s="136">
        <f t="shared" si="51"/>
        <v>0</v>
      </c>
      <c r="BG60" s="136">
        <f t="shared" si="51"/>
        <v>0</v>
      </c>
      <c r="BH60" s="136">
        <f t="shared" si="51"/>
        <v>0</v>
      </c>
      <c r="BI60" s="136">
        <f t="shared" si="51"/>
        <v>0</v>
      </c>
      <c r="BJ60" s="136">
        <f t="shared" si="51"/>
        <v>0</v>
      </c>
      <c r="BK60" s="136">
        <f t="shared" si="51"/>
        <v>0</v>
      </c>
      <c r="BL60" s="136">
        <f t="shared" si="51"/>
        <v>0</v>
      </c>
      <c r="BM60" s="136">
        <f t="shared" si="51"/>
        <v>0</v>
      </c>
      <c r="BN60" s="136">
        <f t="shared" si="51"/>
        <v>0</v>
      </c>
      <c r="BO60" s="136">
        <f t="shared" si="51"/>
        <v>0</v>
      </c>
      <c r="BP60" s="136">
        <f t="shared" si="51"/>
        <v>0</v>
      </c>
      <c r="BQ60" s="136">
        <f t="shared" si="51"/>
        <v>0</v>
      </c>
      <c r="BR60" s="136">
        <f t="shared" si="51"/>
        <v>0</v>
      </c>
      <c r="BS60" s="136">
        <f t="shared" si="51"/>
        <v>0</v>
      </c>
      <c r="BT60" s="136">
        <f t="shared" si="51"/>
        <v>0</v>
      </c>
      <c r="BU60" s="136">
        <f t="shared" si="51"/>
        <v>0</v>
      </c>
      <c r="BV60" s="136">
        <f t="shared" si="52"/>
        <v>0</v>
      </c>
      <c r="BW60" s="136">
        <f t="shared" si="52"/>
        <v>0</v>
      </c>
      <c r="BX60" s="136">
        <f t="shared" si="52"/>
        <v>0</v>
      </c>
      <c r="BY60" s="136">
        <f t="shared" si="52"/>
        <v>0</v>
      </c>
      <c r="BZ60" s="136">
        <f t="shared" si="52"/>
        <v>0</v>
      </c>
      <c r="CA60" s="136">
        <f t="shared" si="52"/>
        <v>0</v>
      </c>
      <c r="CB60" s="136">
        <f t="shared" si="52"/>
        <v>0</v>
      </c>
      <c r="CC60" s="136">
        <f t="shared" si="52"/>
        <v>0</v>
      </c>
      <c r="CD60" s="136">
        <f t="shared" si="52"/>
        <v>0</v>
      </c>
      <c r="CE60" s="136">
        <f t="shared" si="52"/>
        <v>0</v>
      </c>
      <c r="CF60" s="136">
        <f t="shared" si="52"/>
        <v>0</v>
      </c>
      <c r="CG60" s="136">
        <f t="shared" si="52"/>
        <v>0</v>
      </c>
      <c r="CH60" s="136">
        <f t="shared" si="52"/>
        <v>0</v>
      </c>
      <c r="CI60" s="136">
        <f t="shared" si="52"/>
        <v>0</v>
      </c>
      <c r="CJ60" s="136">
        <f t="shared" si="52"/>
        <v>0</v>
      </c>
      <c r="CK60" s="136">
        <f t="shared" si="52"/>
        <v>0</v>
      </c>
      <c r="CL60" s="136">
        <f t="shared" si="52"/>
        <v>0</v>
      </c>
      <c r="CM60" s="136">
        <f t="shared" si="52"/>
        <v>0</v>
      </c>
      <c r="CN60" s="136">
        <f t="shared" si="52"/>
        <v>0</v>
      </c>
      <c r="CO60" s="136">
        <f t="shared" si="52"/>
        <v>0</v>
      </c>
      <c r="CP60" s="133" t="s">
        <v>15</v>
      </c>
    </row>
    <row r="61" spans="2:94" ht="15" customHeight="1" x14ac:dyDescent="0.2">
      <c r="B61" s="136">
        <f t="shared" ca="1" si="50"/>
        <v>-197955.79441323056</v>
      </c>
      <c r="D61" s="259" t="s">
        <v>199</v>
      </c>
      <c r="E61" s="269"/>
      <c r="F61" s="133" t="s">
        <v>201</v>
      </c>
      <c r="I61" s="136">
        <f>I41</f>
        <v>0</v>
      </c>
      <c r="J61" s="136">
        <f t="shared" ca="1" si="51"/>
        <v>0</v>
      </c>
      <c r="K61" s="136">
        <f t="shared" ca="1" si="51"/>
        <v>0</v>
      </c>
      <c r="L61" s="136">
        <f t="shared" ca="1" si="51"/>
        <v>0</v>
      </c>
      <c r="M61" s="136">
        <f t="shared" ca="1" si="51"/>
        <v>0</v>
      </c>
      <c r="N61" s="136">
        <f t="shared" ca="1" si="51"/>
        <v>0</v>
      </c>
      <c r="O61" s="136">
        <f t="shared" ca="1" si="51"/>
        <v>0</v>
      </c>
      <c r="P61" s="136">
        <f t="shared" ca="1" si="51"/>
        <v>0</v>
      </c>
      <c r="Q61" s="136">
        <f t="shared" ca="1" si="51"/>
        <v>0</v>
      </c>
      <c r="R61" s="136">
        <f t="shared" ca="1" si="51"/>
        <v>0</v>
      </c>
      <c r="S61" s="136">
        <f t="shared" ca="1" si="51"/>
        <v>0</v>
      </c>
      <c r="T61" s="136">
        <f t="shared" ca="1" si="51"/>
        <v>0</v>
      </c>
      <c r="U61" s="136">
        <f t="shared" ca="1" si="51"/>
        <v>0</v>
      </c>
      <c r="V61" s="136">
        <f t="shared" ca="1" si="51"/>
        <v>0</v>
      </c>
      <c r="W61" s="136">
        <f t="shared" ca="1" si="51"/>
        <v>0</v>
      </c>
      <c r="X61" s="136">
        <f t="shared" ca="1" si="51"/>
        <v>0</v>
      </c>
      <c r="Y61" s="136">
        <f t="shared" ca="1" si="51"/>
        <v>-1748.512387306381</v>
      </c>
      <c r="Z61" s="136">
        <f t="shared" ca="1" si="51"/>
        <v>-6778.3886035924388</v>
      </c>
      <c r="AA61" s="136">
        <f t="shared" ca="1" si="51"/>
        <v>-11451.001930305718</v>
      </c>
      <c r="AB61" s="136">
        <f t="shared" ca="1" si="51"/>
        <v>-16895.021205716428</v>
      </c>
      <c r="AC61" s="136">
        <f t="shared" ca="1" si="51"/>
        <v>-21969.701774748966</v>
      </c>
      <c r="AD61" s="136">
        <f t="shared" ca="1" si="51"/>
        <v>-26339.262332730814</v>
      </c>
      <c r="AE61" s="136">
        <f t="shared" ca="1" si="51"/>
        <v>-33327.373751748419</v>
      </c>
      <c r="AF61" s="136">
        <f t="shared" ca="1" si="51"/>
        <v>-37792.705912185775</v>
      </c>
      <c r="AG61" s="136">
        <f t="shared" ca="1" si="51"/>
        <v>-41653.826514895634</v>
      </c>
      <c r="AH61" s="136">
        <f t="shared" ca="1" si="51"/>
        <v>0</v>
      </c>
      <c r="AI61" s="136">
        <f ca="1">AI41</f>
        <v>0</v>
      </c>
      <c r="AJ61" s="136">
        <f t="shared" ca="1" si="51"/>
        <v>0</v>
      </c>
      <c r="AK61" s="136">
        <f t="shared" ca="1" si="51"/>
        <v>0</v>
      </c>
      <c r="AL61" s="136">
        <f t="shared" ca="1" si="51"/>
        <v>0</v>
      </c>
      <c r="AM61" s="136">
        <f t="shared" ca="1" si="51"/>
        <v>0</v>
      </c>
      <c r="AN61" s="136">
        <f t="shared" ca="1" si="51"/>
        <v>0</v>
      </c>
      <c r="AO61" s="136">
        <f t="shared" ca="1" si="51"/>
        <v>0</v>
      </c>
      <c r="AP61" s="136">
        <f t="shared" ca="1" si="51"/>
        <v>0</v>
      </c>
      <c r="AQ61" s="136">
        <f t="shared" ca="1" si="51"/>
        <v>0</v>
      </c>
      <c r="AR61" s="136">
        <f t="shared" ca="1" si="51"/>
        <v>0</v>
      </c>
      <c r="AS61" s="136">
        <f t="shared" ca="1" si="51"/>
        <v>0</v>
      </c>
      <c r="AT61" s="136">
        <f t="shared" ca="1" si="51"/>
        <v>0</v>
      </c>
      <c r="AU61" s="136">
        <f t="shared" ca="1" si="51"/>
        <v>0</v>
      </c>
      <c r="AV61" s="136">
        <f t="shared" ca="1" si="51"/>
        <v>0</v>
      </c>
      <c r="AW61" s="136">
        <f t="shared" ca="1" si="51"/>
        <v>0</v>
      </c>
      <c r="AX61" s="136">
        <f t="shared" ca="1" si="51"/>
        <v>0</v>
      </c>
      <c r="AY61" s="136">
        <f t="shared" ca="1" si="51"/>
        <v>0</v>
      </c>
      <c r="AZ61" s="136">
        <f t="shared" ca="1" si="51"/>
        <v>0</v>
      </c>
      <c r="BA61" s="136">
        <f t="shared" ca="1" si="51"/>
        <v>0</v>
      </c>
      <c r="BB61" s="136">
        <f t="shared" ca="1" si="51"/>
        <v>0</v>
      </c>
      <c r="BC61" s="136">
        <f t="shared" ca="1" si="51"/>
        <v>0</v>
      </c>
      <c r="BD61" s="136">
        <f t="shared" ca="1" si="51"/>
        <v>0</v>
      </c>
      <c r="BE61" s="136">
        <f t="shared" ca="1" si="51"/>
        <v>0</v>
      </c>
      <c r="BF61" s="136">
        <f t="shared" ca="1" si="51"/>
        <v>0</v>
      </c>
      <c r="BG61" s="136">
        <f t="shared" ca="1" si="51"/>
        <v>0</v>
      </c>
      <c r="BH61" s="136">
        <f t="shared" ca="1" si="51"/>
        <v>0</v>
      </c>
      <c r="BI61" s="136">
        <f t="shared" ca="1" si="51"/>
        <v>0</v>
      </c>
      <c r="BJ61" s="136">
        <f t="shared" ca="1" si="51"/>
        <v>0</v>
      </c>
      <c r="BK61" s="136">
        <f t="shared" ca="1" si="51"/>
        <v>0</v>
      </c>
      <c r="BL61" s="136">
        <f t="shared" ca="1" si="51"/>
        <v>0</v>
      </c>
      <c r="BM61" s="136">
        <f t="shared" ca="1" si="51"/>
        <v>0</v>
      </c>
      <c r="BN61" s="136">
        <f t="shared" ca="1" si="51"/>
        <v>0</v>
      </c>
      <c r="BO61" s="136">
        <f t="shared" ca="1" si="51"/>
        <v>0</v>
      </c>
      <c r="BP61" s="136">
        <f t="shared" ca="1" si="51"/>
        <v>0</v>
      </c>
      <c r="BQ61" s="136">
        <f t="shared" ca="1" si="51"/>
        <v>0</v>
      </c>
      <c r="BR61" s="136">
        <f t="shared" ca="1" si="51"/>
        <v>0</v>
      </c>
      <c r="BS61" s="136">
        <f t="shared" ca="1" si="51"/>
        <v>0</v>
      </c>
      <c r="BT61" s="136">
        <f t="shared" ca="1" si="51"/>
        <v>0</v>
      </c>
      <c r="BU61" s="136">
        <f t="shared" ca="1" si="51"/>
        <v>0</v>
      </c>
      <c r="BV61" s="136">
        <f t="shared" ca="1" si="52"/>
        <v>0</v>
      </c>
      <c r="BW61" s="136">
        <f t="shared" ca="1" si="52"/>
        <v>0</v>
      </c>
      <c r="BX61" s="136">
        <f t="shared" ca="1" si="52"/>
        <v>0</v>
      </c>
      <c r="BY61" s="136">
        <f t="shared" ca="1" si="52"/>
        <v>0</v>
      </c>
      <c r="BZ61" s="136">
        <f t="shared" ca="1" si="52"/>
        <v>0</v>
      </c>
      <c r="CA61" s="136">
        <f t="shared" ca="1" si="52"/>
        <v>0</v>
      </c>
      <c r="CB61" s="136">
        <f t="shared" ca="1" si="52"/>
        <v>0</v>
      </c>
      <c r="CC61" s="136">
        <f t="shared" ca="1" si="52"/>
        <v>0</v>
      </c>
      <c r="CD61" s="136">
        <f t="shared" ca="1" si="52"/>
        <v>0</v>
      </c>
      <c r="CE61" s="136">
        <f t="shared" ca="1" si="52"/>
        <v>0</v>
      </c>
      <c r="CF61" s="136">
        <f t="shared" ca="1" si="52"/>
        <v>0</v>
      </c>
      <c r="CG61" s="136">
        <f t="shared" ca="1" si="52"/>
        <v>0</v>
      </c>
      <c r="CH61" s="136">
        <f t="shared" ca="1" si="52"/>
        <v>0</v>
      </c>
      <c r="CI61" s="136">
        <f t="shared" ca="1" si="52"/>
        <v>0</v>
      </c>
      <c r="CJ61" s="136">
        <f t="shared" ca="1" si="52"/>
        <v>0</v>
      </c>
      <c r="CK61" s="136">
        <f t="shared" ca="1" si="52"/>
        <v>0</v>
      </c>
      <c r="CL61" s="136">
        <f t="shared" ca="1" si="52"/>
        <v>0</v>
      </c>
      <c r="CM61" s="136">
        <f t="shared" ca="1" si="52"/>
        <v>0</v>
      </c>
      <c r="CN61" s="136">
        <f t="shared" ca="1" si="52"/>
        <v>0</v>
      </c>
      <c r="CO61" s="136">
        <f t="shared" ca="1" si="52"/>
        <v>0</v>
      </c>
      <c r="CP61" s="133" t="s">
        <v>15</v>
      </c>
    </row>
    <row r="62" spans="2:94" ht="15" customHeight="1" x14ac:dyDescent="0.2">
      <c r="B62" s="136">
        <f t="shared" si="50"/>
        <v>12145153.000000002</v>
      </c>
      <c r="D62" s="259" t="s">
        <v>194</v>
      </c>
      <c r="E62" s="269"/>
      <c r="F62" s="133" t="s">
        <v>214</v>
      </c>
      <c r="I62" s="136">
        <f>SUM(I76:I77)</f>
        <v>3678850.7556428574</v>
      </c>
      <c r="J62" s="136">
        <f t="shared" ref="J62:BU62" si="53">SUM(J76:J77)</f>
        <v>140145.64778571425</v>
      </c>
      <c r="K62" s="136">
        <f t="shared" si="53"/>
        <v>140145.64778571425</v>
      </c>
      <c r="L62" s="136">
        <f t="shared" si="53"/>
        <v>173725.96878571477</v>
      </c>
      <c r="M62" s="136">
        <f t="shared" si="53"/>
        <v>317269.7228571428</v>
      </c>
      <c r="N62" s="136">
        <f t="shared" si="53"/>
        <v>268256.14285714284</v>
      </c>
      <c r="O62" s="136">
        <f t="shared" si="53"/>
        <v>455644.58496240602</v>
      </c>
      <c r="P62" s="136">
        <f t="shared" si="53"/>
        <v>697211.51496240601</v>
      </c>
      <c r="Q62" s="136">
        <f t="shared" si="53"/>
        <v>697211.51496240601</v>
      </c>
      <c r="R62" s="136">
        <f t="shared" si="53"/>
        <v>697211.51496240601</v>
      </c>
      <c r="S62" s="136">
        <f t="shared" si="53"/>
        <v>697211.51496240601</v>
      </c>
      <c r="T62" s="136">
        <f t="shared" si="53"/>
        <v>697211.51496240601</v>
      </c>
      <c r="U62" s="136">
        <f t="shared" si="53"/>
        <v>697211.51496240601</v>
      </c>
      <c r="V62" s="136">
        <f t="shared" si="53"/>
        <v>1075316.2749624059</v>
      </c>
      <c r="W62" s="136">
        <f t="shared" si="53"/>
        <v>1192015.2749624061</v>
      </c>
      <c r="X62" s="136">
        <f t="shared" si="53"/>
        <v>520513.88962405868</v>
      </c>
      <c r="Y62" s="136">
        <f t="shared" si="53"/>
        <v>0</v>
      </c>
      <c r="Z62" s="136">
        <f t="shared" si="53"/>
        <v>0</v>
      </c>
      <c r="AA62" s="136">
        <f t="shared" si="53"/>
        <v>0</v>
      </c>
      <c r="AB62" s="136">
        <f t="shared" si="53"/>
        <v>0</v>
      </c>
      <c r="AC62" s="136">
        <f t="shared" si="53"/>
        <v>0</v>
      </c>
      <c r="AD62" s="136">
        <f t="shared" si="53"/>
        <v>0</v>
      </c>
      <c r="AE62" s="136">
        <f t="shared" si="53"/>
        <v>0</v>
      </c>
      <c r="AF62" s="136">
        <f t="shared" si="53"/>
        <v>0</v>
      </c>
      <c r="AG62" s="136">
        <f t="shared" si="53"/>
        <v>0</v>
      </c>
      <c r="AH62" s="136">
        <f t="shared" si="53"/>
        <v>0</v>
      </c>
      <c r="AI62" s="136">
        <f t="shared" si="53"/>
        <v>0</v>
      </c>
      <c r="AJ62" s="136">
        <f t="shared" si="53"/>
        <v>0</v>
      </c>
      <c r="AK62" s="136">
        <f t="shared" si="53"/>
        <v>0</v>
      </c>
      <c r="AL62" s="136">
        <f t="shared" si="53"/>
        <v>0</v>
      </c>
      <c r="AM62" s="136">
        <f t="shared" si="53"/>
        <v>0</v>
      </c>
      <c r="AN62" s="136">
        <f t="shared" si="53"/>
        <v>0</v>
      </c>
      <c r="AO62" s="136">
        <f t="shared" si="53"/>
        <v>0</v>
      </c>
      <c r="AP62" s="136">
        <f t="shared" si="53"/>
        <v>0</v>
      </c>
      <c r="AQ62" s="136">
        <f t="shared" si="53"/>
        <v>0</v>
      </c>
      <c r="AR62" s="136">
        <f t="shared" si="53"/>
        <v>0</v>
      </c>
      <c r="AS62" s="136">
        <f t="shared" si="53"/>
        <v>0</v>
      </c>
      <c r="AT62" s="136">
        <f t="shared" si="53"/>
        <v>0</v>
      </c>
      <c r="AU62" s="136">
        <f t="shared" si="53"/>
        <v>0</v>
      </c>
      <c r="AV62" s="136">
        <f t="shared" si="53"/>
        <v>0</v>
      </c>
      <c r="AW62" s="136">
        <f t="shared" si="53"/>
        <v>0</v>
      </c>
      <c r="AX62" s="136">
        <f t="shared" si="53"/>
        <v>0</v>
      </c>
      <c r="AY62" s="136">
        <f t="shared" si="53"/>
        <v>0</v>
      </c>
      <c r="AZ62" s="136">
        <f t="shared" si="53"/>
        <v>0</v>
      </c>
      <c r="BA62" s="136">
        <f t="shared" si="53"/>
        <v>0</v>
      </c>
      <c r="BB62" s="136">
        <f t="shared" si="53"/>
        <v>0</v>
      </c>
      <c r="BC62" s="136">
        <f t="shared" si="53"/>
        <v>0</v>
      </c>
      <c r="BD62" s="136">
        <f t="shared" si="53"/>
        <v>0</v>
      </c>
      <c r="BE62" s="136">
        <f t="shared" si="53"/>
        <v>0</v>
      </c>
      <c r="BF62" s="136">
        <f t="shared" si="53"/>
        <v>0</v>
      </c>
      <c r="BG62" s="136">
        <f t="shared" si="53"/>
        <v>0</v>
      </c>
      <c r="BH62" s="136">
        <f t="shared" si="53"/>
        <v>0</v>
      </c>
      <c r="BI62" s="136">
        <f t="shared" si="53"/>
        <v>0</v>
      </c>
      <c r="BJ62" s="136">
        <f t="shared" si="53"/>
        <v>0</v>
      </c>
      <c r="BK62" s="136">
        <f t="shared" si="53"/>
        <v>0</v>
      </c>
      <c r="BL62" s="136">
        <f t="shared" si="53"/>
        <v>0</v>
      </c>
      <c r="BM62" s="136">
        <f t="shared" si="53"/>
        <v>0</v>
      </c>
      <c r="BN62" s="136">
        <f t="shared" si="53"/>
        <v>0</v>
      </c>
      <c r="BO62" s="136">
        <f t="shared" si="53"/>
        <v>0</v>
      </c>
      <c r="BP62" s="136">
        <f t="shared" si="53"/>
        <v>0</v>
      </c>
      <c r="BQ62" s="136">
        <f t="shared" si="53"/>
        <v>0</v>
      </c>
      <c r="BR62" s="136">
        <f t="shared" si="53"/>
        <v>0</v>
      </c>
      <c r="BS62" s="136">
        <f t="shared" si="53"/>
        <v>0</v>
      </c>
      <c r="BT62" s="136">
        <f t="shared" si="53"/>
        <v>0</v>
      </c>
      <c r="BU62" s="136">
        <f t="shared" si="53"/>
        <v>0</v>
      </c>
      <c r="BV62" s="136">
        <f t="shared" ref="BV62:CO62" si="54">SUM(BV76:BV77)</f>
        <v>0</v>
      </c>
      <c r="BW62" s="136">
        <f t="shared" si="54"/>
        <v>0</v>
      </c>
      <c r="BX62" s="136">
        <f t="shared" si="54"/>
        <v>0</v>
      </c>
      <c r="BY62" s="136">
        <f t="shared" si="54"/>
        <v>0</v>
      </c>
      <c r="BZ62" s="136">
        <f t="shared" si="54"/>
        <v>0</v>
      </c>
      <c r="CA62" s="136">
        <f t="shared" si="54"/>
        <v>0</v>
      </c>
      <c r="CB62" s="136">
        <f t="shared" si="54"/>
        <v>0</v>
      </c>
      <c r="CC62" s="136">
        <f t="shared" si="54"/>
        <v>0</v>
      </c>
      <c r="CD62" s="136">
        <f t="shared" si="54"/>
        <v>0</v>
      </c>
      <c r="CE62" s="136">
        <f t="shared" si="54"/>
        <v>0</v>
      </c>
      <c r="CF62" s="136">
        <f t="shared" si="54"/>
        <v>0</v>
      </c>
      <c r="CG62" s="136">
        <f t="shared" si="54"/>
        <v>0</v>
      </c>
      <c r="CH62" s="136">
        <f t="shared" si="54"/>
        <v>0</v>
      </c>
      <c r="CI62" s="136">
        <f t="shared" si="54"/>
        <v>0</v>
      </c>
      <c r="CJ62" s="136">
        <f t="shared" si="54"/>
        <v>0</v>
      </c>
      <c r="CK62" s="136">
        <f t="shared" si="54"/>
        <v>0</v>
      </c>
      <c r="CL62" s="136">
        <f t="shared" si="54"/>
        <v>0</v>
      </c>
      <c r="CM62" s="136">
        <f t="shared" si="54"/>
        <v>0</v>
      </c>
      <c r="CN62" s="136">
        <f t="shared" si="54"/>
        <v>0</v>
      </c>
      <c r="CO62" s="136">
        <f t="shared" si="54"/>
        <v>0</v>
      </c>
      <c r="CP62" s="133" t="s">
        <v>15</v>
      </c>
    </row>
    <row r="63" spans="2:94" ht="15" customHeight="1" x14ac:dyDescent="0.2">
      <c r="B63" s="136">
        <f t="shared" si="50"/>
        <v>5000000</v>
      </c>
      <c r="D63" s="259" t="s">
        <v>194</v>
      </c>
      <c r="E63" s="269"/>
      <c r="F63" s="133" t="s">
        <v>202</v>
      </c>
      <c r="I63" s="136">
        <f>I42</f>
        <v>4496373.1457857145</v>
      </c>
      <c r="J63" s="136">
        <f t="shared" ref="J63:BU64" si="55">J42</f>
        <v>171289.12507142854</v>
      </c>
      <c r="K63" s="136">
        <f t="shared" si="55"/>
        <v>171289.12507142854</v>
      </c>
      <c r="L63" s="136">
        <f t="shared" si="55"/>
        <v>161048.60407142807</v>
      </c>
      <c r="M63" s="136">
        <f t="shared" si="55"/>
        <v>0</v>
      </c>
      <c r="N63" s="136">
        <f t="shared" si="55"/>
        <v>0</v>
      </c>
      <c r="O63" s="136">
        <f t="shared" si="55"/>
        <v>0</v>
      </c>
      <c r="P63" s="136">
        <f t="shared" si="55"/>
        <v>0</v>
      </c>
      <c r="Q63" s="136">
        <f t="shared" si="55"/>
        <v>0</v>
      </c>
      <c r="R63" s="136">
        <f t="shared" si="55"/>
        <v>0</v>
      </c>
      <c r="S63" s="136">
        <f t="shared" si="55"/>
        <v>0</v>
      </c>
      <c r="T63" s="136">
        <f t="shared" si="55"/>
        <v>0</v>
      </c>
      <c r="U63" s="136">
        <f t="shared" si="55"/>
        <v>0</v>
      </c>
      <c r="V63" s="136">
        <f t="shared" si="55"/>
        <v>0</v>
      </c>
      <c r="W63" s="136">
        <f t="shared" si="55"/>
        <v>0</v>
      </c>
      <c r="X63" s="136">
        <f t="shared" si="55"/>
        <v>0</v>
      </c>
      <c r="Y63" s="136">
        <f t="shared" si="55"/>
        <v>0</v>
      </c>
      <c r="Z63" s="136">
        <f t="shared" si="55"/>
        <v>0</v>
      </c>
      <c r="AA63" s="136">
        <f t="shared" si="55"/>
        <v>0</v>
      </c>
      <c r="AB63" s="136">
        <f t="shared" si="55"/>
        <v>0</v>
      </c>
      <c r="AC63" s="136">
        <f t="shared" si="55"/>
        <v>0</v>
      </c>
      <c r="AD63" s="136">
        <f t="shared" si="55"/>
        <v>0</v>
      </c>
      <c r="AE63" s="136">
        <f t="shared" si="55"/>
        <v>0</v>
      </c>
      <c r="AF63" s="136">
        <f t="shared" si="55"/>
        <v>0</v>
      </c>
      <c r="AG63" s="136">
        <f t="shared" si="55"/>
        <v>0</v>
      </c>
      <c r="AH63" s="136">
        <f t="shared" si="55"/>
        <v>0</v>
      </c>
      <c r="AI63" s="136">
        <f t="shared" si="55"/>
        <v>0</v>
      </c>
      <c r="AJ63" s="136">
        <f t="shared" si="55"/>
        <v>0</v>
      </c>
      <c r="AK63" s="136">
        <f t="shared" si="55"/>
        <v>0</v>
      </c>
      <c r="AL63" s="136">
        <f t="shared" si="55"/>
        <v>0</v>
      </c>
      <c r="AM63" s="136">
        <f t="shared" si="55"/>
        <v>0</v>
      </c>
      <c r="AN63" s="136">
        <f t="shared" si="55"/>
        <v>0</v>
      </c>
      <c r="AO63" s="136">
        <f t="shared" si="55"/>
        <v>0</v>
      </c>
      <c r="AP63" s="136">
        <f t="shared" si="55"/>
        <v>0</v>
      </c>
      <c r="AQ63" s="136">
        <f t="shared" si="55"/>
        <v>0</v>
      </c>
      <c r="AR63" s="136">
        <f t="shared" si="55"/>
        <v>0</v>
      </c>
      <c r="AS63" s="136">
        <f t="shared" si="55"/>
        <v>0</v>
      </c>
      <c r="AT63" s="136">
        <f t="shared" si="55"/>
        <v>0</v>
      </c>
      <c r="AU63" s="136">
        <f t="shared" si="55"/>
        <v>0</v>
      </c>
      <c r="AV63" s="136">
        <f t="shared" si="55"/>
        <v>0</v>
      </c>
      <c r="AW63" s="136">
        <f t="shared" si="55"/>
        <v>0</v>
      </c>
      <c r="AX63" s="136">
        <f t="shared" si="55"/>
        <v>0</v>
      </c>
      <c r="AY63" s="136">
        <f t="shared" si="55"/>
        <v>0</v>
      </c>
      <c r="AZ63" s="136">
        <f t="shared" si="55"/>
        <v>0</v>
      </c>
      <c r="BA63" s="136">
        <f t="shared" si="55"/>
        <v>0</v>
      </c>
      <c r="BB63" s="136">
        <f t="shared" si="55"/>
        <v>0</v>
      </c>
      <c r="BC63" s="136">
        <f t="shared" si="55"/>
        <v>0</v>
      </c>
      <c r="BD63" s="136">
        <f t="shared" si="55"/>
        <v>0</v>
      </c>
      <c r="BE63" s="136">
        <f t="shared" si="55"/>
        <v>0</v>
      </c>
      <c r="BF63" s="136">
        <f t="shared" si="55"/>
        <v>0</v>
      </c>
      <c r="BG63" s="136">
        <f t="shared" si="55"/>
        <v>0</v>
      </c>
      <c r="BH63" s="136">
        <f t="shared" si="55"/>
        <v>0</v>
      </c>
      <c r="BI63" s="136">
        <f t="shared" si="55"/>
        <v>0</v>
      </c>
      <c r="BJ63" s="136">
        <f t="shared" si="55"/>
        <v>0</v>
      </c>
      <c r="BK63" s="136">
        <f t="shared" si="55"/>
        <v>0</v>
      </c>
      <c r="BL63" s="136">
        <f t="shared" si="55"/>
        <v>0</v>
      </c>
      <c r="BM63" s="136">
        <f t="shared" si="55"/>
        <v>0</v>
      </c>
      <c r="BN63" s="136">
        <f t="shared" si="55"/>
        <v>0</v>
      </c>
      <c r="BO63" s="136">
        <f t="shared" si="55"/>
        <v>0</v>
      </c>
      <c r="BP63" s="136">
        <f t="shared" si="55"/>
        <v>0</v>
      </c>
      <c r="BQ63" s="136">
        <f t="shared" si="55"/>
        <v>0</v>
      </c>
      <c r="BR63" s="136">
        <f t="shared" si="55"/>
        <v>0</v>
      </c>
      <c r="BS63" s="136">
        <f t="shared" si="55"/>
        <v>0</v>
      </c>
      <c r="BT63" s="136">
        <f t="shared" si="55"/>
        <v>0</v>
      </c>
      <c r="BU63" s="136">
        <f t="shared" si="55"/>
        <v>0</v>
      </c>
      <c r="BV63" s="136">
        <f t="shared" ref="BV63:CO64" si="56">BV42</f>
        <v>0</v>
      </c>
      <c r="BW63" s="136">
        <f t="shared" si="56"/>
        <v>0</v>
      </c>
      <c r="BX63" s="136">
        <f t="shared" si="56"/>
        <v>0</v>
      </c>
      <c r="BY63" s="136">
        <f t="shared" si="56"/>
        <v>0</v>
      </c>
      <c r="BZ63" s="136">
        <f t="shared" si="56"/>
        <v>0</v>
      </c>
      <c r="CA63" s="136">
        <f t="shared" si="56"/>
        <v>0</v>
      </c>
      <c r="CB63" s="136">
        <f t="shared" si="56"/>
        <v>0</v>
      </c>
      <c r="CC63" s="136">
        <f t="shared" si="56"/>
        <v>0</v>
      </c>
      <c r="CD63" s="136">
        <f t="shared" si="56"/>
        <v>0</v>
      </c>
      <c r="CE63" s="136">
        <f t="shared" si="56"/>
        <v>0</v>
      </c>
      <c r="CF63" s="136">
        <f t="shared" si="56"/>
        <v>0</v>
      </c>
      <c r="CG63" s="136">
        <f t="shared" si="56"/>
        <v>0</v>
      </c>
      <c r="CH63" s="136">
        <f t="shared" si="56"/>
        <v>0</v>
      </c>
      <c r="CI63" s="136">
        <f t="shared" si="56"/>
        <v>0</v>
      </c>
      <c r="CJ63" s="136">
        <f t="shared" si="56"/>
        <v>0</v>
      </c>
      <c r="CK63" s="136">
        <f t="shared" si="56"/>
        <v>0</v>
      </c>
      <c r="CL63" s="136">
        <f t="shared" si="56"/>
        <v>0</v>
      </c>
      <c r="CM63" s="136">
        <f t="shared" si="56"/>
        <v>0</v>
      </c>
      <c r="CN63" s="136">
        <f t="shared" si="56"/>
        <v>0</v>
      </c>
      <c r="CO63" s="136">
        <f t="shared" si="56"/>
        <v>0</v>
      </c>
      <c r="CP63" s="133" t="s">
        <v>15</v>
      </c>
    </row>
    <row r="64" spans="2:94" ht="15" customHeight="1" x14ac:dyDescent="0.2">
      <c r="B64" s="136">
        <f t="shared" ca="1" si="50"/>
        <v>11697955.794413233</v>
      </c>
      <c r="D64" s="259" t="s">
        <v>194</v>
      </c>
      <c r="E64" s="269"/>
      <c r="F64" s="133" t="s">
        <v>203</v>
      </c>
      <c r="I64" s="136">
        <f>I43</f>
        <v>0</v>
      </c>
      <c r="J64" s="136">
        <f t="shared" ca="1" si="55"/>
        <v>0</v>
      </c>
      <c r="K64" s="136">
        <f t="shared" ca="1" si="55"/>
        <v>0</v>
      </c>
      <c r="L64" s="136">
        <f t="shared" ca="1" si="55"/>
        <v>0</v>
      </c>
      <c r="M64" s="136">
        <f t="shared" ca="1" si="55"/>
        <v>0</v>
      </c>
      <c r="N64" s="136">
        <f t="shared" ca="1" si="55"/>
        <v>0</v>
      </c>
      <c r="O64" s="136">
        <f t="shared" ca="1" si="55"/>
        <v>0</v>
      </c>
      <c r="P64" s="136">
        <f t="shared" ca="1" si="55"/>
        <v>0</v>
      </c>
      <c r="Q64" s="136">
        <f t="shared" ca="1" si="55"/>
        <v>0</v>
      </c>
      <c r="R64" s="136">
        <f t="shared" ca="1" si="55"/>
        <v>0</v>
      </c>
      <c r="S64" s="136">
        <f t="shared" ca="1" si="55"/>
        <v>0</v>
      </c>
      <c r="T64" s="136">
        <f t="shared" ca="1" si="55"/>
        <v>0</v>
      </c>
      <c r="U64" s="136">
        <f t="shared" ca="1" si="55"/>
        <v>0</v>
      </c>
      <c r="V64" s="136">
        <f t="shared" ca="1" si="55"/>
        <v>0</v>
      </c>
      <c r="W64" s="136">
        <f t="shared" ca="1" si="55"/>
        <v>0</v>
      </c>
      <c r="X64" s="136">
        <f t="shared" ca="1" si="55"/>
        <v>449773.28533834737</v>
      </c>
      <c r="Y64" s="136">
        <f t="shared" ca="1" si="55"/>
        <v>1240443.3873497124</v>
      </c>
      <c r="Z64" s="136">
        <f t="shared" ca="1" si="55"/>
        <v>1265948.6335659986</v>
      </c>
      <c r="AA64" s="136">
        <f t="shared" ca="1" si="55"/>
        <v>1270621.2468927118</v>
      </c>
      <c r="AB64" s="136">
        <f t="shared" ca="1" si="55"/>
        <v>1276065.2661681226</v>
      </c>
      <c r="AC64" s="136">
        <f t="shared" ca="1" si="55"/>
        <v>1313815.6667371551</v>
      </c>
      <c r="AD64" s="136">
        <f t="shared" ca="1" si="55"/>
        <v>1518695.3272951371</v>
      </c>
      <c r="AE64" s="136">
        <f t="shared" ca="1" si="55"/>
        <v>1415349.8387141544</v>
      </c>
      <c r="AF64" s="136">
        <f t="shared" ca="1" si="55"/>
        <v>621594.01087459177</v>
      </c>
      <c r="AG64" s="136">
        <f t="shared" ca="1" si="55"/>
        <v>1325649.1314773017</v>
      </c>
      <c r="AH64" s="136">
        <f t="shared" ca="1" si="55"/>
        <v>0</v>
      </c>
      <c r="AI64" s="136">
        <f t="shared" ca="1" si="55"/>
        <v>0</v>
      </c>
      <c r="AJ64" s="136">
        <f t="shared" ca="1" si="55"/>
        <v>0</v>
      </c>
      <c r="AK64" s="136">
        <f t="shared" ca="1" si="55"/>
        <v>0</v>
      </c>
      <c r="AL64" s="136">
        <f t="shared" ca="1" si="55"/>
        <v>0</v>
      </c>
      <c r="AM64" s="136">
        <f t="shared" ca="1" si="55"/>
        <v>0</v>
      </c>
      <c r="AN64" s="136">
        <f t="shared" ca="1" si="55"/>
        <v>0</v>
      </c>
      <c r="AO64" s="136">
        <f t="shared" ca="1" si="55"/>
        <v>0</v>
      </c>
      <c r="AP64" s="136">
        <f t="shared" ca="1" si="55"/>
        <v>0</v>
      </c>
      <c r="AQ64" s="136">
        <f t="shared" ca="1" si="55"/>
        <v>0</v>
      </c>
      <c r="AR64" s="136">
        <f t="shared" ca="1" si="55"/>
        <v>0</v>
      </c>
      <c r="AS64" s="136">
        <f t="shared" ca="1" si="55"/>
        <v>0</v>
      </c>
      <c r="AT64" s="136">
        <f t="shared" ca="1" si="55"/>
        <v>0</v>
      </c>
      <c r="AU64" s="136">
        <f t="shared" ca="1" si="55"/>
        <v>0</v>
      </c>
      <c r="AV64" s="136">
        <f t="shared" ca="1" si="55"/>
        <v>0</v>
      </c>
      <c r="AW64" s="136">
        <f t="shared" ca="1" si="55"/>
        <v>0</v>
      </c>
      <c r="AX64" s="136">
        <f t="shared" ca="1" si="55"/>
        <v>0</v>
      </c>
      <c r="AY64" s="136">
        <f t="shared" ca="1" si="55"/>
        <v>0</v>
      </c>
      <c r="AZ64" s="136">
        <f t="shared" ca="1" si="55"/>
        <v>0</v>
      </c>
      <c r="BA64" s="136">
        <f t="shared" ca="1" si="55"/>
        <v>0</v>
      </c>
      <c r="BB64" s="136">
        <f t="shared" ca="1" si="55"/>
        <v>0</v>
      </c>
      <c r="BC64" s="136">
        <f t="shared" ca="1" si="55"/>
        <v>0</v>
      </c>
      <c r="BD64" s="136">
        <f t="shared" ca="1" si="55"/>
        <v>0</v>
      </c>
      <c r="BE64" s="136">
        <f t="shared" ca="1" si="55"/>
        <v>0</v>
      </c>
      <c r="BF64" s="136">
        <f t="shared" ca="1" si="55"/>
        <v>0</v>
      </c>
      <c r="BG64" s="136">
        <f t="shared" ca="1" si="55"/>
        <v>0</v>
      </c>
      <c r="BH64" s="136">
        <f t="shared" ca="1" si="55"/>
        <v>0</v>
      </c>
      <c r="BI64" s="136">
        <f t="shared" ca="1" si="55"/>
        <v>0</v>
      </c>
      <c r="BJ64" s="136">
        <f t="shared" ca="1" si="55"/>
        <v>0</v>
      </c>
      <c r="BK64" s="136">
        <f t="shared" ca="1" si="55"/>
        <v>0</v>
      </c>
      <c r="BL64" s="136">
        <f t="shared" ca="1" si="55"/>
        <v>0</v>
      </c>
      <c r="BM64" s="136">
        <f t="shared" ca="1" si="55"/>
        <v>0</v>
      </c>
      <c r="BN64" s="136">
        <f t="shared" ca="1" si="55"/>
        <v>0</v>
      </c>
      <c r="BO64" s="136">
        <f t="shared" ca="1" si="55"/>
        <v>0</v>
      </c>
      <c r="BP64" s="136">
        <f t="shared" ca="1" si="55"/>
        <v>0</v>
      </c>
      <c r="BQ64" s="136">
        <f t="shared" ca="1" si="55"/>
        <v>0</v>
      </c>
      <c r="BR64" s="136">
        <f t="shared" ca="1" si="55"/>
        <v>0</v>
      </c>
      <c r="BS64" s="136">
        <f t="shared" ca="1" si="55"/>
        <v>0</v>
      </c>
      <c r="BT64" s="136">
        <f t="shared" ca="1" si="55"/>
        <v>0</v>
      </c>
      <c r="BU64" s="136">
        <f t="shared" ca="1" si="55"/>
        <v>0</v>
      </c>
      <c r="BV64" s="136">
        <f t="shared" ca="1" si="56"/>
        <v>0</v>
      </c>
      <c r="BW64" s="136">
        <f t="shared" ca="1" si="56"/>
        <v>0</v>
      </c>
      <c r="BX64" s="136">
        <f t="shared" ca="1" si="56"/>
        <v>0</v>
      </c>
      <c r="BY64" s="136">
        <f t="shared" ca="1" si="56"/>
        <v>0</v>
      </c>
      <c r="BZ64" s="136">
        <f t="shared" ca="1" si="56"/>
        <v>0</v>
      </c>
      <c r="CA64" s="136">
        <f t="shared" ca="1" si="56"/>
        <v>0</v>
      </c>
      <c r="CB64" s="136">
        <f t="shared" ca="1" si="56"/>
        <v>0</v>
      </c>
      <c r="CC64" s="136">
        <f t="shared" ca="1" si="56"/>
        <v>0</v>
      </c>
      <c r="CD64" s="136">
        <f t="shared" ca="1" si="56"/>
        <v>0</v>
      </c>
      <c r="CE64" s="136">
        <f t="shared" ca="1" si="56"/>
        <v>0</v>
      </c>
      <c r="CF64" s="136">
        <f t="shared" ca="1" si="56"/>
        <v>0</v>
      </c>
      <c r="CG64" s="136">
        <f t="shared" ca="1" si="56"/>
        <v>0</v>
      </c>
      <c r="CH64" s="136">
        <f t="shared" ca="1" si="56"/>
        <v>0</v>
      </c>
      <c r="CI64" s="136">
        <f t="shared" ca="1" si="56"/>
        <v>0</v>
      </c>
      <c r="CJ64" s="136">
        <f t="shared" ca="1" si="56"/>
        <v>0</v>
      </c>
      <c r="CK64" s="136">
        <f t="shared" ca="1" si="56"/>
        <v>0</v>
      </c>
      <c r="CL64" s="136">
        <f t="shared" ca="1" si="56"/>
        <v>0</v>
      </c>
      <c r="CM64" s="136">
        <f t="shared" ca="1" si="56"/>
        <v>0</v>
      </c>
      <c r="CN64" s="136">
        <f t="shared" ca="1" si="56"/>
        <v>0</v>
      </c>
      <c r="CO64" s="136">
        <f t="shared" ca="1" si="56"/>
        <v>0</v>
      </c>
      <c r="CP64" s="133" t="s">
        <v>15</v>
      </c>
    </row>
    <row r="65" spans="2:94" ht="15" customHeight="1" x14ac:dyDescent="0.2">
      <c r="D65" s="259"/>
      <c r="E65" s="269"/>
      <c r="F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row>
    <row r="66" spans="2:94" ht="15" customHeight="1" x14ac:dyDescent="0.25">
      <c r="B66" s="136">
        <f ca="1">SUM(I66:CO66)</f>
        <v>0</v>
      </c>
      <c r="C66" s="133" t="s">
        <v>215</v>
      </c>
      <c r="D66" s="259"/>
      <c r="E66" s="269"/>
      <c r="F66" s="146" t="s">
        <v>216</v>
      </c>
      <c r="I66" s="290" t="str">
        <f>IF(SUM(I59:I64)=0, "-", "ERROR")</f>
        <v>-</v>
      </c>
      <c r="J66" s="290" t="str">
        <f t="shared" ref="J66:BU66" ca="1" si="57">IF(SUM(J59:J64)=0, "-", "ERROR")</f>
        <v>-</v>
      </c>
      <c r="K66" s="290" t="str">
        <f t="shared" ca="1" si="57"/>
        <v>-</v>
      </c>
      <c r="L66" s="290" t="str">
        <f t="shared" ca="1" si="57"/>
        <v>-</v>
      </c>
      <c r="M66" s="290" t="str">
        <f t="shared" ca="1" si="57"/>
        <v>-</v>
      </c>
      <c r="N66" s="290" t="str">
        <f t="shared" ca="1" si="57"/>
        <v>-</v>
      </c>
      <c r="O66" s="290" t="str">
        <f t="shared" ca="1" si="57"/>
        <v>-</v>
      </c>
      <c r="P66" s="290" t="str">
        <f t="shared" ca="1" si="57"/>
        <v>-</v>
      </c>
      <c r="Q66" s="290" t="str">
        <f t="shared" ca="1" si="57"/>
        <v>-</v>
      </c>
      <c r="R66" s="290" t="str">
        <f t="shared" ca="1" si="57"/>
        <v>-</v>
      </c>
      <c r="S66" s="290" t="str">
        <f t="shared" ca="1" si="57"/>
        <v>-</v>
      </c>
      <c r="T66" s="290" t="str">
        <f t="shared" ca="1" si="57"/>
        <v>-</v>
      </c>
      <c r="U66" s="290" t="str">
        <f t="shared" ca="1" si="57"/>
        <v>-</v>
      </c>
      <c r="V66" s="290" t="str">
        <f t="shared" ca="1" si="57"/>
        <v>-</v>
      </c>
      <c r="W66" s="290" t="str">
        <f t="shared" ca="1" si="57"/>
        <v>-</v>
      </c>
      <c r="X66" s="290" t="str">
        <f t="shared" ca="1" si="57"/>
        <v>-</v>
      </c>
      <c r="Y66" s="290" t="str">
        <f t="shared" ca="1" si="57"/>
        <v>-</v>
      </c>
      <c r="Z66" s="290" t="str">
        <f t="shared" ca="1" si="57"/>
        <v>-</v>
      </c>
      <c r="AA66" s="290" t="str">
        <f t="shared" ca="1" si="57"/>
        <v>-</v>
      </c>
      <c r="AB66" s="290" t="str">
        <f t="shared" ca="1" si="57"/>
        <v>-</v>
      </c>
      <c r="AC66" s="290" t="str">
        <f t="shared" ca="1" si="57"/>
        <v>-</v>
      </c>
      <c r="AD66" s="290" t="str">
        <f t="shared" ca="1" si="57"/>
        <v>-</v>
      </c>
      <c r="AE66" s="290" t="str">
        <f t="shared" ca="1" si="57"/>
        <v>-</v>
      </c>
      <c r="AF66" s="290" t="str">
        <f t="shared" ca="1" si="57"/>
        <v>-</v>
      </c>
      <c r="AG66" s="290" t="str">
        <f t="shared" ca="1" si="57"/>
        <v>-</v>
      </c>
      <c r="AH66" s="290" t="str">
        <f t="shared" ca="1" si="57"/>
        <v>-</v>
      </c>
      <c r="AI66" s="290" t="str">
        <f t="shared" ca="1" si="57"/>
        <v>-</v>
      </c>
      <c r="AJ66" s="290" t="str">
        <f t="shared" ca="1" si="57"/>
        <v>-</v>
      </c>
      <c r="AK66" s="290" t="str">
        <f t="shared" ca="1" si="57"/>
        <v>-</v>
      </c>
      <c r="AL66" s="290" t="str">
        <f t="shared" ca="1" si="57"/>
        <v>-</v>
      </c>
      <c r="AM66" s="290" t="str">
        <f t="shared" ca="1" si="57"/>
        <v>-</v>
      </c>
      <c r="AN66" s="290" t="str">
        <f t="shared" ca="1" si="57"/>
        <v>-</v>
      </c>
      <c r="AO66" s="290" t="str">
        <f t="shared" ca="1" si="57"/>
        <v>-</v>
      </c>
      <c r="AP66" s="290" t="str">
        <f t="shared" ca="1" si="57"/>
        <v>-</v>
      </c>
      <c r="AQ66" s="290" t="str">
        <f t="shared" ca="1" si="57"/>
        <v>-</v>
      </c>
      <c r="AR66" s="290" t="str">
        <f t="shared" ca="1" si="57"/>
        <v>-</v>
      </c>
      <c r="AS66" s="290" t="str">
        <f t="shared" ca="1" si="57"/>
        <v>-</v>
      </c>
      <c r="AT66" s="290" t="str">
        <f t="shared" ca="1" si="57"/>
        <v>-</v>
      </c>
      <c r="AU66" s="290" t="str">
        <f t="shared" ca="1" si="57"/>
        <v>-</v>
      </c>
      <c r="AV66" s="290" t="str">
        <f t="shared" ca="1" si="57"/>
        <v>-</v>
      </c>
      <c r="AW66" s="290" t="str">
        <f t="shared" ca="1" si="57"/>
        <v>-</v>
      </c>
      <c r="AX66" s="290" t="str">
        <f t="shared" ca="1" si="57"/>
        <v>-</v>
      </c>
      <c r="AY66" s="290" t="str">
        <f t="shared" ca="1" si="57"/>
        <v>-</v>
      </c>
      <c r="AZ66" s="290" t="str">
        <f t="shared" ca="1" si="57"/>
        <v>-</v>
      </c>
      <c r="BA66" s="290" t="str">
        <f t="shared" ca="1" si="57"/>
        <v>-</v>
      </c>
      <c r="BB66" s="290" t="str">
        <f t="shared" ca="1" si="57"/>
        <v>-</v>
      </c>
      <c r="BC66" s="290" t="str">
        <f t="shared" ca="1" si="57"/>
        <v>-</v>
      </c>
      <c r="BD66" s="290" t="str">
        <f t="shared" ca="1" si="57"/>
        <v>-</v>
      </c>
      <c r="BE66" s="290" t="str">
        <f t="shared" ca="1" si="57"/>
        <v>-</v>
      </c>
      <c r="BF66" s="290" t="str">
        <f t="shared" ca="1" si="57"/>
        <v>-</v>
      </c>
      <c r="BG66" s="290" t="str">
        <f t="shared" ca="1" si="57"/>
        <v>-</v>
      </c>
      <c r="BH66" s="290" t="str">
        <f t="shared" ca="1" si="57"/>
        <v>-</v>
      </c>
      <c r="BI66" s="290" t="str">
        <f t="shared" ca="1" si="57"/>
        <v>-</v>
      </c>
      <c r="BJ66" s="290" t="str">
        <f t="shared" ca="1" si="57"/>
        <v>-</v>
      </c>
      <c r="BK66" s="290" t="str">
        <f t="shared" ca="1" si="57"/>
        <v>-</v>
      </c>
      <c r="BL66" s="290" t="str">
        <f t="shared" ca="1" si="57"/>
        <v>-</v>
      </c>
      <c r="BM66" s="290" t="str">
        <f t="shared" ca="1" si="57"/>
        <v>-</v>
      </c>
      <c r="BN66" s="290" t="str">
        <f t="shared" ca="1" si="57"/>
        <v>-</v>
      </c>
      <c r="BO66" s="290" t="str">
        <f t="shared" ca="1" si="57"/>
        <v>-</v>
      </c>
      <c r="BP66" s="290" t="str">
        <f t="shared" ca="1" si="57"/>
        <v>-</v>
      </c>
      <c r="BQ66" s="290" t="str">
        <f t="shared" ca="1" si="57"/>
        <v>-</v>
      </c>
      <c r="BR66" s="290" t="str">
        <f t="shared" ca="1" si="57"/>
        <v>-</v>
      </c>
      <c r="BS66" s="290" t="str">
        <f t="shared" ca="1" si="57"/>
        <v>-</v>
      </c>
      <c r="BT66" s="290" t="str">
        <f t="shared" ca="1" si="57"/>
        <v>-</v>
      </c>
      <c r="BU66" s="290" t="str">
        <f t="shared" ca="1" si="57"/>
        <v>-</v>
      </c>
      <c r="BV66" s="290" t="str">
        <f t="shared" ref="BV66:CO66" ca="1" si="58">IF(SUM(BV59:BV64)=0, "-", "ERROR")</f>
        <v>-</v>
      </c>
      <c r="BW66" s="290" t="str">
        <f t="shared" ca="1" si="58"/>
        <v>-</v>
      </c>
      <c r="BX66" s="290" t="str">
        <f t="shared" ca="1" si="58"/>
        <v>-</v>
      </c>
      <c r="BY66" s="290" t="str">
        <f t="shared" ca="1" si="58"/>
        <v>-</v>
      </c>
      <c r="BZ66" s="290" t="str">
        <f t="shared" ca="1" si="58"/>
        <v>-</v>
      </c>
      <c r="CA66" s="290" t="str">
        <f t="shared" ca="1" si="58"/>
        <v>-</v>
      </c>
      <c r="CB66" s="290" t="str">
        <f t="shared" ca="1" si="58"/>
        <v>-</v>
      </c>
      <c r="CC66" s="290" t="str">
        <f t="shared" ca="1" si="58"/>
        <v>-</v>
      </c>
      <c r="CD66" s="290" t="str">
        <f t="shared" ca="1" si="58"/>
        <v>-</v>
      </c>
      <c r="CE66" s="290" t="str">
        <f t="shared" ca="1" si="58"/>
        <v>-</v>
      </c>
      <c r="CF66" s="290" t="str">
        <f t="shared" ca="1" si="58"/>
        <v>-</v>
      </c>
      <c r="CG66" s="290" t="str">
        <f t="shared" ca="1" si="58"/>
        <v>-</v>
      </c>
      <c r="CH66" s="290" t="str">
        <f t="shared" ca="1" si="58"/>
        <v>-</v>
      </c>
      <c r="CI66" s="290" t="str">
        <f t="shared" ca="1" si="58"/>
        <v>-</v>
      </c>
      <c r="CJ66" s="290" t="str">
        <f t="shared" ca="1" si="58"/>
        <v>-</v>
      </c>
      <c r="CK66" s="290" t="str">
        <f t="shared" ca="1" si="58"/>
        <v>-</v>
      </c>
      <c r="CL66" s="290" t="str">
        <f t="shared" ca="1" si="58"/>
        <v>-</v>
      </c>
      <c r="CM66" s="290" t="str">
        <f t="shared" ca="1" si="58"/>
        <v>-</v>
      </c>
      <c r="CN66" s="290" t="str">
        <f t="shared" ca="1" si="58"/>
        <v>-</v>
      </c>
      <c r="CO66" s="290" t="str">
        <f t="shared" ca="1" si="58"/>
        <v>-</v>
      </c>
      <c r="CP66" s="133" t="s">
        <v>15</v>
      </c>
    </row>
    <row r="67" spans="2:94" ht="15" customHeight="1" x14ac:dyDescent="0.2">
      <c r="D67" s="259"/>
      <c r="E67" s="269"/>
      <c r="F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row>
    <row r="68" spans="2:94" ht="15" customHeight="1" x14ac:dyDescent="0.2">
      <c r="D68" s="259"/>
      <c r="E68" s="269"/>
      <c r="F68" s="272" t="s">
        <v>217</v>
      </c>
      <c r="G68" s="273"/>
      <c r="H68" s="273"/>
      <c r="I68" s="392">
        <f ca="1">XIRR($I55:$CO55,HoldingDates)</f>
        <v>0.37547664046287532</v>
      </c>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row>
    <row r="69" spans="2:94" ht="15" customHeight="1" x14ac:dyDescent="0.2">
      <c r="C69" s="133" t="s">
        <v>365</v>
      </c>
      <c r="D69" s="259"/>
      <c r="E69" s="269"/>
      <c r="F69" s="275" t="s">
        <v>218</v>
      </c>
      <c r="I69" s="393">
        <f ca="1">SUMIF($I55:$CO55,"&gt;0")/-SUMIF($I55:$CO55,"&lt;0")</f>
        <v>2.9405663577734309</v>
      </c>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row>
    <row r="70" spans="2:94" ht="15" customHeight="1" x14ac:dyDescent="0.2">
      <c r="C70" s="133" t="s">
        <v>219</v>
      </c>
      <c r="D70" s="259"/>
      <c r="E70" s="269"/>
      <c r="F70" s="277" t="s">
        <v>220</v>
      </c>
      <c r="G70" s="278"/>
      <c r="H70" s="278"/>
      <c r="I70" s="394">
        <f ca="1">SUM(I55:CO55)</f>
        <v>23568475.321811102</v>
      </c>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row>
    <row r="71" spans="2:94" ht="15" customHeight="1" x14ac:dyDescent="0.2">
      <c r="D71" s="259"/>
      <c r="E71" s="269"/>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row>
    <row r="72" spans="2:94" ht="15" customHeight="1" x14ac:dyDescent="0.25">
      <c r="D72" s="259"/>
      <c r="E72" s="269"/>
      <c r="F72" s="132" t="s">
        <v>221</v>
      </c>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row>
    <row r="73" spans="2:94" ht="15" customHeight="1" x14ac:dyDescent="0.2">
      <c r="D73" s="259"/>
      <c r="E73" s="269"/>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row>
    <row r="74" spans="2:94" ht="15" customHeight="1" x14ac:dyDescent="0.25">
      <c r="D74" s="259"/>
      <c r="E74" s="269"/>
      <c r="F74" s="146" t="s">
        <v>157</v>
      </c>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row>
    <row r="75" spans="2:94" ht="15" customHeight="1" x14ac:dyDescent="0.2">
      <c r="D75" s="259"/>
      <c r="E75" s="269"/>
      <c r="F75" s="133" t="s">
        <v>222</v>
      </c>
      <c r="I75" s="395">
        <v>0</v>
      </c>
      <c r="J75" s="395">
        <f>I78</f>
        <v>3678850.7556428574</v>
      </c>
      <c r="K75" s="395">
        <f t="shared" ref="K75:BV75" si="59">J78</f>
        <v>3818996.4034285718</v>
      </c>
      <c r="L75" s="395">
        <f t="shared" si="59"/>
        <v>3959142.0512142861</v>
      </c>
      <c r="M75" s="395">
        <f t="shared" si="59"/>
        <v>4132868.0200000005</v>
      </c>
      <c r="N75" s="395">
        <f t="shared" si="59"/>
        <v>4450137.7428571433</v>
      </c>
      <c r="O75" s="395">
        <f t="shared" si="59"/>
        <v>4718393.885714286</v>
      </c>
      <c r="P75" s="395">
        <f t="shared" si="59"/>
        <v>5174038.4706766922</v>
      </c>
      <c r="Q75" s="395">
        <f t="shared" si="59"/>
        <v>5871249.9856390981</v>
      </c>
      <c r="R75" s="395">
        <f t="shared" si="59"/>
        <v>6568461.500601504</v>
      </c>
      <c r="S75" s="395">
        <f t="shared" si="59"/>
        <v>7265673.0155639099</v>
      </c>
      <c r="T75" s="395">
        <f t="shared" si="59"/>
        <v>7962884.5305263158</v>
      </c>
      <c r="U75" s="395">
        <f t="shared" si="59"/>
        <v>8660096.0454887226</v>
      </c>
      <c r="V75" s="395">
        <f t="shared" si="59"/>
        <v>9357307.5604511295</v>
      </c>
      <c r="W75" s="395">
        <f t="shared" si="59"/>
        <v>10432623.835413534</v>
      </c>
      <c r="X75" s="395">
        <f t="shared" si="59"/>
        <v>11624639.110375941</v>
      </c>
      <c r="Y75" s="395">
        <f t="shared" si="59"/>
        <v>12145153</v>
      </c>
      <c r="Z75" s="395">
        <f t="shared" si="59"/>
        <v>12145153</v>
      </c>
      <c r="AA75" s="395">
        <f t="shared" si="59"/>
        <v>12145153</v>
      </c>
      <c r="AB75" s="395">
        <f t="shared" si="59"/>
        <v>12145153</v>
      </c>
      <c r="AC75" s="395">
        <f t="shared" si="59"/>
        <v>12145153</v>
      </c>
      <c r="AD75" s="395">
        <f t="shared" si="59"/>
        <v>12145153</v>
      </c>
      <c r="AE75" s="395">
        <f t="shared" si="59"/>
        <v>12145153</v>
      </c>
      <c r="AF75" s="395">
        <f t="shared" si="59"/>
        <v>12145153</v>
      </c>
      <c r="AG75" s="395">
        <f t="shared" si="59"/>
        <v>12145153</v>
      </c>
      <c r="AH75" s="395">
        <f t="shared" si="59"/>
        <v>12145153</v>
      </c>
      <c r="AI75" s="395">
        <f t="shared" si="59"/>
        <v>12145153</v>
      </c>
      <c r="AJ75" s="395">
        <f t="shared" si="59"/>
        <v>12145153</v>
      </c>
      <c r="AK75" s="395">
        <f t="shared" si="59"/>
        <v>12145153</v>
      </c>
      <c r="AL75" s="395">
        <f t="shared" si="59"/>
        <v>12145153</v>
      </c>
      <c r="AM75" s="395">
        <f t="shared" si="59"/>
        <v>12145153</v>
      </c>
      <c r="AN75" s="395">
        <f t="shared" si="59"/>
        <v>12145153</v>
      </c>
      <c r="AO75" s="395">
        <f t="shared" si="59"/>
        <v>12145153</v>
      </c>
      <c r="AP75" s="395">
        <f t="shared" si="59"/>
        <v>12145153</v>
      </c>
      <c r="AQ75" s="395">
        <f t="shared" si="59"/>
        <v>12145153</v>
      </c>
      <c r="AR75" s="395">
        <f t="shared" si="59"/>
        <v>12145153</v>
      </c>
      <c r="AS75" s="395">
        <f t="shared" si="59"/>
        <v>12145153</v>
      </c>
      <c r="AT75" s="395">
        <f t="shared" si="59"/>
        <v>12145153</v>
      </c>
      <c r="AU75" s="395">
        <f t="shared" si="59"/>
        <v>12145153</v>
      </c>
      <c r="AV75" s="395">
        <f t="shared" si="59"/>
        <v>12145153</v>
      </c>
      <c r="AW75" s="395">
        <f t="shared" si="59"/>
        <v>12145153</v>
      </c>
      <c r="AX75" s="395">
        <f t="shared" si="59"/>
        <v>12145153</v>
      </c>
      <c r="AY75" s="395">
        <f t="shared" si="59"/>
        <v>12145153</v>
      </c>
      <c r="AZ75" s="395">
        <f t="shared" si="59"/>
        <v>12145153</v>
      </c>
      <c r="BA75" s="395">
        <f t="shared" si="59"/>
        <v>12145153</v>
      </c>
      <c r="BB75" s="395">
        <f t="shared" si="59"/>
        <v>12145153</v>
      </c>
      <c r="BC75" s="395">
        <f t="shared" si="59"/>
        <v>12145153</v>
      </c>
      <c r="BD75" s="395">
        <f t="shared" si="59"/>
        <v>12145153</v>
      </c>
      <c r="BE75" s="395">
        <f t="shared" si="59"/>
        <v>12145153</v>
      </c>
      <c r="BF75" s="395">
        <f t="shared" si="59"/>
        <v>12145153</v>
      </c>
      <c r="BG75" s="395">
        <f t="shared" si="59"/>
        <v>12145153</v>
      </c>
      <c r="BH75" s="395">
        <f t="shared" si="59"/>
        <v>12145153</v>
      </c>
      <c r="BI75" s="395">
        <f t="shared" si="59"/>
        <v>12145153</v>
      </c>
      <c r="BJ75" s="395">
        <f t="shared" si="59"/>
        <v>12145153</v>
      </c>
      <c r="BK75" s="395">
        <f t="shared" si="59"/>
        <v>12145153</v>
      </c>
      <c r="BL75" s="395">
        <f t="shared" si="59"/>
        <v>12145153</v>
      </c>
      <c r="BM75" s="395">
        <f t="shared" si="59"/>
        <v>12145153</v>
      </c>
      <c r="BN75" s="395">
        <f t="shared" si="59"/>
        <v>12145153</v>
      </c>
      <c r="BO75" s="395">
        <f t="shared" si="59"/>
        <v>12145153</v>
      </c>
      <c r="BP75" s="395">
        <f t="shared" si="59"/>
        <v>12145153</v>
      </c>
      <c r="BQ75" s="395">
        <f t="shared" si="59"/>
        <v>12145153</v>
      </c>
      <c r="BR75" s="395">
        <f t="shared" si="59"/>
        <v>12145153</v>
      </c>
      <c r="BS75" s="395">
        <f t="shared" si="59"/>
        <v>12145153</v>
      </c>
      <c r="BT75" s="395">
        <f t="shared" si="59"/>
        <v>12145153</v>
      </c>
      <c r="BU75" s="395">
        <f t="shared" si="59"/>
        <v>12145153</v>
      </c>
      <c r="BV75" s="395">
        <f t="shared" si="59"/>
        <v>12145153</v>
      </c>
      <c r="BW75" s="395">
        <f t="shared" ref="BW75:CO75" si="60">BV78</f>
        <v>12145153</v>
      </c>
      <c r="BX75" s="395">
        <f t="shared" si="60"/>
        <v>12145153</v>
      </c>
      <c r="BY75" s="395">
        <f t="shared" si="60"/>
        <v>12145153</v>
      </c>
      <c r="BZ75" s="395">
        <f t="shared" si="60"/>
        <v>12145153</v>
      </c>
      <c r="CA75" s="395">
        <f t="shared" si="60"/>
        <v>12145153</v>
      </c>
      <c r="CB75" s="395">
        <f t="shared" si="60"/>
        <v>12145153</v>
      </c>
      <c r="CC75" s="395">
        <f t="shared" si="60"/>
        <v>12145153</v>
      </c>
      <c r="CD75" s="395">
        <f t="shared" si="60"/>
        <v>12145153</v>
      </c>
      <c r="CE75" s="395">
        <f t="shared" si="60"/>
        <v>12145153</v>
      </c>
      <c r="CF75" s="395">
        <f t="shared" si="60"/>
        <v>12145153</v>
      </c>
      <c r="CG75" s="395">
        <f t="shared" si="60"/>
        <v>12145153</v>
      </c>
      <c r="CH75" s="395">
        <f t="shared" si="60"/>
        <v>12145153</v>
      </c>
      <c r="CI75" s="395">
        <f t="shared" si="60"/>
        <v>12145153</v>
      </c>
      <c r="CJ75" s="395">
        <f t="shared" si="60"/>
        <v>12145153</v>
      </c>
      <c r="CK75" s="395">
        <f t="shared" si="60"/>
        <v>12145153</v>
      </c>
      <c r="CL75" s="395">
        <f t="shared" si="60"/>
        <v>12145153</v>
      </c>
      <c r="CM75" s="395">
        <f t="shared" si="60"/>
        <v>12145153</v>
      </c>
      <c r="CN75" s="395">
        <f t="shared" si="60"/>
        <v>12145153</v>
      </c>
      <c r="CO75" s="395">
        <f t="shared" si="60"/>
        <v>12145153</v>
      </c>
      <c r="CP75" s="133" t="s">
        <v>15</v>
      </c>
    </row>
    <row r="76" spans="2:94" ht="15" customHeight="1" x14ac:dyDescent="0.2">
      <c r="B76" s="136">
        <f>SUM(I76:CO76)</f>
        <v>7917716.8284022575</v>
      </c>
      <c r="D76" s="259" t="s">
        <v>194</v>
      </c>
      <c r="E76" s="269"/>
      <c r="F76" s="133" t="str">
        <f>"Funding at "&amp;TEXT(CommonEquityWeight,"0%")</f>
        <v>Funding at 45%</v>
      </c>
      <c r="I76" s="395">
        <f t="shared" ref="I76:AN76" si="61">MIN(-SUM(I39:I40)*CommonEquityWeight,CommonEquityOBalance-I75)</f>
        <v>3678850.7556428574</v>
      </c>
      <c r="J76" s="395">
        <f t="shared" si="61"/>
        <v>140145.64778571425</v>
      </c>
      <c r="K76" s="395">
        <f t="shared" si="61"/>
        <v>140145.64778571425</v>
      </c>
      <c r="L76" s="395">
        <f t="shared" si="61"/>
        <v>150648.55778571428</v>
      </c>
      <c r="M76" s="395">
        <f t="shared" si="61"/>
        <v>142771.37528571425</v>
      </c>
      <c r="N76" s="395">
        <f t="shared" si="61"/>
        <v>120715.26428571428</v>
      </c>
      <c r="O76" s="395">
        <f t="shared" si="61"/>
        <v>205040.06323308271</v>
      </c>
      <c r="P76" s="395">
        <f t="shared" si="61"/>
        <v>313745.18173308269</v>
      </c>
      <c r="Q76" s="395">
        <f t="shared" si="61"/>
        <v>313745.18173308269</v>
      </c>
      <c r="R76" s="395">
        <f t="shared" si="61"/>
        <v>313745.18173308269</v>
      </c>
      <c r="S76" s="395">
        <f t="shared" si="61"/>
        <v>313745.18173308269</v>
      </c>
      <c r="T76" s="395">
        <f t="shared" si="61"/>
        <v>313745.18173308269</v>
      </c>
      <c r="U76" s="395">
        <f t="shared" si="61"/>
        <v>313745.18173308269</v>
      </c>
      <c r="V76" s="395">
        <f t="shared" si="61"/>
        <v>483892.32373308268</v>
      </c>
      <c r="W76" s="395">
        <f t="shared" si="61"/>
        <v>536406.87373308279</v>
      </c>
      <c r="X76" s="395">
        <f t="shared" si="61"/>
        <v>436629.22873308271</v>
      </c>
      <c r="Y76" s="395">
        <f t="shared" si="61"/>
        <v>0</v>
      </c>
      <c r="Z76" s="395">
        <f t="shared" si="61"/>
        <v>0</v>
      </c>
      <c r="AA76" s="395">
        <f t="shared" si="61"/>
        <v>0</v>
      </c>
      <c r="AB76" s="395">
        <f t="shared" si="61"/>
        <v>0</v>
      </c>
      <c r="AC76" s="395">
        <f t="shared" si="61"/>
        <v>0</v>
      </c>
      <c r="AD76" s="395">
        <f t="shared" si="61"/>
        <v>0</v>
      </c>
      <c r="AE76" s="395">
        <f t="shared" si="61"/>
        <v>0</v>
      </c>
      <c r="AF76" s="395">
        <f t="shared" si="61"/>
        <v>0</v>
      </c>
      <c r="AG76" s="395">
        <f t="shared" si="61"/>
        <v>0</v>
      </c>
      <c r="AH76" s="395">
        <f t="shared" si="61"/>
        <v>0</v>
      </c>
      <c r="AI76" s="395">
        <f t="shared" si="61"/>
        <v>0</v>
      </c>
      <c r="AJ76" s="395">
        <f t="shared" si="61"/>
        <v>0</v>
      </c>
      <c r="AK76" s="395">
        <f t="shared" si="61"/>
        <v>0</v>
      </c>
      <c r="AL76" s="395">
        <f t="shared" si="61"/>
        <v>0</v>
      </c>
      <c r="AM76" s="395">
        <f t="shared" si="61"/>
        <v>0</v>
      </c>
      <c r="AN76" s="395">
        <f t="shared" si="61"/>
        <v>0</v>
      </c>
      <c r="AO76" s="395">
        <f t="shared" ref="AO76:BT76" si="62">MIN(-SUM(AO39:AO40)*CommonEquityWeight,CommonEquityOBalance-AO75)</f>
        <v>0</v>
      </c>
      <c r="AP76" s="395">
        <f t="shared" si="62"/>
        <v>0</v>
      </c>
      <c r="AQ76" s="395">
        <f t="shared" si="62"/>
        <v>0</v>
      </c>
      <c r="AR76" s="395">
        <f t="shared" si="62"/>
        <v>0</v>
      </c>
      <c r="AS76" s="395">
        <f t="shared" si="62"/>
        <v>0</v>
      </c>
      <c r="AT76" s="395">
        <f t="shared" si="62"/>
        <v>0</v>
      </c>
      <c r="AU76" s="395">
        <f t="shared" si="62"/>
        <v>0</v>
      </c>
      <c r="AV76" s="395">
        <f t="shared" si="62"/>
        <v>0</v>
      </c>
      <c r="AW76" s="395">
        <f t="shared" si="62"/>
        <v>0</v>
      </c>
      <c r="AX76" s="395">
        <f t="shared" si="62"/>
        <v>0</v>
      </c>
      <c r="AY76" s="395">
        <f t="shared" si="62"/>
        <v>0</v>
      </c>
      <c r="AZ76" s="395">
        <f t="shared" si="62"/>
        <v>0</v>
      </c>
      <c r="BA76" s="395">
        <f t="shared" si="62"/>
        <v>0</v>
      </c>
      <c r="BB76" s="395">
        <f t="shared" si="62"/>
        <v>0</v>
      </c>
      <c r="BC76" s="395">
        <f t="shared" si="62"/>
        <v>0</v>
      </c>
      <c r="BD76" s="395">
        <f t="shared" si="62"/>
        <v>0</v>
      </c>
      <c r="BE76" s="395">
        <f t="shared" si="62"/>
        <v>0</v>
      </c>
      <c r="BF76" s="395">
        <f t="shared" si="62"/>
        <v>0</v>
      </c>
      <c r="BG76" s="395">
        <f t="shared" si="62"/>
        <v>0</v>
      </c>
      <c r="BH76" s="395">
        <f t="shared" si="62"/>
        <v>0</v>
      </c>
      <c r="BI76" s="395">
        <f t="shared" si="62"/>
        <v>0</v>
      </c>
      <c r="BJ76" s="395">
        <f t="shared" si="62"/>
        <v>0</v>
      </c>
      <c r="BK76" s="395">
        <f t="shared" si="62"/>
        <v>0</v>
      </c>
      <c r="BL76" s="395">
        <f t="shared" si="62"/>
        <v>0</v>
      </c>
      <c r="BM76" s="395">
        <f t="shared" si="62"/>
        <v>0</v>
      </c>
      <c r="BN76" s="395">
        <f t="shared" si="62"/>
        <v>0</v>
      </c>
      <c r="BO76" s="395">
        <f t="shared" si="62"/>
        <v>0</v>
      </c>
      <c r="BP76" s="395">
        <f t="shared" si="62"/>
        <v>0</v>
      </c>
      <c r="BQ76" s="395">
        <f t="shared" si="62"/>
        <v>0</v>
      </c>
      <c r="BR76" s="395">
        <f t="shared" si="62"/>
        <v>0</v>
      </c>
      <c r="BS76" s="395">
        <f t="shared" si="62"/>
        <v>0</v>
      </c>
      <c r="BT76" s="395">
        <f t="shared" si="62"/>
        <v>0</v>
      </c>
      <c r="BU76" s="395">
        <f t="shared" ref="BU76:CO76" si="63">MIN(-SUM(BU39:BU40)*CommonEquityWeight,CommonEquityOBalance-BU75)</f>
        <v>0</v>
      </c>
      <c r="BV76" s="395">
        <f t="shared" si="63"/>
        <v>0</v>
      </c>
      <c r="BW76" s="395">
        <f t="shared" si="63"/>
        <v>0</v>
      </c>
      <c r="BX76" s="395">
        <f t="shared" si="63"/>
        <v>0</v>
      </c>
      <c r="BY76" s="395">
        <f t="shared" si="63"/>
        <v>0</v>
      </c>
      <c r="BZ76" s="395">
        <f t="shared" si="63"/>
        <v>0</v>
      </c>
      <c r="CA76" s="395">
        <f t="shared" si="63"/>
        <v>0</v>
      </c>
      <c r="CB76" s="395">
        <f t="shared" si="63"/>
        <v>0</v>
      </c>
      <c r="CC76" s="395">
        <f t="shared" si="63"/>
        <v>0</v>
      </c>
      <c r="CD76" s="395">
        <f t="shared" si="63"/>
        <v>0</v>
      </c>
      <c r="CE76" s="395">
        <f t="shared" si="63"/>
        <v>0</v>
      </c>
      <c r="CF76" s="395">
        <f t="shared" si="63"/>
        <v>0</v>
      </c>
      <c r="CG76" s="395">
        <f t="shared" si="63"/>
        <v>0</v>
      </c>
      <c r="CH76" s="395">
        <f t="shared" si="63"/>
        <v>0</v>
      </c>
      <c r="CI76" s="395">
        <f t="shared" si="63"/>
        <v>0</v>
      </c>
      <c r="CJ76" s="395">
        <f t="shared" si="63"/>
        <v>0</v>
      </c>
      <c r="CK76" s="395">
        <f t="shared" si="63"/>
        <v>0</v>
      </c>
      <c r="CL76" s="395">
        <f t="shared" si="63"/>
        <v>0</v>
      </c>
      <c r="CM76" s="395">
        <f t="shared" si="63"/>
        <v>0</v>
      </c>
      <c r="CN76" s="395">
        <f t="shared" si="63"/>
        <v>0</v>
      </c>
      <c r="CO76" s="395">
        <f t="shared" si="63"/>
        <v>0</v>
      </c>
      <c r="CP76" s="133" t="s">
        <v>15</v>
      </c>
    </row>
    <row r="77" spans="2:94" ht="15" customHeight="1" x14ac:dyDescent="0.2">
      <c r="B77" s="136"/>
      <c r="D77" s="259"/>
      <c r="E77" s="269"/>
      <c r="F77" s="133" t="s">
        <v>322</v>
      </c>
      <c r="I77" s="395">
        <f t="shared" ref="I77:AN77" si="64">MIN(-SUM(I39:I40)-I76-I83,CommonEquityOBalance-SUM(I75:I76))</f>
        <v>0</v>
      </c>
      <c r="J77" s="395">
        <f t="shared" si="64"/>
        <v>0</v>
      </c>
      <c r="K77" s="395">
        <f t="shared" si="64"/>
        <v>0</v>
      </c>
      <c r="L77" s="395">
        <f t="shared" si="64"/>
        <v>23077.411000000488</v>
      </c>
      <c r="M77" s="395">
        <f t="shared" si="64"/>
        <v>174498.34757142855</v>
      </c>
      <c r="N77" s="395">
        <f t="shared" si="64"/>
        <v>147540.87857142856</v>
      </c>
      <c r="O77" s="395">
        <f t="shared" si="64"/>
        <v>250604.52172932331</v>
      </c>
      <c r="P77" s="395">
        <f t="shared" si="64"/>
        <v>383466.33322932333</v>
      </c>
      <c r="Q77" s="395">
        <f t="shared" si="64"/>
        <v>383466.33322932333</v>
      </c>
      <c r="R77" s="395">
        <f t="shared" si="64"/>
        <v>383466.33322932333</v>
      </c>
      <c r="S77" s="395">
        <f t="shared" si="64"/>
        <v>383466.33322932333</v>
      </c>
      <c r="T77" s="395">
        <f t="shared" si="64"/>
        <v>383466.33322932333</v>
      </c>
      <c r="U77" s="395">
        <f t="shared" si="64"/>
        <v>383466.33322932333</v>
      </c>
      <c r="V77" s="395">
        <f t="shared" si="64"/>
        <v>591423.95122932317</v>
      </c>
      <c r="W77" s="395">
        <f t="shared" si="64"/>
        <v>655608.40122932335</v>
      </c>
      <c r="X77" s="395">
        <f t="shared" si="64"/>
        <v>83884.660890975967</v>
      </c>
      <c r="Y77" s="395">
        <f t="shared" si="64"/>
        <v>0</v>
      </c>
      <c r="Z77" s="395">
        <f t="shared" si="64"/>
        <v>0</v>
      </c>
      <c r="AA77" s="395">
        <f t="shared" si="64"/>
        <v>0</v>
      </c>
      <c r="AB77" s="395">
        <f t="shared" si="64"/>
        <v>0</v>
      </c>
      <c r="AC77" s="395">
        <f t="shared" si="64"/>
        <v>0</v>
      </c>
      <c r="AD77" s="395">
        <f t="shared" si="64"/>
        <v>0</v>
      </c>
      <c r="AE77" s="395">
        <f t="shared" si="64"/>
        <v>0</v>
      </c>
      <c r="AF77" s="395">
        <f t="shared" si="64"/>
        <v>0</v>
      </c>
      <c r="AG77" s="395">
        <f t="shared" si="64"/>
        <v>0</v>
      </c>
      <c r="AH77" s="395">
        <f t="shared" si="64"/>
        <v>0</v>
      </c>
      <c r="AI77" s="395">
        <f t="shared" si="64"/>
        <v>0</v>
      </c>
      <c r="AJ77" s="395">
        <f t="shared" si="64"/>
        <v>0</v>
      </c>
      <c r="AK77" s="395">
        <f t="shared" si="64"/>
        <v>0</v>
      </c>
      <c r="AL77" s="395">
        <f t="shared" si="64"/>
        <v>0</v>
      </c>
      <c r="AM77" s="395">
        <f t="shared" si="64"/>
        <v>0</v>
      </c>
      <c r="AN77" s="395">
        <f t="shared" si="64"/>
        <v>0</v>
      </c>
      <c r="AO77" s="395">
        <f t="shared" ref="AO77:BT77" si="65">MIN(-SUM(AO39:AO40)-AO76-AO83,CommonEquityOBalance-SUM(AO75:AO76))</f>
        <v>0</v>
      </c>
      <c r="AP77" s="395">
        <f t="shared" si="65"/>
        <v>0</v>
      </c>
      <c r="AQ77" s="395">
        <f t="shared" si="65"/>
        <v>0</v>
      </c>
      <c r="AR77" s="395">
        <f t="shared" si="65"/>
        <v>0</v>
      </c>
      <c r="AS77" s="395">
        <f t="shared" si="65"/>
        <v>0</v>
      </c>
      <c r="AT77" s="395">
        <f t="shared" si="65"/>
        <v>0</v>
      </c>
      <c r="AU77" s="395">
        <f t="shared" si="65"/>
        <v>0</v>
      </c>
      <c r="AV77" s="395">
        <f t="shared" si="65"/>
        <v>0</v>
      </c>
      <c r="AW77" s="395">
        <f t="shared" si="65"/>
        <v>0</v>
      </c>
      <c r="AX77" s="395">
        <f t="shared" si="65"/>
        <v>0</v>
      </c>
      <c r="AY77" s="395">
        <f t="shared" si="65"/>
        <v>0</v>
      </c>
      <c r="AZ77" s="395">
        <f t="shared" si="65"/>
        <v>0</v>
      </c>
      <c r="BA77" s="395">
        <f t="shared" si="65"/>
        <v>0</v>
      </c>
      <c r="BB77" s="395">
        <f t="shared" si="65"/>
        <v>0</v>
      </c>
      <c r="BC77" s="395">
        <f t="shared" si="65"/>
        <v>0</v>
      </c>
      <c r="BD77" s="395">
        <f t="shared" si="65"/>
        <v>0</v>
      </c>
      <c r="BE77" s="395">
        <f t="shared" si="65"/>
        <v>0</v>
      </c>
      <c r="BF77" s="395">
        <f t="shared" si="65"/>
        <v>0</v>
      </c>
      <c r="BG77" s="395">
        <f t="shared" si="65"/>
        <v>0</v>
      </c>
      <c r="BH77" s="395">
        <f t="shared" si="65"/>
        <v>0</v>
      </c>
      <c r="BI77" s="395">
        <f t="shared" si="65"/>
        <v>0</v>
      </c>
      <c r="BJ77" s="395">
        <f t="shared" si="65"/>
        <v>0</v>
      </c>
      <c r="BK77" s="395">
        <f t="shared" si="65"/>
        <v>0</v>
      </c>
      <c r="BL77" s="395">
        <f t="shared" si="65"/>
        <v>0</v>
      </c>
      <c r="BM77" s="395">
        <f t="shared" si="65"/>
        <v>0</v>
      </c>
      <c r="BN77" s="395">
        <f t="shared" si="65"/>
        <v>0</v>
      </c>
      <c r="BO77" s="395">
        <f t="shared" si="65"/>
        <v>0</v>
      </c>
      <c r="BP77" s="395">
        <f t="shared" si="65"/>
        <v>0</v>
      </c>
      <c r="BQ77" s="395">
        <f t="shared" si="65"/>
        <v>0</v>
      </c>
      <c r="BR77" s="395">
        <f t="shared" si="65"/>
        <v>0</v>
      </c>
      <c r="BS77" s="395">
        <f t="shared" si="65"/>
        <v>0</v>
      </c>
      <c r="BT77" s="395">
        <f t="shared" si="65"/>
        <v>0</v>
      </c>
      <c r="BU77" s="395">
        <f t="shared" ref="BU77:CO77" si="66">MIN(-SUM(BU39:BU40)-BU76-BU83,CommonEquityOBalance-SUM(BU75:BU76))</f>
        <v>0</v>
      </c>
      <c r="BV77" s="395">
        <f t="shared" si="66"/>
        <v>0</v>
      </c>
      <c r="BW77" s="395">
        <f t="shared" si="66"/>
        <v>0</v>
      </c>
      <c r="BX77" s="395">
        <f t="shared" si="66"/>
        <v>0</v>
      </c>
      <c r="BY77" s="395">
        <f t="shared" si="66"/>
        <v>0</v>
      </c>
      <c r="BZ77" s="395">
        <f t="shared" si="66"/>
        <v>0</v>
      </c>
      <c r="CA77" s="395">
        <f t="shared" si="66"/>
        <v>0</v>
      </c>
      <c r="CB77" s="395">
        <f t="shared" si="66"/>
        <v>0</v>
      </c>
      <c r="CC77" s="395">
        <f t="shared" si="66"/>
        <v>0</v>
      </c>
      <c r="CD77" s="395">
        <f t="shared" si="66"/>
        <v>0</v>
      </c>
      <c r="CE77" s="395">
        <f t="shared" si="66"/>
        <v>0</v>
      </c>
      <c r="CF77" s="395">
        <f t="shared" si="66"/>
        <v>0</v>
      </c>
      <c r="CG77" s="395">
        <f t="shared" si="66"/>
        <v>0</v>
      </c>
      <c r="CH77" s="395">
        <f t="shared" si="66"/>
        <v>0</v>
      </c>
      <c r="CI77" s="395">
        <f t="shared" si="66"/>
        <v>0</v>
      </c>
      <c r="CJ77" s="395">
        <f t="shared" si="66"/>
        <v>0</v>
      </c>
      <c r="CK77" s="395">
        <f t="shared" si="66"/>
        <v>0</v>
      </c>
      <c r="CL77" s="395">
        <f t="shared" si="66"/>
        <v>0</v>
      </c>
      <c r="CM77" s="395">
        <f t="shared" si="66"/>
        <v>0</v>
      </c>
      <c r="CN77" s="395">
        <f t="shared" si="66"/>
        <v>0</v>
      </c>
      <c r="CO77" s="395">
        <f t="shared" si="66"/>
        <v>0</v>
      </c>
      <c r="CP77" s="133" t="s">
        <v>15</v>
      </c>
    </row>
    <row r="78" spans="2:94" ht="15" customHeight="1" x14ac:dyDescent="0.2">
      <c r="B78" s="136">
        <f>SUM(B75:B76)</f>
        <v>7917716.8284022575</v>
      </c>
      <c r="D78" s="259"/>
      <c r="E78" s="269"/>
      <c r="F78" s="133" t="s">
        <v>224</v>
      </c>
      <c r="I78" s="395">
        <f>SUM(I75:I77)</f>
        <v>3678850.7556428574</v>
      </c>
      <c r="J78" s="395">
        <f t="shared" ref="J78:BU78" si="67">SUM(J75:J77)</f>
        <v>3818996.4034285718</v>
      </c>
      <c r="K78" s="395">
        <f t="shared" si="67"/>
        <v>3959142.0512142861</v>
      </c>
      <c r="L78" s="395">
        <f t="shared" si="67"/>
        <v>4132868.0200000005</v>
      </c>
      <c r="M78" s="395">
        <f t="shared" si="67"/>
        <v>4450137.7428571433</v>
      </c>
      <c r="N78" s="395">
        <f t="shared" si="67"/>
        <v>4718393.885714286</v>
      </c>
      <c r="O78" s="395">
        <f t="shared" si="67"/>
        <v>5174038.4706766922</v>
      </c>
      <c r="P78" s="395">
        <f t="shared" si="67"/>
        <v>5871249.9856390981</v>
      </c>
      <c r="Q78" s="395">
        <f t="shared" si="67"/>
        <v>6568461.500601504</v>
      </c>
      <c r="R78" s="395">
        <f t="shared" si="67"/>
        <v>7265673.0155639099</v>
      </c>
      <c r="S78" s="395">
        <f t="shared" si="67"/>
        <v>7962884.5305263158</v>
      </c>
      <c r="T78" s="395">
        <f t="shared" si="67"/>
        <v>8660096.0454887226</v>
      </c>
      <c r="U78" s="395">
        <f t="shared" si="67"/>
        <v>9357307.5604511295</v>
      </c>
      <c r="V78" s="395">
        <f t="shared" si="67"/>
        <v>10432623.835413534</v>
      </c>
      <c r="W78" s="395">
        <f t="shared" si="67"/>
        <v>11624639.110375941</v>
      </c>
      <c r="X78" s="395">
        <f t="shared" si="67"/>
        <v>12145153</v>
      </c>
      <c r="Y78" s="395">
        <f t="shared" si="67"/>
        <v>12145153</v>
      </c>
      <c r="Z78" s="395">
        <f t="shared" si="67"/>
        <v>12145153</v>
      </c>
      <c r="AA78" s="395">
        <f t="shared" si="67"/>
        <v>12145153</v>
      </c>
      <c r="AB78" s="395">
        <f t="shared" si="67"/>
        <v>12145153</v>
      </c>
      <c r="AC78" s="395">
        <f t="shared" si="67"/>
        <v>12145153</v>
      </c>
      <c r="AD78" s="395">
        <f t="shared" si="67"/>
        <v>12145153</v>
      </c>
      <c r="AE78" s="395">
        <f t="shared" si="67"/>
        <v>12145153</v>
      </c>
      <c r="AF78" s="395">
        <f t="shared" si="67"/>
        <v>12145153</v>
      </c>
      <c r="AG78" s="395">
        <f t="shared" si="67"/>
        <v>12145153</v>
      </c>
      <c r="AH78" s="395">
        <f t="shared" si="67"/>
        <v>12145153</v>
      </c>
      <c r="AI78" s="395">
        <f t="shared" si="67"/>
        <v>12145153</v>
      </c>
      <c r="AJ78" s="395">
        <f t="shared" si="67"/>
        <v>12145153</v>
      </c>
      <c r="AK78" s="395">
        <f t="shared" si="67"/>
        <v>12145153</v>
      </c>
      <c r="AL78" s="395">
        <f t="shared" si="67"/>
        <v>12145153</v>
      </c>
      <c r="AM78" s="395">
        <f t="shared" si="67"/>
        <v>12145153</v>
      </c>
      <c r="AN78" s="395">
        <f t="shared" si="67"/>
        <v>12145153</v>
      </c>
      <c r="AO78" s="395">
        <f t="shared" si="67"/>
        <v>12145153</v>
      </c>
      <c r="AP78" s="395">
        <f t="shared" si="67"/>
        <v>12145153</v>
      </c>
      <c r="AQ78" s="395">
        <f t="shared" si="67"/>
        <v>12145153</v>
      </c>
      <c r="AR78" s="395">
        <f t="shared" si="67"/>
        <v>12145153</v>
      </c>
      <c r="AS78" s="395">
        <f t="shared" si="67"/>
        <v>12145153</v>
      </c>
      <c r="AT78" s="395">
        <f t="shared" si="67"/>
        <v>12145153</v>
      </c>
      <c r="AU78" s="395">
        <f t="shared" si="67"/>
        <v>12145153</v>
      </c>
      <c r="AV78" s="395">
        <f t="shared" si="67"/>
        <v>12145153</v>
      </c>
      <c r="AW78" s="395">
        <f t="shared" si="67"/>
        <v>12145153</v>
      </c>
      <c r="AX78" s="395">
        <f t="shared" si="67"/>
        <v>12145153</v>
      </c>
      <c r="AY78" s="395">
        <f t="shared" si="67"/>
        <v>12145153</v>
      </c>
      <c r="AZ78" s="395">
        <f t="shared" si="67"/>
        <v>12145153</v>
      </c>
      <c r="BA78" s="395">
        <f t="shared" si="67"/>
        <v>12145153</v>
      </c>
      <c r="BB78" s="395">
        <f t="shared" si="67"/>
        <v>12145153</v>
      </c>
      <c r="BC78" s="395">
        <f t="shared" si="67"/>
        <v>12145153</v>
      </c>
      <c r="BD78" s="395">
        <f t="shared" si="67"/>
        <v>12145153</v>
      </c>
      <c r="BE78" s="395">
        <f t="shared" si="67"/>
        <v>12145153</v>
      </c>
      <c r="BF78" s="395">
        <f t="shared" si="67"/>
        <v>12145153</v>
      </c>
      <c r="BG78" s="395">
        <f t="shared" si="67"/>
        <v>12145153</v>
      </c>
      <c r="BH78" s="395">
        <f t="shared" si="67"/>
        <v>12145153</v>
      </c>
      <c r="BI78" s="395">
        <f t="shared" si="67"/>
        <v>12145153</v>
      </c>
      <c r="BJ78" s="395">
        <f t="shared" si="67"/>
        <v>12145153</v>
      </c>
      <c r="BK78" s="395">
        <f t="shared" si="67"/>
        <v>12145153</v>
      </c>
      <c r="BL78" s="395">
        <f t="shared" si="67"/>
        <v>12145153</v>
      </c>
      <c r="BM78" s="395">
        <f t="shared" si="67"/>
        <v>12145153</v>
      </c>
      <c r="BN78" s="395">
        <f t="shared" si="67"/>
        <v>12145153</v>
      </c>
      <c r="BO78" s="395">
        <f t="shared" si="67"/>
        <v>12145153</v>
      </c>
      <c r="BP78" s="395">
        <f t="shared" si="67"/>
        <v>12145153</v>
      </c>
      <c r="BQ78" s="395">
        <f t="shared" si="67"/>
        <v>12145153</v>
      </c>
      <c r="BR78" s="395">
        <f t="shared" si="67"/>
        <v>12145153</v>
      </c>
      <c r="BS78" s="395">
        <f t="shared" si="67"/>
        <v>12145153</v>
      </c>
      <c r="BT78" s="395">
        <f t="shared" si="67"/>
        <v>12145153</v>
      </c>
      <c r="BU78" s="395">
        <f t="shared" si="67"/>
        <v>12145153</v>
      </c>
      <c r="BV78" s="395">
        <f t="shared" ref="BV78:CO78" si="68">SUM(BV75:BV77)</f>
        <v>12145153</v>
      </c>
      <c r="BW78" s="395">
        <f t="shared" si="68"/>
        <v>12145153</v>
      </c>
      <c r="BX78" s="395">
        <f t="shared" si="68"/>
        <v>12145153</v>
      </c>
      <c r="BY78" s="395">
        <f t="shared" si="68"/>
        <v>12145153</v>
      </c>
      <c r="BZ78" s="395">
        <f t="shared" si="68"/>
        <v>12145153</v>
      </c>
      <c r="CA78" s="395">
        <f t="shared" si="68"/>
        <v>12145153</v>
      </c>
      <c r="CB78" s="395">
        <f t="shared" si="68"/>
        <v>12145153</v>
      </c>
      <c r="CC78" s="395">
        <f t="shared" si="68"/>
        <v>12145153</v>
      </c>
      <c r="CD78" s="395">
        <f t="shared" si="68"/>
        <v>12145153</v>
      </c>
      <c r="CE78" s="395">
        <f t="shared" si="68"/>
        <v>12145153</v>
      </c>
      <c r="CF78" s="395">
        <f t="shared" si="68"/>
        <v>12145153</v>
      </c>
      <c r="CG78" s="395">
        <f t="shared" si="68"/>
        <v>12145153</v>
      </c>
      <c r="CH78" s="395">
        <f t="shared" si="68"/>
        <v>12145153</v>
      </c>
      <c r="CI78" s="395">
        <f t="shared" si="68"/>
        <v>12145153</v>
      </c>
      <c r="CJ78" s="395">
        <f t="shared" si="68"/>
        <v>12145153</v>
      </c>
      <c r="CK78" s="395">
        <f t="shared" si="68"/>
        <v>12145153</v>
      </c>
      <c r="CL78" s="395">
        <f t="shared" si="68"/>
        <v>12145153</v>
      </c>
      <c r="CM78" s="395">
        <f t="shared" si="68"/>
        <v>12145153</v>
      </c>
      <c r="CN78" s="395">
        <f t="shared" si="68"/>
        <v>12145153</v>
      </c>
      <c r="CO78" s="395">
        <f t="shared" si="68"/>
        <v>12145153</v>
      </c>
      <c r="CP78" s="133" t="s">
        <v>15</v>
      </c>
    </row>
    <row r="79" spans="2:94" ht="15" customHeight="1" x14ac:dyDescent="0.2">
      <c r="D79" s="259"/>
      <c r="E79" s="269"/>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row>
    <row r="80" spans="2:94" ht="15" customHeight="1" x14ac:dyDescent="0.25">
      <c r="D80" s="259"/>
      <c r="E80" s="269"/>
      <c r="F80" s="146" t="s">
        <v>154</v>
      </c>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row>
    <row r="81" spans="2:94" ht="15" customHeight="1" x14ac:dyDescent="0.2">
      <c r="D81" s="259"/>
      <c r="E81" s="269"/>
      <c r="F81" s="133" t="s">
        <v>222</v>
      </c>
      <c r="I81" s="395">
        <f>H85</f>
        <v>0</v>
      </c>
      <c r="J81" s="395">
        <f t="shared" ref="J81:BU81" ca="1" si="69">I85</f>
        <v>4496373.1457857145</v>
      </c>
      <c r="K81" s="395">
        <f t="shared" ca="1" si="69"/>
        <v>4710327.4245941238</v>
      </c>
      <c r="L81" s="395">
        <f t="shared" ca="1" si="69"/>
        <v>4926311.8712516138</v>
      </c>
      <c r="M81" s="395">
        <f t="shared" ca="1" si="69"/>
        <v>5134105.2286005272</v>
      </c>
      <c r="N81" s="395">
        <f t="shared" ca="1" si="69"/>
        <v>5182821.6900190776</v>
      </c>
      <c r="O81" s="395">
        <f t="shared" ca="1" si="69"/>
        <v>5232000.4118525349</v>
      </c>
      <c r="P81" s="395">
        <f t="shared" ca="1" si="69"/>
        <v>5281645.780394257</v>
      </c>
      <c r="Q81" s="395">
        <f t="shared" ca="1" si="69"/>
        <v>5331762.2235582322</v>
      </c>
      <c r="R81" s="395">
        <f t="shared" ca="1" si="69"/>
        <v>5382354.2112740083</v>
      </c>
      <c r="S81" s="395">
        <f t="shared" ca="1" si="69"/>
        <v>5433426.2558853682</v>
      </c>
      <c r="T81" s="395">
        <f t="shared" ca="1" si="69"/>
        <v>5484982.9125527916</v>
      </c>
      <c r="U81" s="395">
        <f t="shared" ca="1" si="69"/>
        <v>5537028.7796597313</v>
      </c>
      <c r="V81" s="395">
        <f t="shared" ca="1" si="69"/>
        <v>5589568.4992227498</v>
      </c>
      <c r="W81" s="395">
        <f t="shared" ca="1" si="69"/>
        <v>5642606.7573055429</v>
      </c>
      <c r="X81" s="395">
        <f t="shared" ca="1" si="69"/>
        <v>5696148.2844368946</v>
      </c>
      <c r="Y81" s="395">
        <f t="shared" ca="1" si="69"/>
        <v>5750197.8560325969</v>
      </c>
      <c r="Z81" s="395">
        <f t="shared" ca="1" si="69"/>
        <v>5804760.2928213738</v>
      </c>
      <c r="AA81" s="395">
        <f t="shared" ca="1" si="69"/>
        <v>5859840.4612748455</v>
      </c>
      <c r="AB81" s="395">
        <f t="shared" ca="1" si="69"/>
        <v>5915443.2740415744</v>
      </c>
      <c r="AC81" s="395">
        <f t="shared" ca="1" si="69"/>
        <v>5971573.6903852271</v>
      </c>
      <c r="AD81" s="395">
        <f t="shared" ca="1" si="69"/>
        <v>6028236.7166268965</v>
      </c>
      <c r="AE81" s="395">
        <f t="shared" ca="1" si="69"/>
        <v>6085437.4065916203</v>
      </c>
      <c r="AF81" s="395">
        <f t="shared" ca="1" si="69"/>
        <v>6143180.8620591341</v>
      </c>
      <c r="AG81" s="395">
        <f t="shared" ca="1" si="69"/>
        <v>6201472.2332189064</v>
      </c>
      <c r="AH81" s="395">
        <f t="shared" ca="1" si="69"/>
        <v>6260316.7191294869</v>
      </c>
      <c r="AI81" s="395">
        <f t="shared" ca="1" si="69"/>
        <v>6052452.2618055306</v>
      </c>
      <c r="AJ81" s="395">
        <f t="shared" ca="1" si="69"/>
        <v>5838169.4998577759</v>
      </c>
      <c r="AK81" s="395">
        <f t="shared" ca="1" si="69"/>
        <v>5626583.9440040998</v>
      </c>
      <c r="AL81" s="395">
        <f t="shared" ca="1" si="69"/>
        <v>5411612.4174758252</v>
      </c>
      <c r="AM81" s="395">
        <f t="shared" ca="1" si="69"/>
        <v>5196263.5158849191</v>
      </c>
      <c r="AN81" s="395">
        <f t="shared" ca="1" si="69"/>
        <v>4977463.198457228</v>
      </c>
      <c r="AO81" s="395">
        <f t="shared" ca="1" si="69"/>
        <v>4758274.9823531266</v>
      </c>
      <c r="AP81" s="395">
        <f t="shared" ca="1" si="69"/>
        <v>4537130.4325715806</v>
      </c>
      <c r="AQ81" s="395">
        <f t="shared" ca="1" si="69"/>
        <v>4312468.8865976539</v>
      </c>
      <c r="AR81" s="395">
        <f t="shared" ca="1" si="69"/>
        <v>4087381.3631486939</v>
      </c>
      <c r="AS81" s="395">
        <f t="shared" ca="1" si="69"/>
        <v>3858730.9451792939</v>
      </c>
      <c r="AT81" s="395">
        <f t="shared" ca="1" si="69"/>
        <v>0</v>
      </c>
      <c r="AU81" s="395">
        <f t="shared" ca="1" si="69"/>
        <v>0</v>
      </c>
      <c r="AV81" s="395">
        <f t="shared" ca="1" si="69"/>
        <v>0</v>
      </c>
      <c r="AW81" s="395">
        <f t="shared" ca="1" si="69"/>
        <v>0</v>
      </c>
      <c r="AX81" s="395">
        <f t="shared" ca="1" si="69"/>
        <v>0</v>
      </c>
      <c r="AY81" s="395">
        <f t="shared" ca="1" si="69"/>
        <v>0</v>
      </c>
      <c r="AZ81" s="395">
        <f t="shared" ca="1" si="69"/>
        <v>0</v>
      </c>
      <c r="BA81" s="395">
        <f t="shared" ca="1" si="69"/>
        <v>0</v>
      </c>
      <c r="BB81" s="395">
        <f t="shared" ca="1" si="69"/>
        <v>0</v>
      </c>
      <c r="BC81" s="395">
        <f t="shared" ca="1" si="69"/>
        <v>0</v>
      </c>
      <c r="BD81" s="395">
        <f t="shared" ca="1" si="69"/>
        <v>0</v>
      </c>
      <c r="BE81" s="395">
        <f t="shared" ca="1" si="69"/>
        <v>0</v>
      </c>
      <c r="BF81" s="395">
        <f t="shared" ca="1" si="69"/>
        <v>0</v>
      </c>
      <c r="BG81" s="395">
        <f t="shared" ca="1" si="69"/>
        <v>0</v>
      </c>
      <c r="BH81" s="395">
        <f t="shared" ca="1" si="69"/>
        <v>0</v>
      </c>
      <c r="BI81" s="395">
        <f t="shared" ca="1" si="69"/>
        <v>0</v>
      </c>
      <c r="BJ81" s="395">
        <f t="shared" ca="1" si="69"/>
        <v>0</v>
      </c>
      <c r="BK81" s="395">
        <f t="shared" ca="1" si="69"/>
        <v>0</v>
      </c>
      <c r="BL81" s="395">
        <f t="shared" ca="1" si="69"/>
        <v>0</v>
      </c>
      <c r="BM81" s="395">
        <f t="shared" ca="1" si="69"/>
        <v>0</v>
      </c>
      <c r="BN81" s="395">
        <f t="shared" ca="1" si="69"/>
        <v>0</v>
      </c>
      <c r="BO81" s="395">
        <f t="shared" ca="1" si="69"/>
        <v>0</v>
      </c>
      <c r="BP81" s="395">
        <f t="shared" ca="1" si="69"/>
        <v>0</v>
      </c>
      <c r="BQ81" s="395">
        <f t="shared" ca="1" si="69"/>
        <v>0</v>
      </c>
      <c r="BR81" s="395">
        <f t="shared" ca="1" si="69"/>
        <v>0</v>
      </c>
      <c r="BS81" s="395">
        <f t="shared" ca="1" si="69"/>
        <v>0</v>
      </c>
      <c r="BT81" s="395">
        <f t="shared" ca="1" si="69"/>
        <v>0</v>
      </c>
      <c r="BU81" s="395">
        <f t="shared" ca="1" si="69"/>
        <v>0</v>
      </c>
      <c r="BV81" s="395">
        <f t="shared" ref="BV81:CO81" ca="1" si="70">BU85</f>
        <v>0</v>
      </c>
      <c r="BW81" s="395">
        <f t="shared" ca="1" si="70"/>
        <v>0</v>
      </c>
      <c r="BX81" s="395">
        <f t="shared" ca="1" si="70"/>
        <v>0</v>
      </c>
      <c r="BY81" s="395">
        <f t="shared" ca="1" si="70"/>
        <v>0</v>
      </c>
      <c r="BZ81" s="395">
        <f t="shared" ca="1" si="70"/>
        <v>0</v>
      </c>
      <c r="CA81" s="395">
        <f t="shared" ca="1" si="70"/>
        <v>0</v>
      </c>
      <c r="CB81" s="395">
        <f t="shared" ca="1" si="70"/>
        <v>0</v>
      </c>
      <c r="CC81" s="395">
        <f t="shared" ca="1" si="70"/>
        <v>0</v>
      </c>
      <c r="CD81" s="395">
        <f t="shared" ca="1" si="70"/>
        <v>0</v>
      </c>
      <c r="CE81" s="395">
        <f t="shared" ca="1" si="70"/>
        <v>0</v>
      </c>
      <c r="CF81" s="395">
        <f t="shared" ca="1" si="70"/>
        <v>0</v>
      </c>
      <c r="CG81" s="395">
        <f t="shared" ca="1" si="70"/>
        <v>0</v>
      </c>
      <c r="CH81" s="395">
        <f t="shared" ca="1" si="70"/>
        <v>0</v>
      </c>
      <c r="CI81" s="395">
        <f t="shared" ca="1" si="70"/>
        <v>0</v>
      </c>
      <c r="CJ81" s="395">
        <f t="shared" ca="1" si="70"/>
        <v>0</v>
      </c>
      <c r="CK81" s="395">
        <f t="shared" ca="1" si="70"/>
        <v>0</v>
      </c>
      <c r="CL81" s="395">
        <f t="shared" ca="1" si="70"/>
        <v>0</v>
      </c>
      <c r="CM81" s="395">
        <f t="shared" ca="1" si="70"/>
        <v>0</v>
      </c>
      <c r="CN81" s="395">
        <f t="shared" ca="1" si="70"/>
        <v>0</v>
      </c>
      <c r="CO81" s="395">
        <f t="shared" ca="1" si="70"/>
        <v>0</v>
      </c>
      <c r="CP81" s="133" t="s">
        <v>15</v>
      </c>
    </row>
    <row r="82" spans="2:94" ht="15" customHeight="1" x14ac:dyDescent="0.2">
      <c r="B82" s="136">
        <f ca="1">SUM(I82:CO82)</f>
        <v>1838344.0776085071</v>
      </c>
      <c r="C82" s="133" t="s">
        <v>225</v>
      </c>
      <c r="D82" s="259" t="s">
        <v>194</v>
      </c>
      <c r="E82" s="269"/>
      <c r="F82" s="133" t="s">
        <v>226</v>
      </c>
      <c r="G82" s="396">
        <f>(1+PreferredEquityReturn_Case2)^(1/12)-1</f>
        <v>9.4887929345830457E-3</v>
      </c>
      <c r="I82" s="395">
        <f>I81*$G$82</f>
        <v>0</v>
      </c>
      <c r="J82" s="395">
        <f t="shared" ref="J82:BU82" ca="1" si="71">J81*$G$82</f>
        <v>42665.153736980428</v>
      </c>
      <c r="K82" s="395">
        <f t="shared" ca="1" si="71"/>
        <v>44695.32158606148</v>
      </c>
      <c r="L82" s="395">
        <f t="shared" ca="1" si="71"/>
        <v>46744.753277484895</v>
      </c>
      <c r="M82" s="395">
        <f t="shared" ca="1" si="71"/>
        <v>48716.461418550556</v>
      </c>
      <c r="N82" s="395">
        <f t="shared" ca="1" si="71"/>
        <v>49178.721833456781</v>
      </c>
      <c r="O82" s="395">
        <f t="shared" ca="1" si="71"/>
        <v>49645.368541721917</v>
      </c>
      <c r="P82" s="395">
        <f t="shared" ca="1" si="71"/>
        <v>50116.443163975382</v>
      </c>
      <c r="Q82" s="395">
        <f t="shared" ca="1" si="71"/>
        <v>50591.987715776144</v>
      </c>
      <c r="R82" s="395">
        <f t="shared" ca="1" si="71"/>
        <v>51072.044611360114</v>
      </c>
      <c r="S82" s="395">
        <f t="shared" ca="1" si="71"/>
        <v>51556.656667423093</v>
      </c>
      <c r="T82" s="395">
        <f t="shared" ca="1" si="71"/>
        <v>52045.867106939666</v>
      </c>
      <c r="U82" s="395">
        <f t="shared" ca="1" si="71"/>
        <v>52539.71956301824</v>
      </c>
      <c r="V82" s="395">
        <f t="shared" ca="1" si="71"/>
        <v>53038.258082792789</v>
      </c>
      <c r="W82" s="395">
        <f t="shared" ca="1" si="71"/>
        <v>53541.527131351388</v>
      </c>
      <c r="X82" s="395">
        <f t="shared" ca="1" si="71"/>
        <v>54049.571595702146</v>
      </c>
      <c r="Y82" s="395">
        <f t="shared" ca="1" si="71"/>
        <v>54562.436788776686</v>
      </c>
      <c r="Z82" s="395">
        <f t="shared" ca="1" si="71"/>
        <v>55080.168453471662</v>
      </c>
      <c r="AA82" s="395">
        <f t="shared" ca="1" si="71"/>
        <v>55602.81276672861</v>
      </c>
      <c r="AB82" s="395">
        <f t="shared" ca="1" si="71"/>
        <v>56130.41634365249</v>
      </c>
      <c r="AC82" s="395">
        <f t="shared" ca="1" si="71"/>
        <v>56663.026241669344</v>
      </c>
      <c r="AD82" s="395">
        <f t="shared" ca="1" si="71"/>
        <v>57200.689964723395</v>
      </c>
      <c r="AE82" s="395">
        <f t="shared" ca="1" si="71"/>
        <v>57743.455467513937</v>
      </c>
      <c r="AF82" s="395">
        <f t="shared" ca="1" si="71"/>
        <v>58291.371159772498</v>
      </c>
      <c r="AG82" s="395">
        <f t="shared" ca="1" si="71"/>
        <v>58844.485910580501</v>
      </c>
      <c r="AH82" s="395">
        <f t="shared" ca="1" si="71"/>
        <v>59402.849052727986</v>
      </c>
      <c r="AI82" s="395">
        <f t="shared" ca="1" si="71"/>
        <v>57430.466258721492</v>
      </c>
      <c r="AJ82" s="395">
        <f t="shared" ca="1" si="71"/>
        <v>55397.181501148698</v>
      </c>
      <c r="AK82" s="395">
        <f t="shared" ca="1" si="71"/>
        <v>53389.489973704513</v>
      </c>
      <c r="AL82" s="395">
        <f t="shared" ca="1" si="71"/>
        <v>51349.669671646487</v>
      </c>
      <c r="AM82" s="395">
        <f t="shared" ca="1" si="71"/>
        <v>49306.268535760479</v>
      </c>
      <c r="AN82" s="395">
        <f t="shared" ca="1" si="71"/>
        <v>47230.117629668071</v>
      </c>
      <c r="AO82" s="395">
        <f t="shared" ca="1" si="71"/>
        <v>45150.286033355616</v>
      </c>
      <c r="AP82" s="395">
        <f t="shared" ca="1" si="71"/>
        <v>43051.891191866933</v>
      </c>
      <c r="AQ82" s="395">
        <f t="shared" ca="1" si="71"/>
        <v>40920.12430175703</v>
      </c>
      <c r="AR82" s="395">
        <f t="shared" ca="1" si="71"/>
        <v>38784.315399591746</v>
      </c>
      <c r="AS82" s="395">
        <f t="shared" ca="1" si="71"/>
        <v>36614.698929074242</v>
      </c>
      <c r="AT82" s="395">
        <f t="shared" ca="1" si="71"/>
        <v>0</v>
      </c>
      <c r="AU82" s="395">
        <f t="shared" ca="1" si="71"/>
        <v>0</v>
      </c>
      <c r="AV82" s="395">
        <f t="shared" ca="1" si="71"/>
        <v>0</v>
      </c>
      <c r="AW82" s="395">
        <f t="shared" ca="1" si="71"/>
        <v>0</v>
      </c>
      <c r="AX82" s="395">
        <f t="shared" ca="1" si="71"/>
        <v>0</v>
      </c>
      <c r="AY82" s="395">
        <f t="shared" ca="1" si="71"/>
        <v>0</v>
      </c>
      <c r="AZ82" s="395">
        <f t="shared" ca="1" si="71"/>
        <v>0</v>
      </c>
      <c r="BA82" s="395">
        <f t="shared" ca="1" si="71"/>
        <v>0</v>
      </c>
      <c r="BB82" s="395">
        <f t="shared" ca="1" si="71"/>
        <v>0</v>
      </c>
      <c r="BC82" s="395">
        <f t="shared" ca="1" si="71"/>
        <v>0</v>
      </c>
      <c r="BD82" s="395">
        <f t="shared" ca="1" si="71"/>
        <v>0</v>
      </c>
      <c r="BE82" s="395">
        <f t="shared" ca="1" si="71"/>
        <v>0</v>
      </c>
      <c r="BF82" s="395">
        <f t="shared" ca="1" si="71"/>
        <v>0</v>
      </c>
      <c r="BG82" s="395">
        <f t="shared" ca="1" si="71"/>
        <v>0</v>
      </c>
      <c r="BH82" s="395">
        <f t="shared" ca="1" si="71"/>
        <v>0</v>
      </c>
      <c r="BI82" s="395">
        <f t="shared" ca="1" si="71"/>
        <v>0</v>
      </c>
      <c r="BJ82" s="395">
        <f t="shared" ca="1" si="71"/>
        <v>0</v>
      </c>
      <c r="BK82" s="395">
        <f t="shared" ca="1" si="71"/>
        <v>0</v>
      </c>
      <c r="BL82" s="395">
        <f t="shared" ca="1" si="71"/>
        <v>0</v>
      </c>
      <c r="BM82" s="395">
        <f t="shared" ca="1" si="71"/>
        <v>0</v>
      </c>
      <c r="BN82" s="395">
        <f t="shared" ca="1" si="71"/>
        <v>0</v>
      </c>
      <c r="BO82" s="395">
        <f t="shared" ca="1" si="71"/>
        <v>0</v>
      </c>
      <c r="BP82" s="395">
        <f t="shared" ca="1" si="71"/>
        <v>0</v>
      </c>
      <c r="BQ82" s="395">
        <f t="shared" ca="1" si="71"/>
        <v>0</v>
      </c>
      <c r="BR82" s="395">
        <f t="shared" ca="1" si="71"/>
        <v>0</v>
      </c>
      <c r="BS82" s="395">
        <f t="shared" ca="1" si="71"/>
        <v>0</v>
      </c>
      <c r="BT82" s="395">
        <f t="shared" ca="1" si="71"/>
        <v>0</v>
      </c>
      <c r="BU82" s="395">
        <f t="shared" ca="1" si="71"/>
        <v>0</v>
      </c>
      <c r="BV82" s="395">
        <f t="shared" ref="BV82:CO82" ca="1" si="72">BV81*$G$82</f>
        <v>0</v>
      </c>
      <c r="BW82" s="395">
        <f t="shared" ca="1" si="72"/>
        <v>0</v>
      </c>
      <c r="BX82" s="395">
        <f t="shared" ca="1" si="72"/>
        <v>0</v>
      </c>
      <c r="BY82" s="395">
        <f t="shared" ca="1" si="72"/>
        <v>0</v>
      </c>
      <c r="BZ82" s="395">
        <f t="shared" ca="1" si="72"/>
        <v>0</v>
      </c>
      <c r="CA82" s="395">
        <f t="shared" ca="1" si="72"/>
        <v>0</v>
      </c>
      <c r="CB82" s="395">
        <f t="shared" ca="1" si="72"/>
        <v>0</v>
      </c>
      <c r="CC82" s="395">
        <f t="shared" ca="1" si="72"/>
        <v>0</v>
      </c>
      <c r="CD82" s="395">
        <f t="shared" ca="1" si="72"/>
        <v>0</v>
      </c>
      <c r="CE82" s="395">
        <f t="shared" ca="1" si="72"/>
        <v>0</v>
      </c>
      <c r="CF82" s="395">
        <f t="shared" ca="1" si="72"/>
        <v>0</v>
      </c>
      <c r="CG82" s="395">
        <f t="shared" ca="1" si="72"/>
        <v>0</v>
      </c>
      <c r="CH82" s="395">
        <f t="shared" ca="1" si="72"/>
        <v>0</v>
      </c>
      <c r="CI82" s="395">
        <f t="shared" ca="1" si="72"/>
        <v>0</v>
      </c>
      <c r="CJ82" s="395">
        <f t="shared" ca="1" si="72"/>
        <v>0</v>
      </c>
      <c r="CK82" s="395">
        <f t="shared" ca="1" si="72"/>
        <v>0</v>
      </c>
      <c r="CL82" s="395">
        <f t="shared" ca="1" si="72"/>
        <v>0</v>
      </c>
      <c r="CM82" s="395">
        <f t="shared" ca="1" si="72"/>
        <v>0</v>
      </c>
      <c r="CN82" s="395">
        <f t="shared" ca="1" si="72"/>
        <v>0</v>
      </c>
      <c r="CO82" s="395">
        <f t="shared" ca="1" si="72"/>
        <v>0</v>
      </c>
      <c r="CP82" s="133" t="s">
        <v>15</v>
      </c>
    </row>
    <row r="83" spans="2:94" ht="15" customHeight="1" x14ac:dyDescent="0.2">
      <c r="B83" s="136">
        <f>SUM(I83:CO83)</f>
        <v>5000000</v>
      </c>
      <c r="D83" s="259" t="s">
        <v>194</v>
      </c>
      <c r="E83" s="269"/>
      <c r="F83" s="133" t="s">
        <v>223</v>
      </c>
      <c r="I83" s="395">
        <f>MIN(-(SUM(I39:I40)+I76),PreferredEquityOBalance-SUM($H83:H83))</f>
        <v>4496373.1457857145</v>
      </c>
      <c r="J83" s="395">
        <f>MIN(-(SUM(J39:J40)+J76),PreferredEquityOBalance-SUM($H83:I83))</f>
        <v>171289.12507142854</v>
      </c>
      <c r="K83" s="395">
        <f>MIN(-(SUM(K39:K40)+K76),PreferredEquityOBalance-SUM($H83:J83))</f>
        <v>171289.12507142854</v>
      </c>
      <c r="L83" s="395">
        <f>MIN(-(SUM(L39:L40)+L76),PreferredEquityOBalance-SUM($H83:K83))</f>
        <v>161048.60407142807</v>
      </c>
      <c r="M83" s="395">
        <f>MIN(-(SUM(M39:M40)+M76),PreferredEquityOBalance-SUM($H83:L83))</f>
        <v>0</v>
      </c>
      <c r="N83" s="395">
        <f>MIN(-(SUM(N39:N40)+N76),PreferredEquityOBalance-SUM($H83:M83))</f>
        <v>0</v>
      </c>
      <c r="O83" s="395">
        <f>MIN(-(SUM(O39:O40)+O76),PreferredEquityOBalance-SUM($H83:N83))</f>
        <v>0</v>
      </c>
      <c r="P83" s="395">
        <f>MIN(-(SUM(P39:P40)+P76),PreferredEquityOBalance-SUM($H83:O83))</f>
        <v>0</v>
      </c>
      <c r="Q83" s="395">
        <f>MIN(-(SUM(Q39:Q40)+Q76),PreferredEquityOBalance-SUM($H83:P83))</f>
        <v>0</v>
      </c>
      <c r="R83" s="395">
        <f>MIN(-(SUM(R39:R40)+R76),PreferredEquityOBalance-SUM($H83:Q83))</f>
        <v>0</v>
      </c>
      <c r="S83" s="395">
        <f>MIN(-(SUM(S39:S40)+S76),PreferredEquityOBalance-SUM($H83:R83))</f>
        <v>0</v>
      </c>
      <c r="T83" s="395">
        <f>MIN(-(SUM(T39:T40)+T76),PreferredEquityOBalance-SUM($H83:S83))</f>
        <v>0</v>
      </c>
      <c r="U83" s="395">
        <f>MIN(-(SUM(U39:U40)+U76),PreferredEquityOBalance-SUM($H83:T83))</f>
        <v>0</v>
      </c>
      <c r="V83" s="395">
        <f>MIN(-(SUM(V39:V40)+V76),PreferredEquityOBalance-SUM($H83:U83))</f>
        <v>0</v>
      </c>
      <c r="W83" s="395">
        <f>MIN(-(SUM(W39:W40)+W76),PreferredEquityOBalance-SUM($H83:V83))</f>
        <v>0</v>
      </c>
      <c r="X83" s="395">
        <f>MIN(-(SUM(X39:X40)+X76),PreferredEquityOBalance-SUM($H83:W83))</f>
        <v>0</v>
      </c>
      <c r="Y83" s="395">
        <f>MIN(-(SUM(Y39:Y40)+Y76),PreferredEquityOBalance-SUM($H83:X83))</f>
        <v>0</v>
      </c>
      <c r="Z83" s="395">
        <f>MIN(-(SUM(Z39:Z40)+Z76),PreferredEquityOBalance-SUM($H83:Y83))</f>
        <v>0</v>
      </c>
      <c r="AA83" s="395">
        <f>MIN(-(SUM(AA39:AA40)+AA76),PreferredEquityOBalance-SUM($H83:Z83))</f>
        <v>0</v>
      </c>
      <c r="AB83" s="395">
        <f>MIN(-(SUM(AB39:AB40)+AB76),PreferredEquityOBalance-SUM($H83:AA83))</f>
        <v>0</v>
      </c>
      <c r="AC83" s="395">
        <f>MIN(-(SUM(AC39:AC40)+AC76),PreferredEquityOBalance-SUM($H83:AB83))</f>
        <v>0</v>
      </c>
      <c r="AD83" s="395">
        <f>MIN(-(SUM(AD39:AD40)+AD76),PreferredEquityOBalance-SUM($H83:AC83))</f>
        <v>0</v>
      </c>
      <c r="AE83" s="395">
        <f>MIN(-(SUM(AE39:AE40)+AE76),PreferredEquityOBalance-SUM($H83:AD83))</f>
        <v>0</v>
      </c>
      <c r="AF83" s="395">
        <f>MIN(-(SUM(AF39:AF40)+AF76),PreferredEquityOBalance-SUM($H83:AE83))</f>
        <v>0</v>
      </c>
      <c r="AG83" s="395">
        <f>MIN(-(SUM(AG39:AG40)+AG76),PreferredEquityOBalance-SUM($H83:AF83))</f>
        <v>0</v>
      </c>
      <c r="AH83" s="395">
        <f>MIN(-(SUM(AH39:AH40)+AH76),PreferredEquityOBalance-SUM($H83:AG83))</f>
        <v>0</v>
      </c>
      <c r="AI83" s="395">
        <f>MIN(-(SUM(AI39:AI40)+AI76),PreferredEquityOBalance-SUM($H83:AH83))</f>
        <v>0</v>
      </c>
      <c r="AJ83" s="395">
        <f>MIN(-(SUM(AJ39:AJ40)+AJ76),PreferredEquityOBalance-SUM($H83:AI83))</f>
        <v>0</v>
      </c>
      <c r="AK83" s="395">
        <f>MIN(-(SUM(AK39:AK40)+AK76),PreferredEquityOBalance-SUM($H83:AJ83))</f>
        <v>0</v>
      </c>
      <c r="AL83" s="395">
        <f>MIN(-(SUM(AL39:AL40)+AL76),PreferredEquityOBalance-SUM($H83:AK83))</f>
        <v>0</v>
      </c>
      <c r="AM83" s="395">
        <f>MIN(-(SUM(AM39:AM40)+AM76),PreferredEquityOBalance-SUM($H83:AL83))</f>
        <v>0</v>
      </c>
      <c r="AN83" s="395">
        <f>MIN(-(SUM(AN39:AN40)+AN76),PreferredEquityOBalance-SUM($H83:AM83))</f>
        <v>0</v>
      </c>
      <c r="AO83" s="395">
        <f>MIN(-(SUM(AO39:AO40)+AO76),PreferredEquityOBalance-SUM($H83:AN83))</f>
        <v>0</v>
      </c>
      <c r="AP83" s="395">
        <f>MIN(-(SUM(AP39:AP40)+AP76),PreferredEquityOBalance-SUM($H83:AO83))</f>
        <v>0</v>
      </c>
      <c r="AQ83" s="395">
        <f>MIN(-(SUM(AQ39:AQ40)+AQ76),PreferredEquityOBalance-SUM($H83:AP83))</f>
        <v>0</v>
      </c>
      <c r="AR83" s="395">
        <f>MIN(-(SUM(AR39:AR40)+AR76),PreferredEquityOBalance-SUM($H83:AQ83))</f>
        <v>0</v>
      </c>
      <c r="AS83" s="395">
        <f>MIN(-(SUM(AS39:AS40)+AS76),PreferredEquityOBalance-SUM($H83:AR83))</f>
        <v>0</v>
      </c>
      <c r="AT83" s="395">
        <f>MIN(-(SUM(AT39:AT40)+AT76),PreferredEquityOBalance-SUM($H83:AS83))</f>
        <v>0</v>
      </c>
      <c r="AU83" s="395">
        <f>MIN(-(SUM(AU39:AU40)+AU76),PreferredEquityOBalance-SUM($H83:AT83))</f>
        <v>0</v>
      </c>
      <c r="AV83" s="395">
        <f>MIN(-(SUM(AV39:AV40)+AV76),PreferredEquityOBalance-SUM($H83:AU83))</f>
        <v>0</v>
      </c>
      <c r="AW83" s="395">
        <f>MIN(-(SUM(AW39:AW40)+AW76),PreferredEquityOBalance-SUM($H83:AV83))</f>
        <v>0</v>
      </c>
      <c r="AX83" s="395">
        <f>MIN(-(SUM(AX39:AX40)+AX76),PreferredEquityOBalance-SUM($H83:AW83))</f>
        <v>0</v>
      </c>
      <c r="AY83" s="395">
        <f>MIN(-(SUM(AY39:AY40)+AY76),PreferredEquityOBalance-SUM($H83:AX83))</f>
        <v>0</v>
      </c>
      <c r="AZ83" s="395">
        <f>MIN(-(SUM(AZ39:AZ40)+AZ76),PreferredEquityOBalance-SUM($H83:AY83))</f>
        <v>0</v>
      </c>
      <c r="BA83" s="395">
        <f>MIN(-(SUM(BA39:BA40)+BA76),PreferredEquityOBalance-SUM($H83:AZ83))</f>
        <v>0</v>
      </c>
      <c r="BB83" s="395">
        <f>MIN(-(SUM(BB39:BB40)+BB76),PreferredEquityOBalance-SUM($H83:BA83))</f>
        <v>0</v>
      </c>
      <c r="BC83" s="395">
        <f>MIN(-(SUM(BC39:BC40)+BC76),PreferredEquityOBalance-SUM($H83:BB83))</f>
        <v>0</v>
      </c>
      <c r="BD83" s="395">
        <f>MIN(-(SUM(BD39:BD40)+BD76),PreferredEquityOBalance-SUM($H83:BC83))</f>
        <v>0</v>
      </c>
      <c r="BE83" s="395">
        <f>MIN(-(SUM(BE39:BE40)+BE76),PreferredEquityOBalance-SUM($H83:BD83))</f>
        <v>0</v>
      </c>
      <c r="BF83" s="395">
        <f>MIN(-(SUM(BF39:BF40)+BF76),PreferredEquityOBalance-SUM($H83:BE83))</f>
        <v>0</v>
      </c>
      <c r="BG83" s="395">
        <f>MIN(-(SUM(BG39:BG40)+BG76),PreferredEquityOBalance-SUM($H83:BF83))</f>
        <v>0</v>
      </c>
      <c r="BH83" s="395">
        <f>MIN(-(SUM(BH39:BH40)+BH76),PreferredEquityOBalance-SUM($H83:BG83))</f>
        <v>0</v>
      </c>
      <c r="BI83" s="395">
        <f>MIN(-(SUM(BI39:BI40)+BI76),PreferredEquityOBalance-SUM($H83:BH83))</f>
        <v>0</v>
      </c>
      <c r="BJ83" s="395">
        <f>MIN(-(SUM(BJ39:BJ40)+BJ76),PreferredEquityOBalance-SUM($H83:BI83))</f>
        <v>0</v>
      </c>
      <c r="BK83" s="395">
        <f>MIN(-(SUM(BK39:BK40)+BK76),PreferredEquityOBalance-SUM($H83:BJ83))</f>
        <v>0</v>
      </c>
      <c r="BL83" s="395">
        <f>MIN(-(SUM(BL39:BL40)+BL76),PreferredEquityOBalance-SUM($H83:BK83))</f>
        <v>0</v>
      </c>
      <c r="BM83" s="395">
        <f>MIN(-(SUM(BM39:BM40)+BM76),PreferredEquityOBalance-SUM($H83:BL83))</f>
        <v>0</v>
      </c>
      <c r="BN83" s="395">
        <f>MIN(-(SUM(BN39:BN40)+BN76),PreferredEquityOBalance-SUM($H83:BM83))</f>
        <v>0</v>
      </c>
      <c r="BO83" s="395">
        <f>MIN(-(SUM(BO39:BO40)+BO76),PreferredEquityOBalance-SUM($H83:BN83))</f>
        <v>0</v>
      </c>
      <c r="BP83" s="395">
        <f>MIN(-(SUM(BP39:BP40)+BP76),PreferredEquityOBalance-SUM($H83:BO83))</f>
        <v>0</v>
      </c>
      <c r="BQ83" s="395">
        <f>MIN(-(SUM(BQ39:BQ40)+BQ76),PreferredEquityOBalance-SUM($H83:BP83))</f>
        <v>0</v>
      </c>
      <c r="BR83" s="395">
        <f>MIN(-(SUM(BR39:BR40)+BR76),PreferredEquityOBalance-SUM($H83:BQ83))</f>
        <v>0</v>
      </c>
      <c r="BS83" s="395">
        <f>MIN(-(SUM(BS39:BS40)+BS76),PreferredEquityOBalance-SUM($H83:BR83))</f>
        <v>0</v>
      </c>
      <c r="BT83" s="395">
        <f>MIN(-(SUM(BT39:BT40)+BT76),PreferredEquityOBalance-SUM($H83:BS83))</f>
        <v>0</v>
      </c>
      <c r="BU83" s="395">
        <f>MIN(-(SUM(BU39:BU40)+BU76),PreferredEquityOBalance-SUM($H83:BT83))</f>
        <v>0</v>
      </c>
      <c r="BV83" s="395">
        <f>MIN(-(SUM(BV39:BV40)+BV76),PreferredEquityOBalance-SUM($H83:BU83))</f>
        <v>0</v>
      </c>
      <c r="BW83" s="395">
        <f>MIN(-(SUM(BW39:BW40)+BW76),PreferredEquityOBalance-SUM($H83:BV83))</f>
        <v>0</v>
      </c>
      <c r="BX83" s="395">
        <f>MIN(-(SUM(BX39:BX40)+BX76),PreferredEquityOBalance-SUM($H83:BW83))</f>
        <v>0</v>
      </c>
      <c r="BY83" s="395">
        <f>MIN(-(SUM(BY39:BY40)+BY76),PreferredEquityOBalance-SUM($H83:BX83))</f>
        <v>0</v>
      </c>
      <c r="BZ83" s="395">
        <f>MIN(-(SUM(BZ39:BZ40)+BZ76),PreferredEquityOBalance-SUM($H83:BY83))</f>
        <v>0</v>
      </c>
      <c r="CA83" s="395">
        <f>MIN(-(SUM(CA39:CA40)+CA76),PreferredEquityOBalance-SUM($H83:BZ83))</f>
        <v>0</v>
      </c>
      <c r="CB83" s="395">
        <f>MIN(-(SUM(CB39:CB40)+CB76),PreferredEquityOBalance-SUM($H83:CA83))</f>
        <v>0</v>
      </c>
      <c r="CC83" s="395">
        <f>MIN(-(SUM(CC39:CC40)+CC76),PreferredEquityOBalance-SUM($H83:CB83))</f>
        <v>0</v>
      </c>
      <c r="CD83" s="395">
        <f>MIN(-(SUM(CD39:CD40)+CD76),PreferredEquityOBalance-SUM($H83:CC83))</f>
        <v>0</v>
      </c>
      <c r="CE83" s="395">
        <f>MIN(-(SUM(CE39:CE40)+CE76),PreferredEquityOBalance-SUM($H83:CD83))</f>
        <v>0</v>
      </c>
      <c r="CF83" s="395">
        <f>MIN(-(SUM(CF39:CF40)+CF76),PreferredEquityOBalance-SUM($H83:CE83))</f>
        <v>0</v>
      </c>
      <c r="CG83" s="395">
        <f>MIN(-(SUM(CG39:CG40)+CG76),PreferredEquityOBalance-SUM($H83:CF83))</f>
        <v>0</v>
      </c>
      <c r="CH83" s="395">
        <f>MIN(-(SUM(CH39:CH40)+CH76),PreferredEquityOBalance-SUM($H83:CG83))</f>
        <v>0</v>
      </c>
      <c r="CI83" s="395">
        <f>MIN(-(SUM(CI39:CI40)+CI76),PreferredEquityOBalance-SUM($H83:CH83))</f>
        <v>0</v>
      </c>
      <c r="CJ83" s="395">
        <f>MIN(-(SUM(CJ39:CJ40)+CJ76),PreferredEquityOBalance-SUM($H83:CI83))</f>
        <v>0</v>
      </c>
      <c r="CK83" s="395">
        <f>MIN(-(SUM(CK39:CK40)+CK76),PreferredEquityOBalance-SUM($H83:CJ83))</f>
        <v>0</v>
      </c>
      <c r="CL83" s="395">
        <f>MIN(-(SUM(CL39:CL40)+CL76),PreferredEquityOBalance-SUM($H83:CK83))</f>
        <v>0</v>
      </c>
      <c r="CM83" s="395">
        <f>MIN(-(SUM(CM39:CM40)+CM76),PreferredEquityOBalance-SUM($H83:CL83))</f>
        <v>0</v>
      </c>
      <c r="CN83" s="395">
        <f>MIN(-(SUM(CN39:CN40)+CN76),PreferredEquityOBalance-SUM($H83:CM83))</f>
        <v>0</v>
      </c>
      <c r="CO83" s="395">
        <f>MIN(-(SUM(CO39:CO40)+CO76),PreferredEquityOBalance-SUM($H83:CN83))</f>
        <v>0</v>
      </c>
      <c r="CP83" s="133" t="s">
        <v>15</v>
      </c>
    </row>
    <row r="84" spans="2:94" ht="15" customHeight="1" x14ac:dyDescent="0.2">
      <c r="B84" s="136">
        <f ca="1">SUM(I84:CO84)</f>
        <v>-6838344.077608509</v>
      </c>
      <c r="C84" s="281" t="s">
        <v>296</v>
      </c>
      <c r="D84" s="259" t="s">
        <v>199</v>
      </c>
      <c r="E84" s="269"/>
      <c r="F84" s="133" t="s">
        <v>227</v>
      </c>
      <c r="I84" s="395">
        <f ca="1">-MIN(SUM(I81:I83),MAX(SUM(I38:I53),0))</f>
        <v>0</v>
      </c>
      <c r="J84" s="395">
        <f t="shared" ref="J84:BU84" ca="1" si="73">-MIN(SUM(J81:J83),MAX(SUM(J38:J53),0))</f>
        <v>0</v>
      </c>
      <c r="K84" s="395">
        <f t="shared" ca="1" si="73"/>
        <v>0</v>
      </c>
      <c r="L84" s="395">
        <f t="shared" ca="1" si="73"/>
        <v>0</v>
      </c>
      <c r="M84" s="395">
        <f t="shared" ca="1" si="73"/>
        <v>0</v>
      </c>
      <c r="N84" s="395">
        <f t="shared" ca="1" si="73"/>
        <v>0</v>
      </c>
      <c r="O84" s="395">
        <f t="shared" ca="1" si="73"/>
        <v>0</v>
      </c>
      <c r="P84" s="395">
        <f t="shared" ca="1" si="73"/>
        <v>0</v>
      </c>
      <c r="Q84" s="395">
        <f t="shared" ca="1" si="73"/>
        <v>0</v>
      </c>
      <c r="R84" s="395">
        <f t="shared" ca="1" si="73"/>
        <v>0</v>
      </c>
      <c r="S84" s="395">
        <f t="shared" ca="1" si="73"/>
        <v>0</v>
      </c>
      <c r="T84" s="395">
        <f t="shared" ca="1" si="73"/>
        <v>0</v>
      </c>
      <c r="U84" s="395">
        <f t="shared" ca="1" si="73"/>
        <v>0</v>
      </c>
      <c r="V84" s="395">
        <f t="shared" ca="1" si="73"/>
        <v>0</v>
      </c>
      <c r="W84" s="395">
        <f t="shared" ca="1" si="73"/>
        <v>0</v>
      </c>
      <c r="X84" s="395">
        <f t="shared" ca="1" si="73"/>
        <v>0</v>
      </c>
      <c r="Y84" s="395">
        <f t="shared" ca="1" si="73"/>
        <v>0</v>
      </c>
      <c r="Z84" s="395">
        <f t="shared" ca="1" si="73"/>
        <v>0</v>
      </c>
      <c r="AA84" s="395">
        <f t="shared" ca="1" si="73"/>
        <v>0</v>
      </c>
      <c r="AB84" s="395">
        <f t="shared" ca="1" si="73"/>
        <v>0</v>
      </c>
      <c r="AC84" s="395">
        <f t="shared" ca="1" si="73"/>
        <v>0</v>
      </c>
      <c r="AD84" s="395">
        <f t="shared" ca="1" si="73"/>
        <v>0</v>
      </c>
      <c r="AE84" s="395">
        <f t="shared" ca="1" si="73"/>
        <v>0</v>
      </c>
      <c r="AF84" s="395">
        <f t="shared" ca="1" si="73"/>
        <v>0</v>
      </c>
      <c r="AG84" s="395">
        <f t="shared" ca="1" si="73"/>
        <v>0</v>
      </c>
      <c r="AH84" s="395">
        <f t="shared" ca="1" si="73"/>
        <v>-267267.30637668417</v>
      </c>
      <c r="AI84" s="395">
        <f t="shared" ca="1" si="73"/>
        <v>-271713.22820647666</v>
      </c>
      <c r="AJ84" s="395">
        <f t="shared" ca="1" si="73"/>
        <v>-266982.73735482426</v>
      </c>
      <c r="AK84" s="395">
        <f t="shared" ca="1" si="73"/>
        <v>-268361.01650197932</v>
      </c>
      <c r="AL84" s="395">
        <f t="shared" ca="1" si="73"/>
        <v>-266698.57126255275</v>
      </c>
      <c r="AM84" s="395">
        <f t="shared" ca="1" si="73"/>
        <v>-268106.58596345084</v>
      </c>
      <c r="AN84" s="395">
        <f t="shared" ca="1" si="73"/>
        <v>-266418.33373376896</v>
      </c>
      <c r="AO84" s="395">
        <f t="shared" ca="1" si="73"/>
        <v>-266294.83581490163</v>
      </c>
      <c r="AP84" s="395">
        <f t="shared" ca="1" si="73"/>
        <v>-267713.43716579361</v>
      </c>
      <c r="AQ84" s="395">
        <f t="shared" ca="1" si="73"/>
        <v>-266007.6477507166</v>
      </c>
      <c r="AR84" s="395">
        <f t="shared" ca="1" si="73"/>
        <v>-267434.7333689917</v>
      </c>
      <c r="AS84" s="395">
        <f t="shared" ca="1" si="73"/>
        <v>-3895345.6441083681</v>
      </c>
      <c r="AT84" s="395">
        <f t="shared" ca="1" si="73"/>
        <v>0</v>
      </c>
      <c r="AU84" s="395">
        <f t="shared" ca="1" si="73"/>
        <v>0</v>
      </c>
      <c r="AV84" s="395">
        <f t="shared" ca="1" si="73"/>
        <v>0</v>
      </c>
      <c r="AW84" s="395">
        <f t="shared" ca="1" si="73"/>
        <v>0</v>
      </c>
      <c r="AX84" s="395">
        <f t="shared" ca="1" si="73"/>
        <v>0</v>
      </c>
      <c r="AY84" s="395">
        <f t="shared" ca="1" si="73"/>
        <v>0</v>
      </c>
      <c r="AZ84" s="395">
        <f t="shared" ca="1" si="73"/>
        <v>0</v>
      </c>
      <c r="BA84" s="395">
        <f t="shared" ca="1" si="73"/>
        <v>0</v>
      </c>
      <c r="BB84" s="395">
        <f t="shared" ca="1" si="73"/>
        <v>0</v>
      </c>
      <c r="BC84" s="395">
        <f t="shared" ca="1" si="73"/>
        <v>0</v>
      </c>
      <c r="BD84" s="395">
        <f t="shared" ca="1" si="73"/>
        <v>0</v>
      </c>
      <c r="BE84" s="395">
        <f t="shared" ca="1" si="73"/>
        <v>0</v>
      </c>
      <c r="BF84" s="395">
        <f t="shared" ca="1" si="73"/>
        <v>0</v>
      </c>
      <c r="BG84" s="395">
        <f t="shared" ca="1" si="73"/>
        <v>0</v>
      </c>
      <c r="BH84" s="395">
        <f t="shared" ca="1" si="73"/>
        <v>0</v>
      </c>
      <c r="BI84" s="395">
        <f t="shared" ca="1" si="73"/>
        <v>0</v>
      </c>
      <c r="BJ84" s="395">
        <f t="shared" ca="1" si="73"/>
        <v>0</v>
      </c>
      <c r="BK84" s="395">
        <f t="shared" ca="1" si="73"/>
        <v>0</v>
      </c>
      <c r="BL84" s="395">
        <f t="shared" ca="1" si="73"/>
        <v>0</v>
      </c>
      <c r="BM84" s="395">
        <f t="shared" ca="1" si="73"/>
        <v>0</v>
      </c>
      <c r="BN84" s="395">
        <f t="shared" ca="1" si="73"/>
        <v>0</v>
      </c>
      <c r="BO84" s="395">
        <f t="shared" ca="1" si="73"/>
        <v>0</v>
      </c>
      <c r="BP84" s="395">
        <f t="shared" ca="1" si="73"/>
        <v>0</v>
      </c>
      <c r="BQ84" s="395">
        <f t="shared" ca="1" si="73"/>
        <v>0</v>
      </c>
      <c r="BR84" s="395">
        <f t="shared" ca="1" si="73"/>
        <v>0</v>
      </c>
      <c r="BS84" s="395">
        <f t="shared" ca="1" si="73"/>
        <v>0</v>
      </c>
      <c r="BT84" s="395">
        <f t="shared" ca="1" si="73"/>
        <v>0</v>
      </c>
      <c r="BU84" s="395">
        <f t="shared" ca="1" si="73"/>
        <v>0</v>
      </c>
      <c r="BV84" s="395">
        <f t="shared" ref="BV84:CO84" ca="1" si="74">-MIN(SUM(BV81:BV83),MAX(SUM(BV38:BV53),0))</f>
        <v>0</v>
      </c>
      <c r="BW84" s="395">
        <f t="shared" ca="1" si="74"/>
        <v>0</v>
      </c>
      <c r="BX84" s="395">
        <f t="shared" ca="1" si="74"/>
        <v>0</v>
      </c>
      <c r="BY84" s="395">
        <f t="shared" ca="1" si="74"/>
        <v>0</v>
      </c>
      <c r="BZ84" s="395">
        <f t="shared" ca="1" si="74"/>
        <v>0</v>
      </c>
      <c r="CA84" s="395">
        <f t="shared" ca="1" si="74"/>
        <v>0</v>
      </c>
      <c r="CB84" s="395">
        <f t="shared" ca="1" si="74"/>
        <v>0</v>
      </c>
      <c r="CC84" s="395">
        <f t="shared" ca="1" si="74"/>
        <v>0</v>
      </c>
      <c r="CD84" s="395">
        <f t="shared" ca="1" si="74"/>
        <v>0</v>
      </c>
      <c r="CE84" s="395">
        <f t="shared" ca="1" si="74"/>
        <v>0</v>
      </c>
      <c r="CF84" s="395">
        <f t="shared" ca="1" si="74"/>
        <v>0</v>
      </c>
      <c r="CG84" s="395">
        <f t="shared" ca="1" si="74"/>
        <v>0</v>
      </c>
      <c r="CH84" s="395">
        <f t="shared" ca="1" si="74"/>
        <v>0</v>
      </c>
      <c r="CI84" s="395">
        <f t="shared" ca="1" si="74"/>
        <v>0</v>
      </c>
      <c r="CJ84" s="395">
        <f t="shared" ca="1" si="74"/>
        <v>0</v>
      </c>
      <c r="CK84" s="395">
        <f t="shared" ca="1" si="74"/>
        <v>0</v>
      </c>
      <c r="CL84" s="395">
        <f t="shared" ca="1" si="74"/>
        <v>0</v>
      </c>
      <c r="CM84" s="395">
        <f t="shared" ca="1" si="74"/>
        <v>0</v>
      </c>
      <c r="CN84" s="395">
        <f t="shared" ca="1" si="74"/>
        <v>0</v>
      </c>
      <c r="CO84" s="395">
        <f t="shared" ca="1" si="74"/>
        <v>0</v>
      </c>
      <c r="CP84" s="133" t="s">
        <v>15</v>
      </c>
    </row>
    <row r="85" spans="2:94" ht="15" customHeight="1" x14ac:dyDescent="0.2">
      <c r="B85" s="136">
        <f ca="1">SUM(B82:B84)</f>
        <v>0</v>
      </c>
      <c r="C85" s="282"/>
      <c r="D85" s="259"/>
      <c r="E85" s="269"/>
      <c r="F85" s="133" t="s">
        <v>224</v>
      </c>
      <c r="I85" s="395">
        <f ca="1">SUM(I81:I84)</f>
        <v>4496373.1457857145</v>
      </c>
      <c r="J85" s="395">
        <f t="shared" ref="J85:BU85" ca="1" si="75">SUM(J81:J84)</f>
        <v>4710327.4245941238</v>
      </c>
      <c r="K85" s="395">
        <f t="shared" ca="1" si="75"/>
        <v>4926311.8712516138</v>
      </c>
      <c r="L85" s="395">
        <f t="shared" ca="1" si="75"/>
        <v>5134105.2286005272</v>
      </c>
      <c r="M85" s="395">
        <f t="shared" ca="1" si="75"/>
        <v>5182821.6900190776</v>
      </c>
      <c r="N85" s="395">
        <f t="shared" ca="1" si="75"/>
        <v>5232000.4118525349</v>
      </c>
      <c r="O85" s="395">
        <f t="shared" ca="1" si="75"/>
        <v>5281645.780394257</v>
      </c>
      <c r="P85" s="395">
        <f t="shared" ca="1" si="75"/>
        <v>5331762.2235582322</v>
      </c>
      <c r="Q85" s="395">
        <f t="shared" ca="1" si="75"/>
        <v>5382354.2112740083</v>
      </c>
      <c r="R85" s="395">
        <f t="shared" ca="1" si="75"/>
        <v>5433426.2558853682</v>
      </c>
      <c r="S85" s="395">
        <f t="shared" ca="1" si="75"/>
        <v>5484982.9125527916</v>
      </c>
      <c r="T85" s="395">
        <f t="shared" ca="1" si="75"/>
        <v>5537028.7796597313</v>
      </c>
      <c r="U85" s="395">
        <f t="shared" ca="1" si="75"/>
        <v>5589568.4992227498</v>
      </c>
      <c r="V85" s="395">
        <f t="shared" ca="1" si="75"/>
        <v>5642606.7573055429</v>
      </c>
      <c r="W85" s="395">
        <f t="shared" ca="1" si="75"/>
        <v>5696148.2844368946</v>
      </c>
      <c r="X85" s="395">
        <f t="shared" ca="1" si="75"/>
        <v>5750197.8560325969</v>
      </c>
      <c r="Y85" s="395">
        <f t="shared" ca="1" si="75"/>
        <v>5804760.2928213738</v>
      </c>
      <c r="Z85" s="395">
        <f t="shared" ca="1" si="75"/>
        <v>5859840.4612748455</v>
      </c>
      <c r="AA85" s="395">
        <f t="shared" ca="1" si="75"/>
        <v>5915443.2740415744</v>
      </c>
      <c r="AB85" s="395">
        <f t="shared" ca="1" si="75"/>
        <v>5971573.6903852271</v>
      </c>
      <c r="AC85" s="395">
        <f t="shared" ca="1" si="75"/>
        <v>6028236.7166268965</v>
      </c>
      <c r="AD85" s="395">
        <f t="shared" ca="1" si="75"/>
        <v>6085437.4065916203</v>
      </c>
      <c r="AE85" s="395">
        <f t="shared" ca="1" si="75"/>
        <v>6143180.8620591341</v>
      </c>
      <c r="AF85" s="395">
        <f t="shared" ca="1" si="75"/>
        <v>6201472.2332189064</v>
      </c>
      <c r="AG85" s="395">
        <f t="shared" ca="1" si="75"/>
        <v>6260316.7191294869</v>
      </c>
      <c r="AH85" s="395">
        <f t="shared" ca="1" si="75"/>
        <v>6052452.2618055306</v>
      </c>
      <c r="AI85" s="395">
        <f t="shared" ca="1" si="75"/>
        <v>5838169.4998577759</v>
      </c>
      <c r="AJ85" s="395">
        <f t="shared" ca="1" si="75"/>
        <v>5626583.9440040998</v>
      </c>
      <c r="AK85" s="395">
        <f t="shared" ca="1" si="75"/>
        <v>5411612.4174758252</v>
      </c>
      <c r="AL85" s="395">
        <f t="shared" ca="1" si="75"/>
        <v>5196263.5158849191</v>
      </c>
      <c r="AM85" s="395">
        <f t="shared" ca="1" si="75"/>
        <v>4977463.198457228</v>
      </c>
      <c r="AN85" s="395">
        <f t="shared" ca="1" si="75"/>
        <v>4758274.9823531266</v>
      </c>
      <c r="AO85" s="395">
        <f t="shared" ca="1" si="75"/>
        <v>4537130.4325715806</v>
      </c>
      <c r="AP85" s="395">
        <f t="shared" ca="1" si="75"/>
        <v>4312468.8865976539</v>
      </c>
      <c r="AQ85" s="395">
        <f t="shared" ca="1" si="75"/>
        <v>4087381.3631486939</v>
      </c>
      <c r="AR85" s="395">
        <f t="shared" ca="1" si="75"/>
        <v>3858730.9451792939</v>
      </c>
      <c r="AS85" s="395">
        <f t="shared" ca="1" si="75"/>
        <v>0</v>
      </c>
      <c r="AT85" s="395">
        <f t="shared" ca="1" si="75"/>
        <v>0</v>
      </c>
      <c r="AU85" s="395">
        <f t="shared" ca="1" si="75"/>
        <v>0</v>
      </c>
      <c r="AV85" s="395">
        <f t="shared" ca="1" si="75"/>
        <v>0</v>
      </c>
      <c r="AW85" s="395">
        <f t="shared" ca="1" si="75"/>
        <v>0</v>
      </c>
      <c r="AX85" s="395">
        <f t="shared" ca="1" si="75"/>
        <v>0</v>
      </c>
      <c r="AY85" s="395">
        <f t="shared" ca="1" si="75"/>
        <v>0</v>
      </c>
      <c r="AZ85" s="395">
        <f t="shared" ca="1" si="75"/>
        <v>0</v>
      </c>
      <c r="BA85" s="395">
        <f t="shared" ca="1" si="75"/>
        <v>0</v>
      </c>
      <c r="BB85" s="395">
        <f t="shared" ca="1" si="75"/>
        <v>0</v>
      </c>
      <c r="BC85" s="395">
        <f t="shared" ca="1" si="75"/>
        <v>0</v>
      </c>
      <c r="BD85" s="395">
        <f t="shared" ca="1" si="75"/>
        <v>0</v>
      </c>
      <c r="BE85" s="395">
        <f t="shared" ca="1" si="75"/>
        <v>0</v>
      </c>
      <c r="BF85" s="395">
        <f t="shared" ca="1" si="75"/>
        <v>0</v>
      </c>
      <c r="BG85" s="395">
        <f t="shared" ca="1" si="75"/>
        <v>0</v>
      </c>
      <c r="BH85" s="395">
        <f t="shared" ca="1" si="75"/>
        <v>0</v>
      </c>
      <c r="BI85" s="395">
        <f t="shared" ca="1" si="75"/>
        <v>0</v>
      </c>
      <c r="BJ85" s="395">
        <f t="shared" ca="1" si="75"/>
        <v>0</v>
      </c>
      <c r="BK85" s="395">
        <f t="shared" ca="1" si="75"/>
        <v>0</v>
      </c>
      <c r="BL85" s="395">
        <f t="shared" ca="1" si="75"/>
        <v>0</v>
      </c>
      <c r="BM85" s="395">
        <f t="shared" ca="1" si="75"/>
        <v>0</v>
      </c>
      <c r="BN85" s="395">
        <f t="shared" ca="1" si="75"/>
        <v>0</v>
      </c>
      <c r="BO85" s="395">
        <f t="shared" ca="1" si="75"/>
        <v>0</v>
      </c>
      <c r="BP85" s="395">
        <f t="shared" ca="1" si="75"/>
        <v>0</v>
      </c>
      <c r="BQ85" s="395">
        <f t="shared" ca="1" si="75"/>
        <v>0</v>
      </c>
      <c r="BR85" s="395">
        <f t="shared" ca="1" si="75"/>
        <v>0</v>
      </c>
      <c r="BS85" s="395">
        <f t="shared" ca="1" si="75"/>
        <v>0</v>
      </c>
      <c r="BT85" s="395">
        <f t="shared" ca="1" si="75"/>
        <v>0</v>
      </c>
      <c r="BU85" s="395">
        <f t="shared" ca="1" si="75"/>
        <v>0</v>
      </c>
      <c r="BV85" s="395">
        <f t="shared" ref="BV85:CO85" ca="1" si="76">SUM(BV81:BV84)</f>
        <v>0</v>
      </c>
      <c r="BW85" s="395">
        <f t="shared" ca="1" si="76"/>
        <v>0</v>
      </c>
      <c r="BX85" s="395">
        <f t="shared" ca="1" si="76"/>
        <v>0</v>
      </c>
      <c r="BY85" s="395">
        <f t="shared" ca="1" si="76"/>
        <v>0</v>
      </c>
      <c r="BZ85" s="395">
        <f t="shared" ca="1" si="76"/>
        <v>0</v>
      </c>
      <c r="CA85" s="395">
        <f t="shared" ca="1" si="76"/>
        <v>0</v>
      </c>
      <c r="CB85" s="395">
        <f t="shared" ca="1" si="76"/>
        <v>0</v>
      </c>
      <c r="CC85" s="395">
        <f t="shared" ca="1" si="76"/>
        <v>0</v>
      </c>
      <c r="CD85" s="395">
        <f t="shared" ca="1" si="76"/>
        <v>0</v>
      </c>
      <c r="CE85" s="395">
        <f t="shared" ca="1" si="76"/>
        <v>0</v>
      </c>
      <c r="CF85" s="395">
        <f t="shared" ca="1" si="76"/>
        <v>0</v>
      </c>
      <c r="CG85" s="395">
        <f t="shared" ca="1" si="76"/>
        <v>0</v>
      </c>
      <c r="CH85" s="395">
        <f t="shared" ca="1" si="76"/>
        <v>0</v>
      </c>
      <c r="CI85" s="395">
        <f t="shared" ca="1" si="76"/>
        <v>0</v>
      </c>
      <c r="CJ85" s="395">
        <f t="shared" ca="1" si="76"/>
        <v>0</v>
      </c>
      <c r="CK85" s="395">
        <f t="shared" ca="1" si="76"/>
        <v>0</v>
      </c>
      <c r="CL85" s="395">
        <f t="shared" ca="1" si="76"/>
        <v>0</v>
      </c>
      <c r="CM85" s="395">
        <f t="shared" ca="1" si="76"/>
        <v>0</v>
      </c>
      <c r="CN85" s="395">
        <f t="shared" ca="1" si="76"/>
        <v>0</v>
      </c>
      <c r="CO85" s="395">
        <f t="shared" ca="1" si="76"/>
        <v>0</v>
      </c>
      <c r="CP85" s="133" t="s">
        <v>15</v>
      </c>
    </row>
    <row r="86" spans="2:94" ht="15" customHeight="1" x14ac:dyDescent="0.2">
      <c r="D86" s="259"/>
      <c r="E86" s="269"/>
      <c r="F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row>
    <row r="87" spans="2:94" ht="15" customHeight="1" x14ac:dyDescent="0.25">
      <c r="D87" s="259"/>
      <c r="E87" s="269"/>
      <c r="F87" s="418" t="s">
        <v>228</v>
      </c>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row>
    <row r="88" spans="2:94" ht="15" customHeight="1" x14ac:dyDescent="0.2">
      <c r="D88" s="259"/>
      <c r="E88" s="269"/>
      <c r="F88" s="133" t="s">
        <v>222</v>
      </c>
      <c r="I88" s="395">
        <f>H91</f>
        <v>0</v>
      </c>
      <c r="J88" s="395">
        <f t="shared" ref="J88:BU88" si="77">I91</f>
        <v>0</v>
      </c>
      <c r="K88" s="395">
        <f t="shared" ca="1" si="77"/>
        <v>0</v>
      </c>
      <c r="L88" s="395">
        <f t="shared" ca="1" si="77"/>
        <v>0</v>
      </c>
      <c r="M88" s="395">
        <f t="shared" ca="1" si="77"/>
        <v>0</v>
      </c>
      <c r="N88" s="395">
        <f t="shared" ca="1" si="77"/>
        <v>0</v>
      </c>
      <c r="O88" s="395">
        <f t="shared" ca="1" si="77"/>
        <v>0</v>
      </c>
      <c r="P88" s="395">
        <f t="shared" ca="1" si="77"/>
        <v>0</v>
      </c>
      <c r="Q88" s="395">
        <f t="shared" ca="1" si="77"/>
        <v>0</v>
      </c>
      <c r="R88" s="395">
        <f t="shared" ca="1" si="77"/>
        <v>0</v>
      </c>
      <c r="S88" s="395">
        <f t="shared" ca="1" si="77"/>
        <v>0</v>
      </c>
      <c r="T88" s="395">
        <f t="shared" ca="1" si="77"/>
        <v>0</v>
      </c>
      <c r="U88" s="395">
        <f t="shared" ca="1" si="77"/>
        <v>0</v>
      </c>
      <c r="V88" s="395">
        <f t="shared" ca="1" si="77"/>
        <v>0</v>
      </c>
      <c r="W88" s="395">
        <f t="shared" ca="1" si="77"/>
        <v>0</v>
      </c>
      <c r="X88" s="395">
        <f t="shared" ca="1" si="77"/>
        <v>0</v>
      </c>
      <c r="Y88" s="395">
        <f t="shared" ca="1" si="77"/>
        <v>449773.28533834737</v>
      </c>
      <c r="Z88" s="395">
        <f t="shared" ca="1" si="77"/>
        <v>1690216.6726880597</v>
      </c>
      <c r="AA88" s="395">
        <f t="shared" ca="1" si="77"/>
        <v>2956165.3062540581</v>
      </c>
      <c r="AB88" s="395">
        <f t="shared" ca="1" si="77"/>
        <v>4226786.5531467702</v>
      </c>
      <c r="AC88" s="395">
        <f t="shared" ca="1" si="77"/>
        <v>5502851.8193148933</v>
      </c>
      <c r="AD88" s="395">
        <f t="shared" ca="1" si="77"/>
        <v>6816667.4860520484</v>
      </c>
      <c r="AE88" s="395">
        <f t="shared" ca="1" si="77"/>
        <v>8335362.813347185</v>
      </c>
      <c r="AF88" s="395">
        <f t="shared" ca="1" si="77"/>
        <v>9750712.6520613395</v>
      </c>
      <c r="AG88" s="395">
        <f t="shared" ca="1" si="77"/>
        <v>10372306.662935931</v>
      </c>
      <c r="AH88" s="395">
        <f t="shared" ca="1" si="77"/>
        <v>11697955.794413233</v>
      </c>
      <c r="AI88" s="395">
        <f t="shared" ca="1" si="77"/>
        <v>11697955.794413233</v>
      </c>
      <c r="AJ88" s="395">
        <f t="shared" ca="1" si="77"/>
        <v>11697955.794413233</v>
      </c>
      <c r="AK88" s="395">
        <f t="shared" ca="1" si="77"/>
        <v>11697955.794413233</v>
      </c>
      <c r="AL88" s="395">
        <f t="shared" ca="1" si="77"/>
        <v>11697955.794413233</v>
      </c>
      <c r="AM88" s="395">
        <f t="shared" ca="1" si="77"/>
        <v>11697955.794413233</v>
      </c>
      <c r="AN88" s="395">
        <f t="shared" ca="1" si="77"/>
        <v>11697955.794413233</v>
      </c>
      <c r="AO88" s="395">
        <f t="shared" ca="1" si="77"/>
        <v>11697955.794413233</v>
      </c>
      <c r="AP88" s="395">
        <f t="shared" ca="1" si="77"/>
        <v>11697955.794413233</v>
      </c>
      <c r="AQ88" s="395">
        <f t="shared" ca="1" si="77"/>
        <v>11697955.794413233</v>
      </c>
      <c r="AR88" s="395">
        <f t="shared" ca="1" si="77"/>
        <v>11697955.794413233</v>
      </c>
      <c r="AS88" s="395">
        <f t="shared" ca="1" si="77"/>
        <v>11697955.794413233</v>
      </c>
      <c r="AT88" s="395">
        <f t="shared" ca="1" si="77"/>
        <v>0</v>
      </c>
      <c r="AU88" s="395">
        <f t="shared" ca="1" si="77"/>
        <v>0</v>
      </c>
      <c r="AV88" s="395">
        <f t="shared" ca="1" si="77"/>
        <v>0</v>
      </c>
      <c r="AW88" s="395">
        <f t="shared" ca="1" si="77"/>
        <v>0</v>
      </c>
      <c r="AX88" s="395">
        <f t="shared" ca="1" si="77"/>
        <v>0</v>
      </c>
      <c r="AY88" s="395">
        <f t="shared" ca="1" si="77"/>
        <v>0</v>
      </c>
      <c r="AZ88" s="395">
        <f t="shared" ca="1" si="77"/>
        <v>0</v>
      </c>
      <c r="BA88" s="395">
        <f t="shared" ca="1" si="77"/>
        <v>0</v>
      </c>
      <c r="BB88" s="395">
        <f t="shared" ca="1" si="77"/>
        <v>0</v>
      </c>
      <c r="BC88" s="395">
        <f t="shared" ca="1" si="77"/>
        <v>0</v>
      </c>
      <c r="BD88" s="395">
        <f t="shared" ca="1" si="77"/>
        <v>0</v>
      </c>
      <c r="BE88" s="395">
        <f t="shared" ca="1" si="77"/>
        <v>0</v>
      </c>
      <c r="BF88" s="395">
        <f t="shared" ca="1" si="77"/>
        <v>0</v>
      </c>
      <c r="BG88" s="395">
        <f t="shared" ca="1" si="77"/>
        <v>0</v>
      </c>
      <c r="BH88" s="395">
        <f t="shared" ca="1" si="77"/>
        <v>0</v>
      </c>
      <c r="BI88" s="395">
        <f t="shared" ca="1" si="77"/>
        <v>0</v>
      </c>
      <c r="BJ88" s="395">
        <f t="shared" ca="1" si="77"/>
        <v>0</v>
      </c>
      <c r="BK88" s="395">
        <f t="shared" ca="1" si="77"/>
        <v>0</v>
      </c>
      <c r="BL88" s="395">
        <f t="shared" ca="1" si="77"/>
        <v>0</v>
      </c>
      <c r="BM88" s="395">
        <f t="shared" ca="1" si="77"/>
        <v>0</v>
      </c>
      <c r="BN88" s="395">
        <f t="shared" ca="1" si="77"/>
        <v>0</v>
      </c>
      <c r="BO88" s="395">
        <f t="shared" ca="1" si="77"/>
        <v>0</v>
      </c>
      <c r="BP88" s="395">
        <f t="shared" ca="1" si="77"/>
        <v>0</v>
      </c>
      <c r="BQ88" s="395">
        <f t="shared" ca="1" si="77"/>
        <v>0</v>
      </c>
      <c r="BR88" s="395">
        <f t="shared" ca="1" si="77"/>
        <v>0</v>
      </c>
      <c r="BS88" s="395">
        <f t="shared" ca="1" si="77"/>
        <v>0</v>
      </c>
      <c r="BT88" s="395">
        <f t="shared" ca="1" si="77"/>
        <v>0</v>
      </c>
      <c r="BU88" s="395">
        <f t="shared" ca="1" si="77"/>
        <v>0</v>
      </c>
      <c r="BV88" s="395">
        <f t="shared" ref="BV88:CO88" ca="1" si="78">BU91</f>
        <v>0</v>
      </c>
      <c r="BW88" s="395">
        <f t="shared" ca="1" si="78"/>
        <v>0</v>
      </c>
      <c r="BX88" s="395">
        <f t="shared" ca="1" si="78"/>
        <v>0</v>
      </c>
      <c r="BY88" s="395">
        <f t="shared" ca="1" si="78"/>
        <v>0</v>
      </c>
      <c r="BZ88" s="395">
        <f t="shared" ca="1" si="78"/>
        <v>0</v>
      </c>
      <c r="CA88" s="395">
        <f t="shared" ca="1" si="78"/>
        <v>0</v>
      </c>
      <c r="CB88" s="395">
        <f t="shared" ca="1" si="78"/>
        <v>0</v>
      </c>
      <c r="CC88" s="395">
        <f t="shared" ca="1" si="78"/>
        <v>0</v>
      </c>
      <c r="CD88" s="395">
        <f t="shared" ca="1" si="78"/>
        <v>0</v>
      </c>
      <c r="CE88" s="395">
        <f t="shared" ca="1" si="78"/>
        <v>0</v>
      </c>
      <c r="CF88" s="395">
        <f t="shared" ca="1" si="78"/>
        <v>0</v>
      </c>
      <c r="CG88" s="395">
        <f t="shared" ca="1" si="78"/>
        <v>0</v>
      </c>
      <c r="CH88" s="395">
        <f t="shared" ca="1" si="78"/>
        <v>0</v>
      </c>
      <c r="CI88" s="395">
        <f t="shared" ca="1" si="78"/>
        <v>0</v>
      </c>
      <c r="CJ88" s="395">
        <f t="shared" ca="1" si="78"/>
        <v>0</v>
      </c>
      <c r="CK88" s="395">
        <f t="shared" ca="1" si="78"/>
        <v>0</v>
      </c>
      <c r="CL88" s="395">
        <f t="shared" ca="1" si="78"/>
        <v>0</v>
      </c>
      <c r="CM88" s="395">
        <f t="shared" ca="1" si="78"/>
        <v>0</v>
      </c>
      <c r="CN88" s="395">
        <f t="shared" ca="1" si="78"/>
        <v>0</v>
      </c>
      <c r="CO88" s="395">
        <f t="shared" ca="1" si="78"/>
        <v>0</v>
      </c>
      <c r="CP88" s="133" t="s">
        <v>15</v>
      </c>
    </row>
    <row r="89" spans="2:94" ht="15" customHeight="1" x14ac:dyDescent="0.2">
      <c r="B89" s="136">
        <f ca="1">SUM(I89:CO89)</f>
        <v>11697955.794413233</v>
      </c>
      <c r="D89" s="259" t="s">
        <v>194</v>
      </c>
      <c r="E89" s="269"/>
      <c r="F89" s="133" t="s">
        <v>223</v>
      </c>
      <c r="I89" s="395">
        <f>MIN(-(SUM(I39:I41)+SUM(I76:I77)+I83),ConstLoanOBalance-SUM($H89:H89))</f>
        <v>0</v>
      </c>
      <c r="J89" s="395">
        <f ca="1">MIN(-(SUM(J39:J41)+SUM(J76:J77)+J83),ConstLoanOBalance-SUM($H89:I89))</f>
        <v>0</v>
      </c>
      <c r="K89" s="395">
        <f ca="1">MIN(-(SUM(K39:K41)+SUM(K76:K77)+K83),ConstLoanOBalance-SUM($H89:J89))</f>
        <v>0</v>
      </c>
      <c r="L89" s="395">
        <f ca="1">MIN(-(SUM(L39:L41)+SUM(L76:L77)+L83),ConstLoanOBalance-SUM($H89:K89))</f>
        <v>0</v>
      </c>
      <c r="M89" s="395">
        <f ca="1">MIN(-(SUM(M39:M41)+SUM(M76:M77)+M83),ConstLoanOBalance-SUM($H89:L89))</f>
        <v>0</v>
      </c>
      <c r="N89" s="395">
        <f ca="1">MIN(-(SUM(N39:N41)+SUM(N76:N77)+N83),ConstLoanOBalance-SUM($H89:M89))</f>
        <v>0</v>
      </c>
      <c r="O89" s="395">
        <f ca="1">MIN(-(SUM(O39:O41)+SUM(O76:O77)+O83),ConstLoanOBalance-SUM($H89:N89))</f>
        <v>0</v>
      </c>
      <c r="P89" s="395">
        <f ca="1">MIN(-(SUM(P39:P41)+SUM(P76:P77)+P83),ConstLoanOBalance-SUM($H89:O89))</f>
        <v>0</v>
      </c>
      <c r="Q89" s="395">
        <f ca="1">MIN(-(SUM(Q39:Q41)+SUM(Q76:Q77)+Q83),ConstLoanOBalance-SUM($H89:P89))</f>
        <v>0</v>
      </c>
      <c r="R89" s="395">
        <f ca="1">MIN(-(SUM(R39:R41)+SUM(R76:R77)+R83),ConstLoanOBalance-SUM($H89:Q89))</f>
        <v>0</v>
      </c>
      <c r="S89" s="395">
        <f ca="1">MIN(-(SUM(S39:S41)+SUM(S76:S77)+S83),ConstLoanOBalance-SUM($H89:R89))</f>
        <v>0</v>
      </c>
      <c r="T89" s="395">
        <f ca="1">MIN(-(SUM(T39:T41)+SUM(T76:T77)+T83),ConstLoanOBalance-SUM($H89:S89))</f>
        <v>0</v>
      </c>
      <c r="U89" s="395">
        <f ca="1">MIN(-(SUM(U39:U41)+SUM(U76:U77)+U83),ConstLoanOBalance-SUM($H89:T89))</f>
        <v>0</v>
      </c>
      <c r="V89" s="395">
        <f ca="1">MIN(-(SUM(V39:V41)+SUM(V76:V77)+V83),ConstLoanOBalance-SUM($H89:U89))</f>
        <v>0</v>
      </c>
      <c r="W89" s="395">
        <f ca="1">MIN(-(SUM(W39:W41)+SUM(W76:W77)+W83),ConstLoanOBalance-SUM($H89:V89))</f>
        <v>0</v>
      </c>
      <c r="X89" s="395">
        <f ca="1">MIN(-(SUM(X39:X41)+SUM(X76:X77)+X83),ConstLoanOBalance-SUM($H89:W89))</f>
        <v>449773.28533834737</v>
      </c>
      <c r="Y89" s="395">
        <f ca="1">MIN(-(SUM(Y39:Y41)+SUM(Y76:Y77)+Y83),ConstLoanOBalance-SUM($H89:X89))</f>
        <v>1240443.3873497124</v>
      </c>
      <c r="Z89" s="395">
        <f ca="1">MIN(-(SUM(Z39:Z41)+SUM(Z76:Z77)+Z83),ConstLoanOBalance-SUM($H89:Y89))</f>
        <v>1265948.6335659986</v>
      </c>
      <c r="AA89" s="395">
        <f ca="1">MIN(-(SUM(AA39:AA41)+SUM(AA76:AA77)+AA83),ConstLoanOBalance-SUM($H89:Z89))</f>
        <v>1270621.2468927118</v>
      </c>
      <c r="AB89" s="395">
        <f ca="1">MIN(-(SUM(AB39:AB41)+SUM(AB76:AB77)+AB83),ConstLoanOBalance-SUM($H89:AA89))</f>
        <v>1276065.2661681226</v>
      </c>
      <c r="AC89" s="395">
        <f ca="1">MIN(-(SUM(AC39:AC41)+SUM(AC76:AC77)+AC83),ConstLoanOBalance-SUM($H89:AB89))</f>
        <v>1313815.6667371551</v>
      </c>
      <c r="AD89" s="395">
        <f ca="1">MIN(-(SUM(AD39:AD41)+SUM(AD76:AD77)+AD83),ConstLoanOBalance-SUM($H89:AC89))</f>
        <v>1518695.3272951371</v>
      </c>
      <c r="AE89" s="395">
        <f ca="1">MIN(-(SUM(AE39:AE41)+SUM(AE76:AE77)+AE83),ConstLoanOBalance-SUM($H89:AD89))</f>
        <v>1415349.8387141544</v>
      </c>
      <c r="AF89" s="395">
        <f ca="1">MIN(-(SUM(AF39:AF41)+SUM(AF76:AF77)+AF83),ConstLoanOBalance-SUM($H89:AE89))</f>
        <v>621594.01087459177</v>
      </c>
      <c r="AG89" s="395">
        <f ca="1">MIN(-(SUM(AG39:AG41)+SUM(AG76:AG77)+AG83),ConstLoanOBalance-SUM($H89:AF89))</f>
        <v>1325649.1314773017</v>
      </c>
      <c r="AH89" s="395">
        <f ca="1">MIN(-(SUM(AH39:AH41)+SUM(AH76:AH77)+AH83),ConstLoanOBalance-SUM($H89:AG89))</f>
        <v>0</v>
      </c>
      <c r="AI89" s="395">
        <f ca="1">MIN(-(SUM(AI39:AI41)+SUM(AI76:AI77)+AI83),ConstLoanOBalance-SUM($H89:AH89))</f>
        <v>0</v>
      </c>
      <c r="AJ89" s="395">
        <f ca="1">MIN(-(SUM(AJ39:AJ41)+SUM(AJ76:AJ77)+AJ83),ConstLoanOBalance-SUM($H89:AI89))</f>
        <v>0</v>
      </c>
      <c r="AK89" s="395">
        <f ca="1">MIN(-(SUM(AK39:AK41)+SUM(AK76:AK77)+AK83),ConstLoanOBalance-SUM($H89:AJ89))</f>
        <v>0</v>
      </c>
      <c r="AL89" s="395">
        <f ca="1">MIN(-(SUM(AL39:AL41)+SUM(AL76:AL77)+AL83),ConstLoanOBalance-SUM($H89:AK89))</f>
        <v>0</v>
      </c>
      <c r="AM89" s="395">
        <f ca="1">MIN(-(SUM(AM39:AM41)+SUM(AM76:AM77)+AM83),ConstLoanOBalance-SUM($H89:AL89))</f>
        <v>0</v>
      </c>
      <c r="AN89" s="395">
        <f ca="1">MIN(-(SUM(AN39:AN41)+SUM(AN76:AN77)+AN83),ConstLoanOBalance-SUM($H89:AM89))</f>
        <v>0</v>
      </c>
      <c r="AO89" s="395">
        <f ca="1">MIN(-(SUM(AO39:AO41)+SUM(AO76:AO77)+AO83),ConstLoanOBalance-SUM($H89:AN89))</f>
        <v>0</v>
      </c>
      <c r="AP89" s="395">
        <f ca="1">MIN(-(SUM(AP39:AP41)+SUM(AP76:AP77)+AP83),ConstLoanOBalance-SUM($H89:AO89))</f>
        <v>0</v>
      </c>
      <c r="AQ89" s="395">
        <f ca="1">MIN(-(SUM(AQ39:AQ41)+SUM(AQ76:AQ77)+AQ83),ConstLoanOBalance-SUM($H89:AP89))</f>
        <v>0</v>
      </c>
      <c r="AR89" s="395">
        <f ca="1">MIN(-(SUM(AR39:AR41)+SUM(AR76:AR77)+AR83),ConstLoanOBalance-SUM($H89:AQ89))</f>
        <v>0</v>
      </c>
      <c r="AS89" s="395">
        <f ca="1">MIN(-(SUM(AS39:AS41)+SUM(AS76:AS77)+AS83),ConstLoanOBalance-SUM($H89:AR89))</f>
        <v>0</v>
      </c>
      <c r="AT89" s="395">
        <f ca="1">MIN(-(SUM(AT39:AT41)+SUM(AT76:AT77)+AT83),ConstLoanOBalance-SUM($H89:AS89))</f>
        <v>0</v>
      </c>
      <c r="AU89" s="395">
        <f ca="1">MIN(-(SUM(AU39:AU41)+SUM(AU76:AU77)+AU83),ConstLoanOBalance-SUM($H89:AT89))</f>
        <v>0</v>
      </c>
      <c r="AV89" s="395">
        <f ca="1">MIN(-(SUM(AV39:AV41)+SUM(AV76:AV77)+AV83),ConstLoanOBalance-SUM($H89:AU89))</f>
        <v>0</v>
      </c>
      <c r="AW89" s="395">
        <f ca="1">MIN(-(SUM(AW39:AW41)+SUM(AW76:AW77)+AW83),ConstLoanOBalance-SUM($H89:AV89))</f>
        <v>0</v>
      </c>
      <c r="AX89" s="395">
        <f ca="1">MIN(-(SUM(AX39:AX41)+SUM(AX76:AX77)+AX83),ConstLoanOBalance-SUM($H89:AW89))</f>
        <v>0</v>
      </c>
      <c r="AY89" s="395">
        <f ca="1">MIN(-(SUM(AY39:AY41)+SUM(AY76:AY77)+AY83),ConstLoanOBalance-SUM($H89:AX89))</f>
        <v>0</v>
      </c>
      <c r="AZ89" s="395">
        <f ca="1">MIN(-(SUM(AZ39:AZ41)+SUM(AZ76:AZ77)+AZ83),ConstLoanOBalance-SUM($H89:AY89))</f>
        <v>0</v>
      </c>
      <c r="BA89" s="395">
        <f ca="1">MIN(-(SUM(BA39:BA41)+SUM(BA76:BA77)+BA83),ConstLoanOBalance-SUM($H89:AZ89))</f>
        <v>0</v>
      </c>
      <c r="BB89" s="395">
        <f ca="1">MIN(-(SUM(BB39:BB41)+SUM(BB76:BB77)+BB83),ConstLoanOBalance-SUM($H89:BA89))</f>
        <v>0</v>
      </c>
      <c r="BC89" s="395">
        <f ca="1">MIN(-(SUM(BC39:BC41)+SUM(BC76:BC77)+BC83),ConstLoanOBalance-SUM($H89:BB89))</f>
        <v>0</v>
      </c>
      <c r="BD89" s="395">
        <f ca="1">MIN(-(SUM(BD39:BD41)+SUM(BD76:BD77)+BD83),ConstLoanOBalance-SUM($H89:BC89))</f>
        <v>0</v>
      </c>
      <c r="BE89" s="395">
        <f ca="1">MIN(-(SUM(BE39:BE41)+SUM(BE76:BE77)+BE83),ConstLoanOBalance-SUM($H89:BD89))</f>
        <v>0</v>
      </c>
      <c r="BF89" s="395">
        <f ca="1">MIN(-(SUM(BF39:BF41)+SUM(BF76:BF77)+BF83),ConstLoanOBalance-SUM($H89:BE89))</f>
        <v>0</v>
      </c>
      <c r="BG89" s="395">
        <f ca="1">MIN(-(SUM(BG39:BG41)+SUM(BG76:BG77)+BG83),ConstLoanOBalance-SUM($H89:BF89))</f>
        <v>0</v>
      </c>
      <c r="BH89" s="395">
        <f ca="1">MIN(-(SUM(BH39:BH41)+SUM(BH76:BH77)+BH83),ConstLoanOBalance-SUM($H89:BG89))</f>
        <v>0</v>
      </c>
      <c r="BI89" s="395">
        <f ca="1">MIN(-(SUM(BI39:BI41)+SUM(BI76:BI77)+BI83),ConstLoanOBalance-SUM($H89:BH89))</f>
        <v>0</v>
      </c>
      <c r="BJ89" s="395">
        <f ca="1">MIN(-(SUM(BJ39:BJ41)+SUM(BJ76:BJ77)+BJ83),ConstLoanOBalance-SUM($H89:BI89))</f>
        <v>0</v>
      </c>
      <c r="BK89" s="395">
        <f ca="1">MIN(-(SUM(BK39:BK41)+SUM(BK76:BK77)+BK83),ConstLoanOBalance-SUM($H89:BJ89))</f>
        <v>0</v>
      </c>
      <c r="BL89" s="395">
        <f ca="1">MIN(-(SUM(BL39:BL41)+SUM(BL76:BL77)+BL83),ConstLoanOBalance-SUM($H89:BK89))</f>
        <v>0</v>
      </c>
      <c r="BM89" s="395">
        <f ca="1">MIN(-(SUM(BM39:BM41)+SUM(BM76:BM77)+BM83),ConstLoanOBalance-SUM($H89:BL89))</f>
        <v>0</v>
      </c>
      <c r="BN89" s="395">
        <f ca="1">MIN(-(SUM(BN39:BN41)+SUM(BN76:BN77)+BN83),ConstLoanOBalance-SUM($H89:BM89))</f>
        <v>0</v>
      </c>
      <c r="BO89" s="395">
        <f ca="1">MIN(-(SUM(BO39:BO41)+SUM(BO76:BO77)+BO83),ConstLoanOBalance-SUM($H89:BN89))</f>
        <v>0</v>
      </c>
      <c r="BP89" s="395">
        <f ca="1">MIN(-(SUM(BP39:BP41)+SUM(BP76:BP77)+BP83),ConstLoanOBalance-SUM($H89:BO89))</f>
        <v>0</v>
      </c>
      <c r="BQ89" s="395">
        <f ca="1">MIN(-(SUM(BQ39:BQ41)+SUM(BQ76:BQ77)+BQ83),ConstLoanOBalance-SUM($H89:BP89))</f>
        <v>0</v>
      </c>
      <c r="BR89" s="395">
        <f ca="1">MIN(-(SUM(BR39:BR41)+SUM(BR76:BR77)+BR83),ConstLoanOBalance-SUM($H89:BQ89))</f>
        <v>0</v>
      </c>
      <c r="BS89" s="395">
        <f ca="1">MIN(-(SUM(BS39:BS41)+SUM(BS76:BS77)+BS83),ConstLoanOBalance-SUM($H89:BR89))</f>
        <v>0</v>
      </c>
      <c r="BT89" s="395">
        <f ca="1">MIN(-(SUM(BT39:BT41)+SUM(BT76:BT77)+BT83),ConstLoanOBalance-SUM($H89:BS89))</f>
        <v>0</v>
      </c>
      <c r="BU89" s="395">
        <f ca="1">MIN(-(SUM(BU39:BU41)+SUM(BU76:BU77)+BU83),ConstLoanOBalance-SUM($H89:BT89))</f>
        <v>0</v>
      </c>
      <c r="BV89" s="395">
        <f ca="1">MIN(-(SUM(BV39:BV41)+SUM(BV76:BV77)+BV83),ConstLoanOBalance-SUM($H89:BU89))</f>
        <v>0</v>
      </c>
      <c r="BW89" s="395">
        <f ca="1">MIN(-(SUM(BW39:BW41)+SUM(BW76:BW77)+BW83),ConstLoanOBalance-SUM($H89:BV89))</f>
        <v>0</v>
      </c>
      <c r="BX89" s="395">
        <f ca="1">MIN(-(SUM(BX39:BX41)+SUM(BX76:BX77)+BX83),ConstLoanOBalance-SUM($H89:BW89))</f>
        <v>0</v>
      </c>
      <c r="BY89" s="395">
        <f ca="1">MIN(-(SUM(BY39:BY41)+SUM(BY76:BY77)+BY83),ConstLoanOBalance-SUM($H89:BX89))</f>
        <v>0</v>
      </c>
      <c r="BZ89" s="395">
        <f ca="1">MIN(-(SUM(BZ39:BZ41)+SUM(BZ76:BZ77)+BZ83),ConstLoanOBalance-SUM($H89:BY89))</f>
        <v>0</v>
      </c>
      <c r="CA89" s="395">
        <f ca="1">MIN(-(SUM(CA39:CA41)+SUM(CA76:CA77)+CA83),ConstLoanOBalance-SUM($H89:BZ89))</f>
        <v>0</v>
      </c>
      <c r="CB89" s="395">
        <f ca="1">MIN(-(SUM(CB39:CB41)+SUM(CB76:CB77)+CB83),ConstLoanOBalance-SUM($H89:CA89))</f>
        <v>0</v>
      </c>
      <c r="CC89" s="395">
        <f ca="1">MIN(-(SUM(CC39:CC41)+SUM(CC76:CC77)+CC83),ConstLoanOBalance-SUM($H89:CB89))</f>
        <v>0</v>
      </c>
      <c r="CD89" s="395">
        <f ca="1">MIN(-(SUM(CD39:CD41)+SUM(CD76:CD77)+CD83),ConstLoanOBalance-SUM($H89:CC89))</f>
        <v>0</v>
      </c>
      <c r="CE89" s="395">
        <f ca="1">MIN(-(SUM(CE39:CE41)+SUM(CE76:CE77)+CE83),ConstLoanOBalance-SUM($H89:CD89))</f>
        <v>0</v>
      </c>
      <c r="CF89" s="395">
        <f ca="1">MIN(-(SUM(CF39:CF41)+SUM(CF76:CF77)+CF83),ConstLoanOBalance-SUM($H89:CE89))</f>
        <v>0</v>
      </c>
      <c r="CG89" s="395">
        <f ca="1">MIN(-(SUM(CG39:CG41)+SUM(CG76:CG77)+CG83),ConstLoanOBalance-SUM($H89:CF89))</f>
        <v>0</v>
      </c>
      <c r="CH89" s="395">
        <f ca="1">MIN(-(SUM(CH39:CH41)+SUM(CH76:CH77)+CH83),ConstLoanOBalance-SUM($H89:CG89))</f>
        <v>0</v>
      </c>
      <c r="CI89" s="395">
        <f ca="1">MIN(-(SUM(CI39:CI41)+SUM(CI76:CI77)+CI83),ConstLoanOBalance-SUM($H89:CH89))</f>
        <v>0</v>
      </c>
      <c r="CJ89" s="395">
        <f ca="1">MIN(-(SUM(CJ39:CJ41)+SUM(CJ76:CJ77)+CJ83),ConstLoanOBalance-SUM($H89:CI89))</f>
        <v>0</v>
      </c>
      <c r="CK89" s="395">
        <f ca="1">MIN(-(SUM(CK39:CK41)+SUM(CK76:CK77)+CK83),ConstLoanOBalance-SUM($H89:CJ89))</f>
        <v>0</v>
      </c>
      <c r="CL89" s="395">
        <f ca="1">MIN(-(SUM(CL39:CL41)+SUM(CL76:CL77)+CL83),ConstLoanOBalance-SUM($H89:CK89))</f>
        <v>0</v>
      </c>
      <c r="CM89" s="395">
        <f ca="1">MIN(-(SUM(CM39:CM41)+SUM(CM76:CM77)+CM83),ConstLoanOBalance-SUM($H89:CL89))</f>
        <v>0</v>
      </c>
      <c r="CN89" s="395">
        <f ca="1">MIN(-(SUM(CN39:CN41)+SUM(CN76:CN77)+CN83),ConstLoanOBalance-SUM($H89:CM89))</f>
        <v>0</v>
      </c>
      <c r="CO89" s="395">
        <f ca="1">MIN(-(SUM(CO39:CO41)+SUM(CO76:CO77)+CO83),ConstLoanOBalance-SUM($H89:CN89))</f>
        <v>0</v>
      </c>
      <c r="CP89" s="133" t="s">
        <v>15</v>
      </c>
    </row>
    <row r="90" spans="2:94" ht="15" customHeight="1" x14ac:dyDescent="0.2">
      <c r="B90" s="136">
        <f ca="1">SUM(I90:CO90)</f>
        <v>-11697955.794413233</v>
      </c>
      <c r="D90" s="259" t="s">
        <v>199</v>
      </c>
      <c r="E90" s="269"/>
      <c r="F90" s="133" t="s">
        <v>227</v>
      </c>
      <c r="I90" s="395">
        <f t="shared" ref="I90:AN90" si="79">-SUM(I88:I89)*(Today=ConstLoanMaturityDate)</f>
        <v>0</v>
      </c>
      <c r="J90" s="395">
        <f t="shared" ca="1" si="79"/>
        <v>0</v>
      </c>
      <c r="K90" s="395">
        <f t="shared" ca="1" si="79"/>
        <v>0</v>
      </c>
      <c r="L90" s="395">
        <f t="shared" ca="1" si="79"/>
        <v>0</v>
      </c>
      <c r="M90" s="395">
        <f t="shared" ca="1" si="79"/>
        <v>0</v>
      </c>
      <c r="N90" s="395">
        <f t="shared" ca="1" si="79"/>
        <v>0</v>
      </c>
      <c r="O90" s="395">
        <f t="shared" ca="1" si="79"/>
        <v>0</v>
      </c>
      <c r="P90" s="395">
        <f t="shared" ca="1" si="79"/>
        <v>0</v>
      </c>
      <c r="Q90" s="395">
        <f t="shared" ca="1" si="79"/>
        <v>0</v>
      </c>
      <c r="R90" s="395">
        <f t="shared" ca="1" si="79"/>
        <v>0</v>
      </c>
      <c r="S90" s="395">
        <f t="shared" ca="1" si="79"/>
        <v>0</v>
      </c>
      <c r="T90" s="395">
        <f t="shared" ca="1" si="79"/>
        <v>0</v>
      </c>
      <c r="U90" s="395">
        <f t="shared" ca="1" si="79"/>
        <v>0</v>
      </c>
      <c r="V90" s="395">
        <f t="shared" ca="1" si="79"/>
        <v>0</v>
      </c>
      <c r="W90" s="395">
        <f t="shared" ca="1" si="79"/>
        <v>0</v>
      </c>
      <c r="X90" s="395">
        <f t="shared" ca="1" si="79"/>
        <v>0</v>
      </c>
      <c r="Y90" s="395">
        <f t="shared" ca="1" si="79"/>
        <v>0</v>
      </c>
      <c r="Z90" s="395">
        <f t="shared" ca="1" si="79"/>
        <v>0</v>
      </c>
      <c r="AA90" s="395">
        <f t="shared" ca="1" si="79"/>
        <v>0</v>
      </c>
      <c r="AB90" s="395">
        <f t="shared" ca="1" si="79"/>
        <v>0</v>
      </c>
      <c r="AC90" s="395">
        <f t="shared" ca="1" si="79"/>
        <v>0</v>
      </c>
      <c r="AD90" s="395">
        <f t="shared" ca="1" si="79"/>
        <v>0</v>
      </c>
      <c r="AE90" s="395">
        <f t="shared" ca="1" si="79"/>
        <v>0</v>
      </c>
      <c r="AF90" s="395">
        <f t="shared" ca="1" si="79"/>
        <v>0</v>
      </c>
      <c r="AG90" s="395">
        <f t="shared" ca="1" si="79"/>
        <v>0</v>
      </c>
      <c r="AH90" s="395">
        <f t="shared" ca="1" si="79"/>
        <v>0</v>
      </c>
      <c r="AI90" s="395">
        <f t="shared" ca="1" si="79"/>
        <v>0</v>
      </c>
      <c r="AJ90" s="395">
        <f t="shared" ca="1" si="79"/>
        <v>0</v>
      </c>
      <c r="AK90" s="395">
        <f t="shared" ca="1" si="79"/>
        <v>0</v>
      </c>
      <c r="AL90" s="395">
        <f t="shared" ca="1" si="79"/>
        <v>0</v>
      </c>
      <c r="AM90" s="395">
        <f t="shared" ca="1" si="79"/>
        <v>0</v>
      </c>
      <c r="AN90" s="395">
        <f t="shared" ca="1" si="79"/>
        <v>0</v>
      </c>
      <c r="AO90" s="395">
        <f t="shared" ref="AO90:BT90" ca="1" si="80">-SUM(AO88:AO89)*(Today=ConstLoanMaturityDate)</f>
        <v>0</v>
      </c>
      <c r="AP90" s="395">
        <f t="shared" ca="1" si="80"/>
        <v>0</v>
      </c>
      <c r="AQ90" s="395">
        <f t="shared" ca="1" si="80"/>
        <v>0</v>
      </c>
      <c r="AR90" s="395">
        <f t="shared" ca="1" si="80"/>
        <v>0</v>
      </c>
      <c r="AS90" s="395">
        <f t="shared" ca="1" si="80"/>
        <v>-11697955.794413233</v>
      </c>
      <c r="AT90" s="395">
        <f t="shared" ca="1" si="80"/>
        <v>0</v>
      </c>
      <c r="AU90" s="395">
        <f t="shared" ca="1" si="80"/>
        <v>0</v>
      </c>
      <c r="AV90" s="395">
        <f t="shared" ca="1" si="80"/>
        <v>0</v>
      </c>
      <c r="AW90" s="395">
        <f t="shared" ca="1" si="80"/>
        <v>0</v>
      </c>
      <c r="AX90" s="395">
        <f t="shared" ca="1" si="80"/>
        <v>0</v>
      </c>
      <c r="AY90" s="395">
        <f t="shared" ca="1" si="80"/>
        <v>0</v>
      </c>
      <c r="AZ90" s="395">
        <f t="shared" ca="1" si="80"/>
        <v>0</v>
      </c>
      <c r="BA90" s="395">
        <f t="shared" ca="1" si="80"/>
        <v>0</v>
      </c>
      <c r="BB90" s="395">
        <f t="shared" ca="1" si="80"/>
        <v>0</v>
      </c>
      <c r="BC90" s="395">
        <f t="shared" ca="1" si="80"/>
        <v>0</v>
      </c>
      <c r="BD90" s="395">
        <f t="shared" ca="1" si="80"/>
        <v>0</v>
      </c>
      <c r="BE90" s="395">
        <f t="shared" ca="1" si="80"/>
        <v>0</v>
      </c>
      <c r="BF90" s="395">
        <f t="shared" ca="1" si="80"/>
        <v>0</v>
      </c>
      <c r="BG90" s="395">
        <f t="shared" ca="1" si="80"/>
        <v>0</v>
      </c>
      <c r="BH90" s="395">
        <f t="shared" ca="1" si="80"/>
        <v>0</v>
      </c>
      <c r="BI90" s="395">
        <f t="shared" ca="1" si="80"/>
        <v>0</v>
      </c>
      <c r="BJ90" s="395">
        <f t="shared" ca="1" si="80"/>
        <v>0</v>
      </c>
      <c r="BK90" s="395">
        <f t="shared" ca="1" si="80"/>
        <v>0</v>
      </c>
      <c r="BL90" s="395">
        <f t="shared" ca="1" si="80"/>
        <v>0</v>
      </c>
      <c r="BM90" s="395">
        <f t="shared" ca="1" si="80"/>
        <v>0</v>
      </c>
      <c r="BN90" s="395">
        <f t="shared" ca="1" si="80"/>
        <v>0</v>
      </c>
      <c r="BO90" s="395">
        <f t="shared" ca="1" si="80"/>
        <v>0</v>
      </c>
      <c r="BP90" s="395">
        <f t="shared" ca="1" si="80"/>
        <v>0</v>
      </c>
      <c r="BQ90" s="395">
        <f t="shared" ca="1" si="80"/>
        <v>0</v>
      </c>
      <c r="BR90" s="395">
        <f t="shared" ca="1" si="80"/>
        <v>0</v>
      </c>
      <c r="BS90" s="395">
        <f t="shared" ca="1" si="80"/>
        <v>0</v>
      </c>
      <c r="BT90" s="395">
        <f t="shared" ca="1" si="80"/>
        <v>0</v>
      </c>
      <c r="BU90" s="395">
        <f t="shared" ref="BU90:CO90" ca="1" si="81">-SUM(BU88:BU89)*(Today=ConstLoanMaturityDate)</f>
        <v>0</v>
      </c>
      <c r="BV90" s="395">
        <f t="shared" ca="1" si="81"/>
        <v>0</v>
      </c>
      <c r="BW90" s="395">
        <f t="shared" ca="1" si="81"/>
        <v>0</v>
      </c>
      <c r="BX90" s="395">
        <f t="shared" ca="1" si="81"/>
        <v>0</v>
      </c>
      <c r="BY90" s="395">
        <f t="shared" ca="1" si="81"/>
        <v>0</v>
      </c>
      <c r="BZ90" s="395">
        <f t="shared" ca="1" si="81"/>
        <v>0</v>
      </c>
      <c r="CA90" s="395">
        <f t="shared" ca="1" si="81"/>
        <v>0</v>
      </c>
      <c r="CB90" s="395">
        <f t="shared" ca="1" si="81"/>
        <v>0</v>
      </c>
      <c r="CC90" s="395">
        <f t="shared" ca="1" si="81"/>
        <v>0</v>
      </c>
      <c r="CD90" s="395">
        <f t="shared" ca="1" si="81"/>
        <v>0</v>
      </c>
      <c r="CE90" s="395">
        <f t="shared" ca="1" si="81"/>
        <v>0</v>
      </c>
      <c r="CF90" s="395">
        <f t="shared" ca="1" si="81"/>
        <v>0</v>
      </c>
      <c r="CG90" s="395">
        <f t="shared" ca="1" si="81"/>
        <v>0</v>
      </c>
      <c r="CH90" s="395">
        <f t="shared" ca="1" si="81"/>
        <v>0</v>
      </c>
      <c r="CI90" s="395">
        <f t="shared" ca="1" si="81"/>
        <v>0</v>
      </c>
      <c r="CJ90" s="395">
        <f t="shared" ca="1" si="81"/>
        <v>0</v>
      </c>
      <c r="CK90" s="395">
        <f t="shared" ca="1" si="81"/>
        <v>0</v>
      </c>
      <c r="CL90" s="395">
        <f t="shared" ca="1" si="81"/>
        <v>0</v>
      </c>
      <c r="CM90" s="395">
        <f t="shared" ca="1" si="81"/>
        <v>0</v>
      </c>
      <c r="CN90" s="395">
        <f t="shared" ca="1" si="81"/>
        <v>0</v>
      </c>
      <c r="CO90" s="395">
        <f t="shared" ca="1" si="81"/>
        <v>0</v>
      </c>
      <c r="CP90" s="133" t="s">
        <v>15</v>
      </c>
    </row>
    <row r="91" spans="2:94" ht="15" customHeight="1" x14ac:dyDescent="0.2">
      <c r="D91" s="259"/>
      <c r="E91" s="269"/>
      <c r="F91" s="133" t="s">
        <v>224</v>
      </c>
      <c r="I91" s="395">
        <f>SUM(I88:I90)</f>
        <v>0</v>
      </c>
      <c r="J91" s="395">
        <f t="shared" ref="J91:BU91" ca="1" si="82">SUM(J88:J90)</f>
        <v>0</v>
      </c>
      <c r="K91" s="395">
        <f t="shared" ca="1" si="82"/>
        <v>0</v>
      </c>
      <c r="L91" s="395">
        <f t="shared" ca="1" si="82"/>
        <v>0</v>
      </c>
      <c r="M91" s="395">
        <f t="shared" ca="1" si="82"/>
        <v>0</v>
      </c>
      <c r="N91" s="395">
        <f t="shared" ca="1" si="82"/>
        <v>0</v>
      </c>
      <c r="O91" s="395">
        <f t="shared" ca="1" si="82"/>
        <v>0</v>
      </c>
      <c r="P91" s="395">
        <f t="shared" ca="1" si="82"/>
        <v>0</v>
      </c>
      <c r="Q91" s="395">
        <f t="shared" ca="1" si="82"/>
        <v>0</v>
      </c>
      <c r="R91" s="395">
        <f t="shared" ca="1" si="82"/>
        <v>0</v>
      </c>
      <c r="S91" s="395">
        <f t="shared" ca="1" si="82"/>
        <v>0</v>
      </c>
      <c r="T91" s="395">
        <f t="shared" ca="1" si="82"/>
        <v>0</v>
      </c>
      <c r="U91" s="395">
        <f t="shared" ca="1" si="82"/>
        <v>0</v>
      </c>
      <c r="V91" s="395">
        <f t="shared" ca="1" si="82"/>
        <v>0</v>
      </c>
      <c r="W91" s="395">
        <f t="shared" ca="1" si="82"/>
        <v>0</v>
      </c>
      <c r="X91" s="395">
        <f t="shared" ca="1" si="82"/>
        <v>449773.28533834737</v>
      </c>
      <c r="Y91" s="395">
        <f t="shared" ca="1" si="82"/>
        <v>1690216.6726880597</v>
      </c>
      <c r="Z91" s="395">
        <f t="shared" ca="1" si="82"/>
        <v>2956165.3062540581</v>
      </c>
      <c r="AA91" s="395">
        <f t="shared" ca="1" si="82"/>
        <v>4226786.5531467702</v>
      </c>
      <c r="AB91" s="395">
        <f t="shared" ca="1" si="82"/>
        <v>5502851.8193148933</v>
      </c>
      <c r="AC91" s="395">
        <f t="shared" ca="1" si="82"/>
        <v>6816667.4860520484</v>
      </c>
      <c r="AD91" s="395">
        <f t="shared" ca="1" si="82"/>
        <v>8335362.813347185</v>
      </c>
      <c r="AE91" s="395">
        <f t="shared" ca="1" si="82"/>
        <v>9750712.6520613395</v>
      </c>
      <c r="AF91" s="395">
        <f t="shared" ca="1" si="82"/>
        <v>10372306.662935931</v>
      </c>
      <c r="AG91" s="395">
        <f t="shared" ca="1" si="82"/>
        <v>11697955.794413233</v>
      </c>
      <c r="AH91" s="395">
        <f t="shared" ca="1" si="82"/>
        <v>11697955.794413233</v>
      </c>
      <c r="AI91" s="395">
        <f t="shared" ca="1" si="82"/>
        <v>11697955.794413233</v>
      </c>
      <c r="AJ91" s="395">
        <f t="shared" ca="1" si="82"/>
        <v>11697955.794413233</v>
      </c>
      <c r="AK91" s="395">
        <f t="shared" ca="1" si="82"/>
        <v>11697955.794413233</v>
      </c>
      <c r="AL91" s="395">
        <f t="shared" ca="1" si="82"/>
        <v>11697955.794413233</v>
      </c>
      <c r="AM91" s="395">
        <f t="shared" ca="1" si="82"/>
        <v>11697955.794413233</v>
      </c>
      <c r="AN91" s="395">
        <f t="shared" ca="1" si="82"/>
        <v>11697955.794413233</v>
      </c>
      <c r="AO91" s="395">
        <f t="shared" ca="1" si="82"/>
        <v>11697955.794413233</v>
      </c>
      <c r="AP91" s="395">
        <f t="shared" ca="1" si="82"/>
        <v>11697955.794413233</v>
      </c>
      <c r="AQ91" s="395">
        <f t="shared" ca="1" si="82"/>
        <v>11697955.794413233</v>
      </c>
      <c r="AR91" s="395">
        <f t="shared" ca="1" si="82"/>
        <v>11697955.794413233</v>
      </c>
      <c r="AS91" s="395">
        <f t="shared" ca="1" si="82"/>
        <v>0</v>
      </c>
      <c r="AT91" s="395">
        <f t="shared" ca="1" si="82"/>
        <v>0</v>
      </c>
      <c r="AU91" s="395">
        <f t="shared" ca="1" si="82"/>
        <v>0</v>
      </c>
      <c r="AV91" s="395">
        <f t="shared" ca="1" si="82"/>
        <v>0</v>
      </c>
      <c r="AW91" s="395">
        <f t="shared" ca="1" si="82"/>
        <v>0</v>
      </c>
      <c r="AX91" s="395">
        <f t="shared" ca="1" si="82"/>
        <v>0</v>
      </c>
      <c r="AY91" s="395">
        <f t="shared" ca="1" si="82"/>
        <v>0</v>
      </c>
      <c r="AZ91" s="395">
        <f t="shared" ca="1" si="82"/>
        <v>0</v>
      </c>
      <c r="BA91" s="395">
        <f t="shared" ca="1" si="82"/>
        <v>0</v>
      </c>
      <c r="BB91" s="395">
        <f t="shared" ca="1" si="82"/>
        <v>0</v>
      </c>
      <c r="BC91" s="395">
        <f t="shared" ca="1" si="82"/>
        <v>0</v>
      </c>
      <c r="BD91" s="395">
        <f t="shared" ca="1" si="82"/>
        <v>0</v>
      </c>
      <c r="BE91" s="395">
        <f t="shared" ca="1" si="82"/>
        <v>0</v>
      </c>
      <c r="BF91" s="395">
        <f t="shared" ca="1" si="82"/>
        <v>0</v>
      </c>
      <c r="BG91" s="395">
        <f t="shared" ca="1" si="82"/>
        <v>0</v>
      </c>
      <c r="BH91" s="395">
        <f t="shared" ca="1" si="82"/>
        <v>0</v>
      </c>
      <c r="BI91" s="395">
        <f t="shared" ca="1" si="82"/>
        <v>0</v>
      </c>
      <c r="BJ91" s="395">
        <f t="shared" ca="1" si="82"/>
        <v>0</v>
      </c>
      <c r="BK91" s="395">
        <f t="shared" ca="1" si="82"/>
        <v>0</v>
      </c>
      <c r="BL91" s="395">
        <f t="shared" ca="1" si="82"/>
        <v>0</v>
      </c>
      <c r="BM91" s="395">
        <f t="shared" ca="1" si="82"/>
        <v>0</v>
      </c>
      <c r="BN91" s="395">
        <f t="shared" ca="1" si="82"/>
        <v>0</v>
      </c>
      <c r="BO91" s="395">
        <f t="shared" ca="1" si="82"/>
        <v>0</v>
      </c>
      <c r="BP91" s="395">
        <f t="shared" ca="1" si="82"/>
        <v>0</v>
      </c>
      <c r="BQ91" s="395">
        <f t="shared" ca="1" si="82"/>
        <v>0</v>
      </c>
      <c r="BR91" s="395">
        <f t="shared" ca="1" si="82"/>
        <v>0</v>
      </c>
      <c r="BS91" s="395">
        <f t="shared" ca="1" si="82"/>
        <v>0</v>
      </c>
      <c r="BT91" s="395">
        <f t="shared" ca="1" si="82"/>
        <v>0</v>
      </c>
      <c r="BU91" s="395">
        <f t="shared" ca="1" si="82"/>
        <v>0</v>
      </c>
      <c r="BV91" s="395">
        <f t="shared" ref="BV91:CO91" ca="1" si="83">SUM(BV88:BV90)</f>
        <v>0</v>
      </c>
      <c r="BW91" s="395">
        <f t="shared" ca="1" si="83"/>
        <v>0</v>
      </c>
      <c r="BX91" s="395">
        <f t="shared" ca="1" si="83"/>
        <v>0</v>
      </c>
      <c r="BY91" s="395">
        <f t="shared" ca="1" si="83"/>
        <v>0</v>
      </c>
      <c r="BZ91" s="395">
        <f t="shared" ca="1" si="83"/>
        <v>0</v>
      </c>
      <c r="CA91" s="395">
        <f t="shared" ca="1" si="83"/>
        <v>0</v>
      </c>
      <c r="CB91" s="395">
        <f t="shared" ca="1" si="83"/>
        <v>0</v>
      </c>
      <c r="CC91" s="395">
        <f t="shared" ca="1" si="83"/>
        <v>0</v>
      </c>
      <c r="CD91" s="395">
        <f t="shared" ca="1" si="83"/>
        <v>0</v>
      </c>
      <c r="CE91" s="395">
        <f t="shared" ca="1" si="83"/>
        <v>0</v>
      </c>
      <c r="CF91" s="395">
        <f t="shared" ca="1" si="83"/>
        <v>0</v>
      </c>
      <c r="CG91" s="395">
        <f t="shared" ca="1" si="83"/>
        <v>0</v>
      </c>
      <c r="CH91" s="395">
        <f t="shared" ca="1" si="83"/>
        <v>0</v>
      </c>
      <c r="CI91" s="395">
        <f t="shared" ca="1" si="83"/>
        <v>0</v>
      </c>
      <c r="CJ91" s="395">
        <f t="shared" ca="1" si="83"/>
        <v>0</v>
      </c>
      <c r="CK91" s="395">
        <f t="shared" ca="1" si="83"/>
        <v>0</v>
      </c>
      <c r="CL91" s="395">
        <f t="shared" ca="1" si="83"/>
        <v>0</v>
      </c>
      <c r="CM91" s="395">
        <f t="shared" ca="1" si="83"/>
        <v>0</v>
      </c>
      <c r="CN91" s="395">
        <f t="shared" ca="1" si="83"/>
        <v>0</v>
      </c>
      <c r="CO91" s="395">
        <f t="shared" ca="1" si="83"/>
        <v>0</v>
      </c>
      <c r="CP91" s="133" t="s">
        <v>15</v>
      </c>
    </row>
    <row r="92" spans="2:94" ht="15" customHeight="1" x14ac:dyDescent="0.2">
      <c r="D92" s="259"/>
      <c r="E92" s="269"/>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row>
    <row r="93" spans="2:94" s="133" customFormat="1" ht="15" customHeight="1" x14ac:dyDescent="0.2">
      <c r="D93" s="259" t="s">
        <v>194</v>
      </c>
      <c r="E93" s="259"/>
      <c r="F93" s="133" t="s">
        <v>229</v>
      </c>
      <c r="I93" s="397">
        <f>INDEX(Libor!$C$11:$DS$11, MATCH(I28,Libor!$C$9:$DS$9,0))</f>
        <v>1.4924999999999999E-3</v>
      </c>
      <c r="J93" s="397">
        <f>INDEX(Libor!$C$11:$DS$11, MATCH(J28,Libor!$C$9:$DS$9,0))</f>
        <v>1.5746E-3</v>
      </c>
      <c r="K93" s="397">
        <f>INDEX(Libor!$C$11:$DS$11, MATCH(K28,Libor!$C$9:$DS$9,0))</f>
        <v>1.6548000000000001E-3</v>
      </c>
      <c r="L93" s="397">
        <f>INDEX(Libor!$C$11:$DS$11, MATCH(L28,Libor!$C$9:$DS$9,0))</f>
        <v>1.7305000000000001E-3</v>
      </c>
      <c r="M93" s="397">
        <f>INDEX(Libor!$C$11:$DS$11, MATCH(M28,Libor!$C$9:$DS$9,0))</f>
        <v>1.7340000000000001E-3</v>
      </c>
      <c r="N93" s="397">
        <f>INDEX(Libor!$C$11:$DS$11, MATCH(N28,Libor!$C$9:$DS$9,0))</f>
        <v>1.6393E-3</v>
      </c>
      <c r="O93" s="397">
        <f>INDEX(Libor!$C$11:$DS$11, MATCH(O28,Libor!$C$9:$DS$9,0))</f>
        <v>1.4936000000000001E-3</v>
      </c>
      <c r="P93" s="397">
        <f>INDEX(Libor!$C$11:$DS$11, MATCH(P28,Libor!$C$9:$DS$9,0))</f>
        <v>1.3757999999999999E-3</v>
      </c>
      <c r="Q93" s="397">
        <f>INDEX(Libor!$C$11:$DS$11, MATCH(Q28,Libor!$C$9:$DS$9,0))</f>
        <v>1.3131E-3</v>
      </c>
      <c r="R93" s="397">
        <f>INDEX(Libor!$C$11:$DS$11, MATCH(R28,Libor!$C$9:$DS$9,0))</f>
        <v>1.3266E-3</v>
      </c>
      <c r="S93" s="397">
        <f>INDEX(Libor!$C$11:$DS$11, MATCH(S28,Libor!$C$9:$DS$9,0))</f>
        <v>1.3895999999999999E-3</v>
      </c>
      <c r="T93" s="397">
        <f>INDEX(Libor!$C$11:$DS$11, MATCH(T28,Libor!$C$9:$DS$9,0))</f>
        <v>1.4629000000000001E-3</v>
      </c>
      <c r="U93" s="397">
        <f>INDEX(Libor!$C$11:$DS$11, MATCH(U28,Libor!$C$9:$DS$9,0))</f>
        <v>1.5439E-3</v>
      </c>
      <c r="V93" s="397">
        <f>INDEX(Libor!$C$11:$DS$11, MATCH(V28,Libor!$C$9:$DS$9,0))</f>
        <v>1.6184999999999999E-3</v>
      </c>
      <c r="W93" s="397">
        <f>INDEX(Libor!$C$11:$DS$11, MATCH(W28,Libor!$C$9:$DS$9,0))</f>
        <v>1.6576E-3</v>
      </c>
      <c r="X93" s="397">
        <f>INDEX(Libor!$C$11:$DS$11, MATCH(X28,Libor!$C$9:$DS$9,0))</f>
        <v>1.6731000000000001E-3</v>
      </c>
      <c r="Y93" s="397">
        <f>INDEX(Libor!$C$11:$DS$11, MATCH(Y28,Libor!$C$9:$DS$9,0))</f>
        <v>1.6505000000000001E-3</v>
      </c>
      <c r="Z93" s="397">
        <f>INDEX(Libor!$C$11:$DS$11, MATCH(Z28,Libor!$C$9:$DS$9,0))</f>
        <v>1.572E-3</v>
      </c>
      <c r="AA93" s="397">
        <f>INDEX(Libor!$C$11:$DS$11, MATCH(AA28,Libor!$C$9:$DS$9,0))</f>
        <v>1.4832000000000001E-3</v>
      </c>
      <c r="AB93" s="397">
        <f>INDEX(Libor!$C$11:$DS$11, MATCH(AB28,Libor!$C$9:$DS$9,0))</f>
        <v>1.4182999999999999E-3</v>
      </c>
      <c r="AC93" s="397">
        <f>INDEX(Libor!$C$11:$DS$11, MATCH(AC28,Libor!$C$9:$DS$9,0))</f>
        <v>1.3636E-3</v>
      </c>
      <c r="AD93" s="397">
        <f>INDEX(Libor!$C$11:$DS$11, MATCH(AD28,Libor!$C$9:$DS$9,0))</f>
        <v>1.3674E-3</v>
      </c>
      <c r="AE93" s="397">
        <f>INDEX(Libor!$C$11:$DS$11, MATCH(AE28,Libor!$C$9:$DS$9,0))</f>
        <v>1.4319999999999999E-3</v>
      </c>
      <c r="AF93" s="397">
        <f>INDEX(Libor!$C$11:$DS$11, MATCH(AF28,Libor!$C$9:$DS$9,0))</f>
        <v>1.5107E-3</v>
      </c>
      <c r="AG93" s="397">
        <f>INDEX(Libor!$C$11:$DS$11, MATCH(AG28,Libor!$C$9:$DS$9,0))</f>
        <v>1.6359E-3</v>
      </c>
      <c r="AH93" s="397">
        <f>INDEX(Libor!$C$11:$DS$11, MATCH(AH28,Libor!$C$9:$DS$9,0))</f>
        <v>1.7925E-3</v>
      </c>
      <c r="AI93" s="397">
        <f>INDEX(Libor!$C$11:$DS$11, MATCH(AI28,Libor!$C$9:$DS$9,0))</f>
        <v>1.9195E-3</v>
      </c>
      <c r="AJ93" s="397">
        <f>INDEX(Libor!$C$11:$DS$11, MATCH(AJ28,Libor!$C$9:$DS$9,0))</f>
        <v>2.075E-3</v>
      </c>
      <c r="AK93" s="397">
        <f>INDEX(Libor!$C$11:$DS$11, MATCH(AK28,Libor!$C$9:$DS$9,0))</f>
        <v>2.2303000000000002E-3</v>
      </c>
      <c r="AL93" s="397">
        <f>INDEX(Libor!$C$11:$DS$11, MATCH(AL28,Libor!$C$9:$DS$9,0))</f>
        <v>2.3571E-3</v>
      </c>
      <c r="AM93" s="397">
        <f>INDEX(Libor!$C$11:$DS$11, MATCH(AM28,Libor!$C$9:$DS$9,0))</f>
        <v>2.4913000000000001E-3</v>
      </c>
      <c r="AN93" s="397">
        <f>INDEX(Libor!$C$11:$DS$11, MATCH(AN28,Libor!$C$9:$DS$9,0))</f>
        <v>2.6353000000000001E-3</v>
      </c>
      <c r="AO93" s="397">
        <f>INDEX(Libor!$C$11:$DS$11, MATCH(AO28,Libor!$C$9:$DS$9,0))</f>
        <v>2.7579000000000002E-3</v>
      </c>
      <c r="AP93" s="397">
        <f>INDEX(Libor!$C$11:$DS$11, MATCH(AP28,Libor!$C$9:$DS$9,0))</f>
        <v>2.8946000000000002E-3</v>
      </c>
      <c r="AQ93" s="397">
        <f>INDEX(Libor!$C$11:$DS$11, MATCH(AQ28,Libor!$C$9:$DS$9,0))</f>
        <v>3.0430000000000001E-3</v>
      </c>
      <c r="AR93" s="397">
        <f>INDEX(Libor!$C$11:$DS$11, MATCH(AR28,Libor!$C$9:$DS$9,0))</f>
        <v>3.1805000000000002E-3</v>
      </c>
      <c r="AS93" s="397">
        <f>INDEX(Libor!$C$11:$DS$11, MATCH(AS28,Libor!$C$9:$DS$9,0))</f>
        <v>3.3303E-3</v>
      </c>
      <c r="AT93" s="397">
        <f>INDEX(Libor!$C$11:$DS$11, MATCH(AT28,Libor!$C$9:$DS$9,0))</f>
        <v>3.4998E-3</v>
      </c>
      <c r="AU93" s="397">
        <f>INDEX(Libor!$C$11:$DS$11, MATCH(AU28,Libor!$C$9:$DS$9,0))</f>
        <v>3.6478000000000001E-3</v>
      </c>
      <c r="AV93" s="397">
        <f>INDEX(Libor!$C$11:$DS$11, MATCH(AV28,Libor!$C$9:$DS$9,0))</f>
        <v>3.8257999999999999E-3</v>
      </c>
      <c r="AW93" s="397">
        <f>INDEX(Libor!$C$11:$DS$11, MATCH(AW28,Libor!$C$9:$DS$9,0))</f>
        <v>4.0179999999999999E-3</v>
      </c>
      <c r="AX93" s="397">
        <f>INDEX(Libor!$C$11:$DS$11, MATCH(AX28,Libor!$C$9:$DS$9,0))</f>
        <v>4.1910999999999997E-3</v>
      </c>
      <c r="AY93" s="397">
        <f>INDEX(Libor!$C$11:$DS$11, MATCH(AY28,Libor!$C$9:$DS$9,0))</f>
        <v>4.3829000000000003E-3</v>
      </c>
      <c r="AZ93" s="397">
        <f>INDEX(Libor!$C$11:$DS$11, MATCH(AZ28,Libor!$C$9:$DS$9,0))</f>
        <v>4.5864E-3</v>
      </c>
      <c r="BA93" s="397">
        <f>INDEX(Libor!$C$11:$DS$11, MATCH(BA28,Libor!$C$9:$DS$9,0))</f>
        <v>4.7821000000000001E-3</v>
      </c>
      <c r="BB93" s="397">
        <f>INDEX(Libor!$C$11:$DS$11, MATCH(BB28,Libor!$C$9:$DS$9,0))</f>
        <v>4.9874999999999997E-3</v>
      </c>
      <c r="BC93" s="397">
        <f>INDEX(Libor!$C$11:$DS$11, MATCH(BC28,Libor!$C$9:$DS$9,0))</f>
        <v>5.2025999999999999E-3</v>
      </c>
      <c r="BD93" s="397">
        <f>INDEX(Libor!$C$11:$DS$11, MATCH(BD28,Libor!$C$9:$DS$9,0))</f>
        <v>5.4098999999999996E-3</v>
      </c>
      <c r="BE93" s="397">
        <f>INDEX(Libor!$C$11:$DS$11, MATCH(BE28,Libor!$C$9:$DS$9,0))</f>
        <v>5.6248000000000001E-3</v>
      </c>
      <c r="BF93" s="397">
        <f>INDEX(Libor!$C$11:$DS$11, MATCH(BF28,Libor!$C$9:$DS$9,0))</f>
        <v>5.8517999999999999E-3</v>
      </c>
      <c r="BG93" s="397">
        <f>INDEX(Libor!$C$11:$DS$11, MATCH(BG28,Libor!$C$9:$DS$9,0))</f>
        <v>6.0464999999999998E-3</v>
      </c>
      <c r="BH93" s="397">
        <f>INDEX(Libor!$C$11:$DS$11, MATCH(BH28,Libor!$C$9:$DS$9,0))</f>
        <v>6.2646000000000004E-3</v>
      </c>
      <c r="BI93" s="397">
        <f>INDEX(Libor!$C$11:$DS$11, MATCH(BI28,Libor!$C$9:$DS$9,0))</f>
        <v>6.4850000000000003E-3</v>
      </c>
      <c r="BJ93" s="397">
        <f>INDEX(Libor!$C$11:$DS$11, MATCH(BJ28,Libor!$C$9:$DS$9,0))</f>
        <v>6.6765000000000001E-3</v>
      </c>
      <c r="BK93" s="397">
        <f>INDEX(Libor!$C$11:$DS$11, MATCH(BK28,Libor!$C$9:$DS$9,0))</f>
        <v>6.8779000000000002E-3</v>
      </c>
      <c r="BL93" s="397">
        <f>INDEX(Libor!$C$11:$DS$11, MATCH(BL28,Libor!$C$9:$DS$9,0))</f>
        <v>7.0809999999999996E-3</v>
      </c>
      <c r="BM93" s="397">
        <f>INDEX(Libor!$C$11:$DS$11, MATCH(BM28,Libor!$C$9:$DS$9,0))</f>
        <v>7.2712000000000002E-3</v>
      </c>
      <c r="BN93" s="397">
        <f>INDEX(Libor!$C$11:$DS$11, MATCH(BN28,Libor!$C$9:$DS$9,0))</f>
        <v>7.4647000000000003E-3</v>
      </c>
      <c r="BO93" s="397">
        <f>INDEX(Libor!$C$11:$DS$11, MATCH(BO28,Libor!$C$9:$DS$9,0))</f>
        <v>7.6677999999999998E-3</v>
      </c>
      <c r="BP93" s="397">
        <f>INDEX(Libor!$C$11:$DS$11, MATCH(BP28,Libor!$C$9:$DS$9,0))</f>
        <v>7.8446000000000002E-3</v>
      </c>
      <c r="BQ93" s="397">
        <f>INDEX(Libor!$C$11:$DS$11, MATCH(BQ28,Libor!$C$9:$DS$9,0))</f>
        <v>8.0316999999999993E-3</v>
      </c>
      <c r="BR93" s="397">
        <f>INDEX(Libor!$C$11:$DS$11, MATCH(BR28,Libor!$C$9:$DS$9,0))</f>
        <v>8.2282999999999992E-3</v>
      </c>
      <c r="BS93" s="397">
        <f>INDEX(Libor!$C$11:$DS$11, MATCH(BS28,Libor!$C$9:$DS$9,0))</f>
        <v>8.3823999999999999E-3</v>
      </c>
      <c r="BT93" s="397">
        <f>INDEX(Libor!$C$11:$DS$11, MATCH(BT28,Libor!$C$9:$DS$9,0))</f>
        <v>8.5734000000000001E-3</v>
      </c>
      <c r="BU93" s="397">
        <f>INDEX(Libor!$C$11:$DS$11, MATCH(BU28,Libor!$C$9:$DS$9,0))</f>
        <v>8.7551E-3</v>
      </c>
      <c r="BV93" s="397">
        <f>INDEX(Libor!$C$11:$DS$11, MATCH(BV28,Libor!$C$9:$DS$9,0))</f>
        <v>8.9055999999999996E-3</v>
      </c>
      <c r="BW93" s="397">
        <f>INDEX(Libor!$C$11:$DS$11, MATCH(BW28,Libor!$C$9:$DS$9,0))</f>
        <v>9.0629999999999999E-3</v>
      </c>
      <c r="BX93" s="397">
        <f>INDEX(Libor!$C$11:$DS$11, MATCH(BX28,Libor!$C$9:$DS$9,0))</f>
        <v>9.2271999999999996E-3</v>
      </c>
      <c r="BY93" s="397">
        <f>INDEX(Libor!$C$11:$DS$11, MATCH(BY28,Libor!$C$9:$DS$9,0))</f>
        <v>9.3633999999999992E-3</v>
      </c>
      <c r="BZ93" s="397">
        <f>INDEX(Libor!$C$11:$DS$11, MATCH(BZ28,Libor!$C$9:$DS$9,0))</f>
        <v>9.5090000000000001E-3</v>
      </c>
      <c r="CA93" s="397">
        <f>INDEX(Libor!$C$11:$DS$11, MATCH(CA28,Libor!$C$9:$DS$9,0))</f>
        <v>9.6644999999999995E-3</v>
      </c>
      <c r="CB93" s="397">
        <f>INDEX(Libor!$C$11:$DS$11, MATCH(CB28,Libor!$C$9:$DS$9,0))</f>
        <v>9.7949000000000005E-3</v>
      </c>
      <c r="CC93" s="397">
        <f>INDEX(Libor!$C$11:$DS$11, MATCH(CC28,Libor!$C$9:$DS$9,0))</f>
        <v>9.9351000000000005E-3</v>
      </c>
      <c r="CD93" s="397">
        <f>INDEX(Libor!$C$11:$DS$11, MATCH(CD28,Libor!$C$9:$DS$9,0))</f>
        <v>1.0087E-2</v>
      </c>
      <c r="CE93" s="397">
        <f>INDEX(Libor!$C$11:$DS$11, MATCH(CE28,Libor!$C$9:$DS$9,0))</f>
        <v>1.0211700000000001E-2</v>
      </c>
      <c r="CF93" s="397">
        <f>INDEX(Libor!$C$11:$DS$11, MATCH(CF28,Libor!$C$9:$DS$9,0))</f>
        <v>1.0354800000000001E-2</v>
      </c>
      <c r="CG93" s="397">
        <f>INDEX(Libor!$C$11:$DS$11, MATCH(CG28,Libor!$C$9:$DS$9,0))</f>
        <v>1.0505199999999999E-2</v>
      </c>
      <c r="CH93" s="397">
        <f>INDEX(Libor!$C$11:$DS$11, MATCH(CH28,Libor!$C$9:$DS$9,0))</f>
        <v>1.06149E-2</v>
      </c>
      <c r="CI93" s="397">
        <f>INDEX(Libor!$C$11:$DS$11, MATCH(CI28,Libor!$C$9:$DS$9,0))</f>
        <v>1.07642E-2</v>
      </c>
      <c r="CJ93" s="397">
        <f>INDEX(Libor!$C$11:$DS$11, MATCH(CJ28,Libor!$C$9:$DS$9,0))</f>
        <v>1.0906900000000001E-2</v>
      </c>
      <c r="CK93" s="397">
        <f>INDEX(Libor!$C$11:$DS$11, MATCH(CK28,Libor!$C$9:$DS$9,0))</f>
        <v>1.10244E-2</v>
      </c>
      <c r="CL93" s="397">
        <f>INDEX(Libor!$C$11:$DS$11, MATCH(CL28,Libor!$C$9:$DS$9,0))</f>
        <v>1.1150500000000001E-2</v>
      </c>
      <c r="CM93" s="397">
        <f>INDEX(Libor!$C$11:$DS$11, MATCH(CM28,Libor!$C$9:$DS$9,0))</f>
        <v>1.12862E-2</v>
      </c>
      <c r="CN93" s="397">
        <f>INDEX(Libor!$C$11:$DS$11, MATCH(CN28,Libor!$C$9:$DS$9,0))</f>
        <v>1.1395799999999999E-2</v>
      </c>
      <c r="CO93" s="397">
        <f>INDEX(Libor!$C$11:$DS$11, MATCH(CO28,Libor!$C$9:$DS$9,0))</f>
        <v>1.15155E-2</v>
      </c>
      <c r="CP93" s="133" t="s">
        <v>15</v>
      </c>
    </row>
    <row r="94" spans="2:94" s="133" customFormat="1" ht="15" customHeight="1" x14ac:dyDescent="0.2">
      <c r="D94" s="259" t="s">
        <v>194</v>
      </c>
      <c r="E94" s="259"/>
      <c r="F94" s="133" t="s">
        <v>158</v>
      </c>
      <c r="G94" s="396">
        <f>ConstLoanSpread</f>
        <v>4.4999999999999998E-2</v>
      </c>
      <c r="I94" s="396">
        <f>$G$94</f>
        <v>4.4999999999999998E-2</v>
      </c>
      <c r="J94" s="396">
        <f t="shared" ref="J94:BU94" si="84">$G$94</f>
        <v>4.4999999999999998E-2</v>
      </c>
      <c r="K94" s="396">
        <f t="shared" si="84"/>
        <v>4.4999999999999998E-2</v>
      </c>
      <c r="L94" s="396">
        <f t="shared" si="84"/>
        <v>4.4999999999999998E-2</v>
      </c>
      <c r="M94" s="396">
        <f t="shared" si="84"/>
        <v>4.4999999999999998E-2</v>
      </c>
      <c r="N94" s="396">
        <f t="shared" si="84"/>
        <v>4.4999999999999998E-2</v>
      </c>
      <c r="O94" s="396">
        <f t="shared" si="84"/>
        <v>4.4999999999999998E-2</v>
      </c>
      <c r="P94" s="396">
        <f t="shared" si="84"/>
        <v>4.4999999999999998E-2</v>
      </c>
      <c r="Q94" s="396">
        <f t="shared" si="84"/>
        <v>4.4999999999999998E-2</v>
      </c>
      <c r="R94" s="396">
        <f t="shared" si="84"/>
        <v>4.4999999999999998E-2</v>
      </c>
      <c r="S94" s="396">
        <f t="shared" si="84"/>
        <v>4.4999999999999998E-2</v>
      </c>
      <c r="T94" s="396">
        <f t="shared" si="84"/>
        <v>4.4999999999999998E-2</v>
      </c>
      <c r="U94" s="396">
        <f t="shared" si="84"/>
        <v>4.4999999999999998E-2</v>
      </c>
      <c r="V94" s="396">
        <f t="shared" si="84"/>
        <v>4.4999999999999998E-2</v>
      </c>
      <c r="W94" s="396">
        <f t="shared" si="84"/>
        <v>4.4999999999999998E-2</v>
      </c>
      <c r="X94" s="396">
        <f t="shared" si="84"/>
        <v>4.4999999999999998E-2</v>
      </c>
      <c r="Y94" s="396">
        <f t="shared" si="84"/>
        <v>4.4999999999999998E-2</v>
      </c>
      <c r="Z94" s="396">
        <f t="shared" si="84"/>
        <v>4.4999999999999998E-2</v>
      </c>
      <c r="AA94" s="396">
        <f t="shared" si="84"/>
        <v>4.4999999999999998E-2</v>
      </c>
      <c r="AB94" s="396">
        <f t="shared" si="84"/>
        <v>4.4999999999999998E-2</v>
      </c>
      <c r="AC94" s="396">
        <f t="shared" si="84"/>
        <v>4.4999999999999998E-2</v>
      </c>
      <c r="AD94" s="396">
        <f t="shared" si="84"/>
        <v>4.4999999999999998E-2</v>
      </c>
      <c r="AE94" s="396">
        <f t="shared" si="84"/>
        <v>4.4999999999999998E-2</v>
      </c>
      <c r="AF94" s="396">
        <f t="shared" si="84"/>
        <v>4.4999999999999998E-2</v>
      </c>
      <c r="AG94" s="396">
        <f t="shared" si="84"/>
        <v>4.4999999999999998E-2</v>
      </c>
      <c r="AH94" s="396">
        <f t="shared" si="84"/>
        <v>4.4999999999999998E-2</v>
      </c>
      <c r="AI94" s="396">
        <f t="shared" si="84"/>
        <v>4.4999999999999998E-2</v>
      </c>
      <c r="AJ94" s="396">
        <f t="shared" si="84"/>
        <v>4.4999999999999998E-2</v>
      </c>
      <c r="AK94" s="396">
        <f t="shared" si="84"/>
        <v>4.4999999999999998E-2</v>
      </c>
      <c r="AL94" s="396">
        <f t="shared" si="84"/>
        <v>4.4999999999999998E-2</v>
      </c>
      <c r="AM94" s="396">
        <f t="shared" si="84"/>
        <v>4.4999999999999998E-2</v>
      </c>
      <c r="AN94" s="396">
        <f t="shared" si="84"/>
        <v>4.4999999999999998E-2</v>
      </c>
      <c r="AO94" s="396">
        <f t="shared" si="84"/>
        <v>4.4999999999999998E-2</v>
      </c>
      <c r="AP94" s="396">
        <f t="shared" si="84"/>
        <v>4.4999999999999998E-2</v>
      </c>
      <c r="AQ94" s="396">
        <f t="shared" si="84"/>
        <v>4.4999999999999998E-2</v>
      </c>
      <c r="AR94" s="396">
        <f t="shared" si="84"/>
        <v>4.4999999999999998E-2</v>
      </c>
      <c r="AS94" s="396">
        <f t="shared" si="84"/>
        <v>4.4999999999999998E-2</v>
      </c>
      <c r="AT94" s="396">
        <f t="shared" si="84"/>
        <v>4.4999999999999998E-2</v>
      </c>
      <c r="AU94" s="396">
        <f t="shared" si="84"/>
        <v>4.4999999999999998E-2</v>
      </c>
      <c r="AV94" s="396">
        <f t="shared" si="84"/>
        <v>4.4999999999999998E-2</v>
      </c>
      <c r="AW94" s="396">
        <f t="shared" si="84"/>
        <v>4.4999999999999998E-2</v>
      </c>
      <c r="AX94" s="396">
        <f t="shared" si="84"/>
        <v>4.4999999999999998E-2</v>
      </c>
      <c r="AY94" s="396">
        <f t="shared" si="84"/>
        <v>4.4999999999999998E-2</v>
      </c>
      <c r="AZ94" s="396">
        <f t="shared" si="84"/>
        <v>4.4999999999999998E-2</v>
      </c>
      <c r="BA94" s="396">
        <f t="shared" si="84"/>
        <v>4.4999999999999998E-2</v>
      </c>
      <c r="BB94" s="396">
        <f t="shared" si="84"/>
        <v>4.4999999999999998E-2</v>
      </c>
      <c r="BC94" s="396">
        <f t="shared" si="84"/>
        <v>4.4999999999999998E-2</v>
      </c>
      <c r="BD94" s="396">
        <f t="shared" si="84"/>
        <v>4.4999999999999998E-2</v>
      </c>
      <c r="BE94" s="396">
        <f t="shared" si="84"/>
        <v>4.4999999999999998E-2</v>
      </c>
      <c r="BF94" s="396">
        <f t="shared" si="84"/>
        <v>4.4999999999999998E-2</v>
      </c>
      <c r="BG94" s="396">
        <f t="shared" si="84"/>
        <v>4.4999999999999998E-2</v>
      </c>
      <c r="BH94" s="396">
        <f t="shared" si="84"/>
        <v>4.4999999999999998E-2</v>
      </c>
      <c r="BI94" s="396">
        <f t="shared" si="84"/>
        <v>4.4999999999999998E-2</v>
      </c>
      <c r="BJ94" s="396">
        <f t="shared" si="84"/>
        <v>4.4999999999999998E-2</v>
      </c>
      <c r="BK94" s="396">
        <f t="shared" si="84"/>
        <v>4.4999999999999998E-2</v>
      </c>
      <c r="BL94" s="396">
        <f t="shared" si="84"/>
        <v>4.4999999999999998E-2</v>
      </c>
      <c r="BM94" s="396">
        <f t="shared" si="84"/>
        <v>4.4999999999999998E-2</v>
      </c>
      <c r="BN94" s="396">
        <f t="shared" si="84"/>
        <v>4.4999999999999998E-2</v>
      </c>
      <c r="BO94" s="396">
        <f t="shared" si="84"/>
        <v>4.4999999999999998E-2</v>
      </c>
      <c r="BP94" s="396">
        <f t="shared" si="84"/>
        <v>4.4999999999999998E-2</v>
      </c>
      <c r="BQ94" s="396">
        <f t="shared" si="84"/>
        <v>4.4999999999999998E-2</v>
      </c>
      <c r="BR94" s="396">
        <f t="shared" si="84"/>
        <v>4.4999999999999998E-2</v>
      </c>
      <c r="BS94" s="396">
        <f t="shared" si="84"/>
        <v>4.4999999999999998E-2</v>
      </c>
      <c r="BT94" s="396">
        <f t="shared" si="84"/>
        <v>4.4999999999999998E-2</v>
      </c>
      <c r="BU94" s="396">
        <f t="shared" si="84"/>
        <v>4.4999999999999998E-2</v>
      </c>
      <c r="BV94" s="396">
        <f t="shared" ref="BV94:CO94" si="85">$G$94</f>
        <v>4.4999999999999998E-2</v>
      </c>
      <c r="BW94" s="396">
        <f t="shared" si="85"/>
        <v>4.4999999999999998E-2</v>
      </c>
      <c r="BX94" s="396">
        <f t="shared" si="85"/>
        <v>4.4999999999999998E-2</v>
      </c>
      <c r="BY94" s="396">
        <f t="shared" si="85"/>
        <v>4.4999999999999998E-2</v>
      </c>
      <c r="BZ94" s="396">
        <f t="shared" si="85"/>
        <v>4.4999999999999998E-2</v>
      </c>
      <c r="CA94" s="396">
        <f t="shared" si="85"/>
        <v>4.4999999999999998E-2</v>
      </c>
      <c r="CB94" s="396">
        <f t="shared" si="85"/>
        <v>4.4999999999999998E-2</v>
      </c>
      <c r="CC94" s="396">
        <f t="shared" si="85"/>
        <v>4.4999999999999998E-2</v>
      </c>
      <c r="CD94" s="396">
        <f t="shared" si="85"/>
        <v>4.4999999999999998E-2</v>
      </c>
      <c r="CE94" s="396">
        <f t="shared" si="85"/>
        <v>4.4999999999999998E-2</v>
      </c>
      <c r="CF94" s="396">
        <f t="shared" si="85"/>
        <v>4.4999999999999998E-2</v>
      </c>
      <c r="CG94" s="396">
        <f t="shared" si="85"/>
        <v>4.4999999999999998E-2</v>
      </c>
      <c r="CH94" s="396">
        <f t="shared" si="85"/>
        <v>4.4999999999999998E-2</v>
      </c>
      <c r="CI94" s="396">
        <f t="shared" si="85"/>
        <v>4.4999999999999998E-2</v>
      </c>
      <c r="CJ94" s="396">
        <f t="shared" si="85"/>
        <v>4.4999999999999998E-2</v>
      </c>
      <c r="CK94" s="396">
        <f t="shared" si="85"/>
        <v>4.4999999999999998E-2</v>
      </c>
      <c r="CL94" s="396">
        <f t="shared" si="85"/>
        <v>4.4999999999999998E-2</v>
      </c>
      <c r="CM94" s="396">
        <f t="shared" si="85"/>
        <v>4.4999999999999998E-2</v>
      </c>
      <c r="CN94" s="396">
        <f t="shared" si="85"/>
        <v>4.4999999999999998E-2</v>
      </c>
      <c r="CO94" s="396">
        <f t="shared" si="85"/>
        <v>4.4999999999999998E-2</v>
      </c>
      <c r="CP94" s="133" t="s">
        <v>15</v>
      </c>
    </row>
    <row r="95" spans="2:94" s="133" customFormat="1" ht="15" customHeight="1" x14ac:dyDescent="0.2">
      <c r="D95" s="259"/>
      <c r="E95" s="259"/>
      <c r="F95" s="133" t="s">
        <v>230</v>
      </c>
      <c r="I95" s="397">
        <f>SUM(I93:I94)</f>
        <v>4.6492499999999999E-2</v>
      </c>
      <c r="J95" s="397">
        <f t="shared" ref="J95:BU95" si="86">SUM(J93:J94)</f>
        <v>4.6574600000000001E-2</v>
      </c>
      <c r="K95" s="397">
        <f t="shared" si="86"/>
        <v>4.6654799999999996E-2</v>
      </c>
      <c r="L95" s="397">
        <f t="shared" si="86"/>
        <v>4.6730500000000001E-2</v>
      </c>
      <c r="M95" s="397">
        <f t="shared" si="86"/>
        <v>4.6733999999999998E-2</v>
      </c>
      <c r="N95" s="397">
        <f t="shared" si="86"/>
        <v>4.6639300000000002E-2</v>
      </c>
      <c r="O95" s="397">
        <f t="shared" si="86"/>
        <v>4.6493599999999996E-2</v>
      </c>
      <c r="P95" s="397">
        <f t="shared" si="86"/>
        <v>4.6375799999999995E-2</v>
      </c>
      <c r="Q95" s="397">
        <f t="shared" si="86"/>
        <v>4.6313099999999996E-2</v>
      </c>
      <c r="R95" s="397">
        <f t="shared" si="86"/>
        <v>4.6326599999999996E-2</v>
      </c>
      <c r="S95" s="397">
        <f t="shared" si="86"/>
        <v>4.6389599999999996E-2</v>
      </c>
      <c r="T95" s="397">
        <f t="shared" si="86"/>
        <v>4.6462900000000001E-2</v>
      </c>
      <c r="U95" s="397">
        <f t="shared" si="86"/>
        <v>4.6543899999999999E-2</v>
      </c>
      <c r="V95" s="397">
        <f t="shared" si="86"/>
        <v>4.66185E-2</v>
      </c>
      <c r="W95" s="397">
        <f t="shared" si="86"/>
        <v>4.66576E-2</v>
      </c>
      <c r="X95" s="397">
        <f t="shared" si="86"/>
        <v>4.6673099999999995E-2</v>
      </c>
      <c r="Y95" s="397">
        <f t="shared" si="86"/>
        <v>4.6650499999999998E-2</v>
      </c>
      <c r="Z95" s="397">
        <f t="shared" si="86"/>
        <v>4.6571999999999995E-2</v>
      </c>
      <c r="AA95" s="397">
        <f t="shared" si="86"/>
        <v>4.6483199999999995E-2</v>
      </c>
      <c r="AB95" s="397">
        <f t="shared" si="86"/>
        <v>4.6418299999999996E-2</v>
      </c>
      <c r="AC95" s="397">
        <f t="shared" si="86"/>
        <v>4.6363599999999998E-2</v>
      </c>
      <c r="AD95" s="397">
        <f t="shared" si="86"/>
        <v>4.6367399999999996E-2</v>
      </c>
      <c r="AE95" s="397">
        <f t="shared" si="86"/>
        <v>4.6432000000000001E-2</v>
      </c>
      <c r="AF95" s="397">
        <f t="shared" si="86"/>
        <v>4.6510699999999995E-2</v>
      </c>
      <c r="AG95" s="397">
        <f t="shared" si="86"/>
        <v>4.6635900000000001E-2</v>
      </c>
      <c r="AH95" s="397">
        <f t="shared" si="86"/>
        <v>4.6792500000000001E-2</v>
      </c>
      <c r="AI95" s="397">
        <f t="shared" si="86"/>
        <v>4.6919499999999996E-2</v>
      </c>
      <c r="AJ95" s="397">
        <f t="shared" si="86"/>
        <v>4.7074999999999999E-2</v>
      </c>
      <c r="AK95" s="397">
        <f t="shared" si="86"/>
        <v>4.7230299999999996E-2</v>
      </c>
      <c r="AL95" s="397">
        <f t="shared" si="86"/>
        <v>4.7357099999999999E-2</v>
      </c>
      <c r="AM95" s="397">
        <f t="shared" si="86"/>
        <v>4.74913E-2</v>
      </c>
      <c r="AN95" s="397">
        <f t="shared" si="86"/>
        <v>4.7635299999999998E-2</v>
      </c>
      <c r="AO95" s="397">
        <f t="shared" si="86"/>
        <v>4.7757899999999999E-2</v>
      </c>
      <c r="AP95" s="397">
        <f t="shared" si="86"/>
        <v>4.7894599999999996E-2</v>
      </c>
      <c r="AQ95" s="397">
        <f t="shared" si="86"/>
        <v>4.8042999999999995E-2</v>
      </c>
      <c r="AR95" s="397">
        <f t="shared" si="86"/>
        <v>4.8180500000000001E-2</v>
      </c>
      <c r="AS95" s="397">
        <f t="shared" si="86"/>
        <v>4.83303E-2</v>
      </c>
      <c r="AT95" s="397">
        <f t="shared" si="86"/>
        <v>4.8499799999999996E-2</v>
      </c>
      <c r="AU95" s="397">
        <f t="shared" si="86"/>
        <v>4.8647799999999998E-2</v>
      </c>
      <c r="AV95" s="397">
        <f t="shared" si="86"/>
        <v>4.8825799999999996E-2</v>
      </c>
      <c r="AW95" s="397">
        <f t="shared" si="86"/>
        <v>4.9017999999999999E-2</v>
      </c>
      <c r="AX95" s="397">
        <f t="shared" si="86"/>
        <v>4.9191100000000001E-2</v>
      </c>
      <c r="AY95" s="397">
        <f t="shared" si="86"/>
        <v>4.93829E-2</v>
      </c>
      <c r="AZ95" s="397">
        <f t="shared" si="86"/>
        <v>4.9586399999999996E-2</v>
      </c>
      <c r="BA95" s="397">
        <f t="shared" si="86"/>
        <v>4.9782099999999996E-2</v>
      </c>
      <c r="BB95" s="397">
        <f t="shared" si="86"/>
        <v>4.9987499999999997E-2</v>
      </c>
      <c r="BC95" s="397">
        <f t="shared" si="86"/>
        <v>5.02026E-2</v>
      </c>
      <c r="BD95" s="397">
        <f t="shared" si="86"/>
        <v>5.0409900000000001E-2</v>
      </c>
      <c r="BE95" s="397">
        <f t="shared" si="86"/>
        <v>5.0624799999999998E-2</v>
      </c>
      <c r="BF95" s="397">
        <f t="shared" si="86"/>
        <v>5.0851799999999996E-2</v>
      </c>
      <c r="BG95" s="397">
        <f t="shared" si="86"/>
        <v>5.1046499999999995E-2</v>
      </c>
      <c r="BH95" s="397">
        <f t="shared" si="86"/>
        <v>5.12646E-2</v>
      </c>
      <c r="BI95" s="397">
        <f t="shared" si="86"/>
        <v>5.1484999999999996E-2</v>
      </c>
      <c r="BJ95" s="397">
        <f t="shared" si="86"/>
        <v>5.16765E-2</v>
      </c>
      <c r="BK95" s="397">
        <f t="shared" si="86"/>
        <v>5.1877899999999998E-2</v>
      </c>
      <c r="BL95" s="397">
        <f t="shared" si="86"/>
        <v>5.2080999999999995E-2</v>
      </c>
      <c r="BM95" s="397">
        <f t="shared" si="86"/>
        <v>5.2271199999999997E-2</v>
      </c>
      <c r="BN95" s="397">
        <f t="shared" si="86"/>
        <v>5.2464699999999996E-2</v>
      </c>
      <c r="BO95" s="397">
        <f t="shared" si="86"/>
        <v>5.2667800000000001E-2</v>
      </c>
      <c r="BP95" s="397">
        <f t="shared" si="86"/>
        <v>5.2844599999999999E-2</v>
      </c>
      <c r="BQ95" s="397">
        <f t="shared" si="86"/>
        <v>5.3031700000000001E-2</v>
      </c>
      <c r="BR95" s="397">
        <f t="shared" si="86"/>
        <v>5.3228299999999999E-2</v>
      </c>
      <c r="BS95" s="397">
        <f t="shared" si="86"/>
        <v>5.3382399999999997E-2</v>
      </c>
      <c r="BT95" s="397">
        <f t="shared" si="86"/>
        <v>5.35734E-2</v>
      </c>
      <c r="BU95" s="397">
        <f t="shared" si="86"/>
        <v>5.37551E-2</v>
      </c>
      <c r="BV95" s="397">
        <f t="shared" ref="BV95:CO95" si="87">SUM(BV93:BV94)</f>
        <v>5.3905599999999998E-2</v>
      </c>
      <c r="BW95" s="397">
        <f t="shared" si="87"/>
        <v>5.4063E-2</v>
      </c>
      <c r="BX95" s="397">
        <f t="shared" si="87"/>
        <v>5.4227199999999996E-2</v>
      </c>
      <c r="BY95" s="397">
        <f t="shared" si="87"/>
        <v>5.4363399999999999E-2</v>
      </c>
      <c r="BZ95" s="397">
        <f t="shared" si="87"/>
        <v>5.4509000000000002E-2</v>
      </c>
      <c r="CA95" s="397">
        <f t="shared" si="87"/>
        <v>5.4664499999999998E-2</v>
      </c>
      <c r="CB95" s="397">
        <f t="shared" si="87"/>
        <v>5.4794900000000001E-2</v>
      </c>
      <c r="CC95" s="397">
        <f t="shared" si="87"/>
        <v>5.4935100000000001E-2</v>
      </c>
      <c r="CD95" s="397">
        <f t="shared" si="87"/>
        <v>5.5086999999999997E-2</v>
      </c>
      <c r="CE95" s="397">
        <f t="shared" si="87"/>
        <v>5.5211700000000002E-2</v>
      </c>
      <c r="CF95" s="397">
        <f t="shared" si="87"/>
        <v>5.5354799999999996E-2</v>
      </c>
      <c r="CG95" s="397">
        <f t="shared" si="87"/>
        <v>5.5505199999999998E-2</v>
      </c>
      <c r="CH95" s="397">
        <f t="shared" si="87"/>
        <v>5.5614899999999995E-2</v>
      </c>
      <c r="CI95" s="397">
        <f t="shared" si="87"/>
        <v>5.57642E-2</v>
      </c>
      <c r="CJ95" s="397">
        <f t="shared" si="87"/>
        <v>5.5906899999999995E-2</v>
      </c>
      <c r="CK95" s="397">
        <f t="shared" si="87"/>
        <v>5.6024400000000002E-2</v>
      </c>
      <c r="CL95" s="397">
        <f t="shared" si="87"/>
        <v>5.6150499999999999E-2</v>
      </c>
      <c r="CM95" s="397">
        <f t="shared" si="87"/>
        <v>5.6286199999999995E-2</v>
      </c>
      <c r="CN95" s="397">
        <f t="shared" si="87"/>
        <v>5.6395799999999996E-2</v>
      </c>
      <c r="CO95" s="397">
        <f t="shared" si="87"/>
        <v>5.6515499999999996E-2</v>
      </c>
      <c r="CP95" s="133" t="s">
        <v>15</v>
      </c>
    </row>
    <row r="96" spans="2:94" ht="15" customHeight="1" x14ac:dyDescent="0.2">
      <c r="D96" s="259"/>
      <c r="E96" s="269"/>
      <c r="F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row>
    <row r="97" spans="2:94" ht="15" customHeight="1" x14ac:dyDescent="0.2">
      <c r="B97" s="136">
        <f ca="1">SUM(I97:CO97)</f>
        <v>762069.27691992233</v>
      </c>
      <c r="C97" s="133" t="s">
        <v>231</v>
      </c>
      <c r="D97" s="259" t="s">
        <v>194</v>
      </c>
      <c r="E97" s="269"/>
      <c r="F97" s="133" t="s">
        <v>232</v>
      </c>
      <c r="I97" s="395">
        <f t="shared" ref="I97:AN97" si="88">I95*I88*DaysInMonth/ConstLoanType</f>
        <v>0</v>
      </c>
      <c r="J97" s="395">
        <f t="shared" si="88"/>
        <v>0</v>
      </c>
      <c r="K97" s="395">
        <f t="shared" ca="1" si="88"/>
        <v>0</v>
      </c>
      <c r="L97" s="395">
        <f t="shared" ca="1" si="88"/>
        <v>0</v>
      </c>
      <c r="M97" s="395">
        <f t="shared" ca="1" si="88"/>
        <v>0</v>
      </c>
      <c r="N97" s="395">
        <f t="shared" ca="1" si="88"/>
        <v>0</v>
      </c>
      <c r="O97" s="395">
        <f t="shared" ca="1" si="88"/>
        <v>0</v>
      </c>
      <c r="P97" s="395">
        <f t="shared" ca="1" si="88"/>
        <v>0</v>
      </c>
      <c r="Q97" s="395">
        <f t="shared" ca="1" si="88"/>
        <v>0</v>
      </c>
      <c r="R97" s="395">
        <f t="shared" ca="1" si="88"/>
        <v>0</v>
      </c>
      <c r="S97" s="395">
        <f t="shared" ca="1" si="88"/>
        <v>0</v>
      </c>
      <c r="T97" s="395">
        <f t="shared" ca="1" si="88"/>
        <v>0</v>
      </c>
      <c r="U97" s="395">
        <f t="shared" ca="1" si="88"/>
        <v>0</v>
      </c>
      <c r="V97" s="395">
        <f t="shared" ca="1" si="88"/>
        <v>0</v>
      </c>
      <c r="W97" s="395">
        <f t="shared" ca="1" si="88"/>
        <v>0</v>
      </c>
      <c r="X97" s="395">
        <f t="shared" ca="1" si="88"/>
        <v>0</v>
      </c>
      <c r="Y97" s="395">
        <f t="shared" ca="1" si="88"/>
        <v>1748.512387306381</v>
      </c>
      <c r="Z97" s="395">
        <f t="shared" ca="1" si="88"/>
        <v>6778.3886035924388</v>
      </c>
      <c r="AA97" s="395">
        <f t="shared" ca="1" si="88"/>
        <v>11451.001930305718</v>
      </c>
      <c r="AB97" s="395">
        <f t="shared" ca="1" si="88"/>
        <v>16895.021205716428</v>
      </c>
      <c r="AC97" s="395">
        <f t="shared" ca="1" si="88"/>
        <v>21969.701774748966</v>
      </c>
      <c r="AD97" s="395">
        <f t="shared" ca="1" si="88"/>
        <v>26339.262332730814</v>
      </c>
      <c r="AE97" s="395">
        <f t="shared" ca="1" si="88"/>
        <v>33327.373751748419</v>
      </c>
      <c r="AF97" s="395">
        <f t="shared" ca="1" si="88"/>
        <v>37792.705912185775</v>
      </c>
      <c r="AG97" s="395">
        <f t="shared" ca="1" si="88"/>
        <v>41653.826514895634</v>
      </c>
      <c r="AH97" s="395">
        <f t="shared" ca="1" si="88"/>
        <v>47135.206921701436</v>
      </c>
      <c r="AI97" s="395">
        <f t="shared" ca="1" si="88"/>
        <v>42689.285091908911</v>
      </c>
      <c r="AJ97" s="395">
        <f t="shared" ca="1" si="88"/>
        <v>47419.775943561363</v>
      </c>
      <c r="AK97" s="395">
        <f t="shared" ca="1" si="88"/>
        <v>46041.496796406274</v>
      </c>
      <c r="AL97" s="395">
        <f t="shared" ca="1" si="88"/>
        <v>47703.942035832828</v>
      </c>
      <c r="AM97" s="395">
        <f t="shared" ca="1" si="88"/>
        <v>46295.927334934764</v>
      </c>
      <c r="AN97" s="395">
        <f t="shared" ca="1" si="88"/>
        <v>47984.17956461665</v>
      </c>
      <c r="AO97" s="395">
        <f t="shared" ref="AO97:BT97" ca="1" si="89">AO95*AO88*DaysInMonth/ConstLoanType</f>
        <v>48107.677483484003</v>
      </c>
      <c r="AP97" s="395">
        <f t="shared" ca="1" si="89"/>
        <v>46689.076132592003</v>
      </c>
      <c r="AQ97" s="395">
        <f t="shared" ca="1" si="89"/>
        <v>48394.865547669004</v>
      </c>
      <c r="AR97" s="395">
        <f t="shared" ca="1" si="89"/>
        <v>46967.779929393902</v>
      </c>
      <c r="AS97" s="395">
        <f t="shared" ca="1" si="89"/>
        <v>48684.269724590624</v>
      </c>
      <c r="AT97" s="395">
        <f t="shared" ca="1" si="89"/>
        <v>0</v>
      </c>
      <c r="AU97" s="395">
        <f t="shared" ca="1" si="89"/>
        <v>0</v>
      </c>
      <c r="AV97" s="395">
        <f t="shared" ca="1" si="89"/>
        <v>0</v>
      </c>
      <c r="AW97" s="395">
        <f t="shared" ca="1" si="89"/>
        <v>0</v>
      </c>
      <c r="AX97" s="395">
        <f t="shared" ca="1" si="89"/>
        <v>0</v>
      </c>
      <c r="AY97" s="395">
        <f t="shared" ca="1" si="89"/>
        <v>0</v>
      </c>
      <c r="AZ97" s="395">
        <f t="shared" ca="1" si="89"/>
        <v>0</v>
      </c>
      <c r="BA97" s="395">
        <f t="shared" ca="1" si="89"/>
        <v>0</v>
      </c>
      <c r="BB97" s="395">
        <f t="shared" ca="1" si="89"/>
        <v>0</v>
      </c>
      <c r="BC97" s="395">
        <f t="shared" ca="1" si="89"/>
        <v>0</v>
      </c>
      <c r="BD97" s="395">
        <f t="shared" ca="1" si="89"/>
        <v>0</v>
      </c>
      <c r="BE97" s="395">
        <f t="shared" ca="1" si="89"/>
        <v>0</v>
      </c>
      <c r="BF97" s="395">
        <f t="shared" ca="1" si="89"/>
        <v>0</v>
      </c>
      <c r="BG97" s="395">
        <f t="shared" ca="1" si="89"/>
        <v>0</v>
      </c>
      <c r="BH97" s="395">
        <f t="shared" ca="1" si="89"/>
        <v>0</v>
      </c>
      <c r="BI97" s="395">
        <f t="shared" ca="1" si="89"/>
        <v>0</v>
      </c>
      <c r="BJ97" s="395">
        <f t="shared" ca="1" si="89"/>
        <v>0</v>
      </c>
      <c r="BK97" s="395">
        <f t="shared" ca="1" si="89"/>
        <v>0</v>
      </c>
      <c r="BL97" s="395">
        <f t="shared" ca="1" si="89"/>
        <v>0</v>
      </c>
      <c r="BM97" s="395">
        <f t="shared" ca="1" si="89"/>
        <v>0</v>
      </c>
      <c r="BN97" s="395">
        <f t="shared" ca="1" si="89"/>
        <v>0</v>
      </c>
      <c r="BO97" s="395">
        <f t="shared" ca="1" si="89"/>
        <v>0</v>
      </c>
      <c r="BP97" s="395">
        <f t="shared" ca="1" si="89"/>
        <v>0</v>
      </c>
      <c r="BQ97" s="395">
        <f t="shared" ca="1" si="89"/>
        <v>0</v>
      </c>
      <c r="BR97" s="395">
        <f t="shared" ca="1" si="89"/>
        <v>0</v>
      </c>
      <c r="BS97" s="395">
        <f t="shared" ca="1" si="89"/>
        <v>0</v>
      </c>
      <c r="BT97" s="395">
        <f t="shared" ca="1" si="89"/>
        <v>0</v>
      </c>
      <c r="BU97" s="395">
        <f t="shared" ref="BU97:CO97" ca="1" si="90">BU95*BU88*DaysInMonth/ConstLoanType</f>
        <v>0</v>
      </c>
      <c r="BV97" s="395">
        <f t="shared" ca="1" si="90"/>
        <v>0</v>
      </c>
      <c r="BW97" s="395">
        <f t="shared" ca="1" si="90"/>
        <v>0</v>
      </c>
      <c r="BX97" s="395">
        <f t="shared" ca="1" si="90"/>
        <v>0</v>
      </c>
      <c r="BY97" s="395">
        <f t="shared" ca="1" si="90"/>
        <v>0</v>
      </c>
      <c r="BZ97" s="395">
        <f t="shared" ca="1" si="90"/>
        <v>0</v>
      </c>
      <c r="CA97" s="395">
        <f t="shared" ca="1" si="90"/>
        <v>0</v>
      </c>
      <c r="CB97" s="395">
        <f t="shared" ca="1" si="90"/>
        <v>0</v>
      </c>
      <c r="CC97" s="395">
        <f t="shared" ca="1" si="90"/>
        <v>0</v>
      </c>
      <c r="CD97" s="395">
        <f t="shared" ca="1" si="90"/>
        <v>0</v>
      </c>
      <c r="CE97" s="395">
        <f t="shared" ca="1" si="90"/>
        <v>0</v>
      </c>
      <c r="CF97" s="395">
        <f t="shared" ca="1" si="90"/>
        <v>0</v>
      </c>
      <c r="CG97" s="395">
        <f t="shared" ca="1" si="90"/>
        <v>0</v>
      </c>
      <c r="CH97" s="395">
        <f t="shared" ca="1" si="90"/>
        <v>0</v>
      </c>
      <c r="CI97" s="395">
        <f t="shared" ca="1" si="90"/>
        <v>0</v>
      </c>
      <c r="CJ97" s="395">
        <f t="shared" ca="1" si="90"/>
        <v>0</v>
      </c>
      <c r="CK97" s="395">
        <f t="shared" ca="1" si="90"/>
        <v>0</v>
      </c>
      <c r="CL97" s="395">
        <f t="shared" ca="1" si="90"/>
        <v>0</v>
      </c>
      <c r="CM97" s="395">
        <f t="shared" ca="1" si="90"/>
        <v>0</v>
      </c>
      <c r="CN97" s="395">
        <f t="shared" ca="1" si="90"/>
        <v>0</v>
      </c>
      <c r="CO97" s="395">
        <f t="shared" ca="1" si="90"/>
        <v>0</v>
      </c>
      <c r="CP97" s="133" t="s">
        <v>15</v>
      </c>
    </row>
    <row r="98" spans="2:94" ht="15" customHeight="1" x14ac:dyDescent="0.2">
      <c r="B98" s="136">
        <f ca="1">SUM(I98:CO98)</f>
        <v>197955.79441323056</v>
      </c>
      <c r="C98" s="133" t="s">
        <v>233</v>
      </c>
      <c r="D98" s="259" t="s">
        <v>194</v>
      </c>
      <c r="E98" s="269"/>
      <c r="F98" s="133" t="s">
        <v>234</v>
      </c>
      <c r="I98" s="395">
        <f t="shared" ref="I98:AN98" si="91">MAX(I97-NOI_Today,0)</f>
        <v>0</v>
      </c>
      <c r="J98" s="395">
        <f t="shared" ca="1" si="91"/>
        <v>0</v>
      </c>
      <c r="K98" s="395">
        <f t="shared" ca="1" si="91"/>
        <v>0</v>
      </c>
      <c r="L98" s="395">
        <f t="shared" ca="1" si="91"/>
        <v>0</v>
      </c>
      <c r="M98" s="395">
        <f t="shared" ca="1" si="91"/>
        <v>0</v>
      </c>
      <c r="N98" s="395">
        <f t="shared" ca="1" si="91"/>
        <v>0</v>
      </c>
      <c r="O98" s="395">
        <f t="shared" ca="1" si="91"/>
        <v>0</v>
      </c>
      <c r="P98" s="395">
        <f t="shared" ca="1" si="91"/>
        <v>0</v>
      </c>
      <c r="Q98" s="395">
        <f t="shared" ca="1" si="91"/>
        <v>0</v>
      </c>
      <c r="R98" s="395">
        <f t="shared" ca="1" si="91"/>
        <v>0</v>
      </c>
      <c r="S98" s="395">
        <f t="shared" ca="1" si="91"/>
        <v>0</v>
      </c>
      <c r="T98" s="395">
        <f t="shared" ca="1" si="91"/>
        <v>0</v>
      </c>
      <c r="U98" s="395">
        <f t="shared" ca="1" si="91"/>
        <v>0</v>
      </c>
      <c r="V98" s="395">
        <f t="shared" ca="1" si="91"/>
        <v>0</v>
      </c>
      <c r="W98" s="395">
        <f t="shared" ca="1" si="91"/>
        <v>0</v>
      </c>
      <c r="X98" s="395">
        <f t="shared" ca="1" si="91"/>
        <v>0</v>
      </c>
      <c r="Y98" s="395">
        <f t="shared" ca="1" si="91"/>
        <v>1748.512387306381</v>
      </c>
      <c r="Z98" s="395">
        <f t="shared" ca="1" si="91"/>
        <v>6778.3886035924388</v>
      </c>
      <c r="AA98" s="395">
        <f t="shared" ca="1" si="91"/>
        <v>11451.001930305718</v>
      </c>
      <c r="AB98" s="395">
        <f t="shared" ca="1" si="91"/>
        <v>16895.021205716428</v>
      </c>
      <c r="AC98" s="395">
        <f t="shared" ca="1" si="91"/>
        <v>21969.701774748966</v>
      </c>
      <c r="AD98" s="395">
        <f t="shared" ca="1" si="91"/>
        <v>26339.262332730814</v>
      </c>
      <c r="AE98" s="395">
        <f t="shared" ca="1" si="91"/>
        <v>33327.373751748419</v>
      </c>
      <c r="AF98" s="395">
        <f t="shared" ca="1" si="91"/>
        <v>37792.705912185775</v>
      </c>
      <c r="AG98" s="395">
        <f t="shared" ca="1" si="91"/>
        <v>41653.826514895634</v>
      </c>
      <c r="AH98" s="395">
        <f t="shared" ca="1" si="91"/>
        <v>0</v>
      </c>
      <c r="AI98" s="395">
        <f t="shared" ca="1" si="91"/>
        <v>0</v>
      </c>
      <c r="AJ98" s="395">
        <f t="shared" ca="1" si="91"/>
        <v>0</v>
      </c>
      <c r="AK98" s="395">
        <f t="shared" ca="1" si="91"/>
        <v>0</v>
      </c>
      <c r="AL98" s="395">
        <f t="shared" ca="1" si="91"/>
        <v>0</v>
      </c>
      <c r="AM98" s="395">
        <f t="shared" ca="1" si="91"/>
        <v>0</v>
      </c>
      <c r="AN98" s="395">
        <f t="shared" ca="1" si="91"/>
        <v>0</v>
      </c>
      <c r="AO98" s="395">
        <f t="shared" ref="AO98:BT98" ca="1" si="92">MAX(AO97-NOI_Today,0)</f>
        <v>0</v>
      </c>
      <c r="AP98" s="395">
        <f t="shared" ca="1" si="92"/>
        <v>0</v>
      </c>
      <c r="AQ98" s="395">
        <f t="shared" ca="1" si="92"/>
        <v>0</v>
      </c>
      <c r="AR98" s="395">
        <f t="shared" ca="1" si="92"/>
        <v>0</v>
      </c>
      <c r="AS98" s="395">
        <f t="shared" ca="1" si="92"/>
        <v>0</v>
      </c>
      <c r="AT98" s="395">
        <f t="shared" ca="1" si="92"/>
        <v>0</v>
      </c>
      <c r="AU98" s="395">
        <f t="shared" ca="1" si="92"/>
        <v>0</v>
      </c>
      <c r="AV98" s="395">
        <f t="shared" ca="1" si="92"/>
        <v>0</v>
      </c>
      <c r="AW98" s="395">
        <f t="shared" ca="1" si="92"/>
        <v>0</v>
      </c>
      <c r="AX98" s="395">
        <f t="shared" ca="1" si="92"/>
        <v>0</v>
      </c>
      <c r="AY98" s="395">
        <f t="shared" ca="1" si="92"/>
        <v>0</v>
      </c>
      <c r="AZ98" s="395">
        <f t="shared" ca="1" si="92"/>
        <v>0</v>
      </c>
      <c r="BA98" s="395">
        <f t="shared" ca="1" si="92"/>
        <v>0</v>
      </c>
      <c r="BB98" s="395">
        <f t="shared" ca="1" si="92"/>
        <v>0</v>
      </c>
      <c r="BC98" s="395">
        <f t="shared" ca="1" si="92"/>
        <v>0</v>
      </c>
      <c r="BD98" s="395">
        <f t="shared" ca="1" si="92"/>
        <v>0</v>
      </c>
      <c r="BE98" s="395">
        <f t="shared" ca="1" si="92"/>
        <v>0</v>
      </c>
      <c r="BF98" s="395">
        <f t="shared" ca="1" si="92"/>
        <v>0</v>
      </c>
      <c r="BG98" s="395">
        <f t="shared" ca="1" si="92"/>
        <v>0</v>
      </c>
      <c r="BH98" s="395">
        <f t="shared" ca="1" si="92"/>
        <v>0</v>
      </c>
      <c r="BI98" s="395">
        <f t="shared" ca="1" si="92"/>
        <v>0</v>
      </c>
      <c r="BJ98" s="395">
        <f t="shared" ca="1" si="92"/>
        <v>0</v>
      </c>
      <c r="BK98" s="395">
        <f t="shared" ca="1" si="92"/>
        <v>0</v>
      </c>
      <c r="BL98" s="395">
        <f t="shared" ca="1" si="92"/>
        <v>0</v>
      </c>
      <c r="BM98" s="395">
        <f t="shared" ca="1" si="92"/>
        <v>0</v>
      </c>
      <c r="BN98" s="395">
        <f t="shared" ca="1" si="92"/>
        <v>0</v>
      </c>
      <c r="BO98" s="395">
        <f t="shared" ca="1" si="92"/>
        <v>0</v>
      </c>
      <c r="BP98" s="395">
        <f t="shared" ca="1" si="92"/>
        <v>0</v>
      </c>
      <c r="BQ98" s="395">
        <f t="shared" ca="1" si="92"/>
        <v>0</v>
      </c>
      <c r="BR98" s="395">
        <f t="shared" ca="1" si="92"/>
        <v>0</v>
      </c>
      <c r="BS98" s="395">
        <f t="shared" ca="1" si="92"/>
        <v>0</v>
      </c>
      <c r="BT98" s="395">
        <f t="shared" ca="1" si="92"/>
        <v>0</v>
      </c>
      <c r="BU98" s="395">
        <f t="shared" ref="BU98:CO98" ca="1" si="93">MAX(BU97-NOI_Today,0)</f>
        <v>0</v>
      </c>
      <c r="BV98" s="395">
        <f t="shared" ca="1" si="93"/>
        <v>0</v>
      </c>
      <c r="BW98" s="395">
        <f t="shared" ca="1" si="93"/>
        <v>0</v>
      </c>
      <c r="BX98" s="395">
        <f t="shared" ca="1" si="93"/>
        <v>0</v>
      </c>
      <c r="BY98" s="395">
        <f t="shared" ca="1" si="93"/>
        <v>0</v>
      </c>
      <c r="BZ98" s="395">
        <f t="shared" ca="1" si="93"/>
        <v>0</v>
      </c>
      <c r="CA98" s="395">
        <f t="shared" ca="1" si="93"/>
        <v>0</v>
      </c>
      <c r="CB98" s="395">
        <f t="shared" ca="1" si="93"/>
        <v>0</v>
      </c>
      <c r="CC98" s="395">
        <f t="shared" ca="1" si="93"/>
        <v>0</v>
      </c>
      <c r="CD98" s="395">
        <f t="shared" ca="1" si="93"/>
        <v>0</v>
      </c>
      <c r="CE98" s="395">
        <f t="shared" ca="1" si="93"/>
        <v>0</v>
      </c>
      <c r="CF98" s="395">
        <f t="shared" ca="1" si="93"/>
        <v>0</v>
      </c>
      <c r="CG98" s="395">
        <f t="shared" ca="1" si="93"/>
        <v>0</v>
      </c>
      <c r="CH98" s="395">
        <f t="shared" ca="1" si="93"/>
        <v>0</v>
      </c>
      <c r="CI98" s="395">
        <f t="shared" ca="1" si="93"/>
        <v>0</v>
      </c>
      <c r="CJ98" s="395">
        <f t="shared" ca="1" si="93"/>
        <v>0</v>
      </c>
      <c r="CK98" s="395">
        <f t="shared" ca="1" si="93"/>
        <v>0</v>
      </c>
      <c r="CL98" s="395">
        <f t="shared" ca="1" si="93"/>
        <v>0</v>
      </c>
      <c r="CM98" s="395">
        <f t="shared" ca="1" si="93"/>
        <v>0</v>
      </c>
      <c r="CN98" s="395">
        <f t="shared" ca="1" si="93"/>
        <v>0</v>
      </c>
      <c r="CO98" s="395">
        <f t="shared" ca="1" si="93"/>
        <v>0</v>
      </c>
      <c r="CP98" s="133" t="s">
        <v>15</v>
      </c>
    </row>
    <row r="99" spans="2:94" ht="15" customHeight="1" x14ac:dyDescent="0.2">
      <c r="D99" s="259"/>
      <c r="E99" s="269"/>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row>
    <row r="100" spans="2:94" ht="15" customHeight="1" x14ac:dyDescent="0.25">
      <c r="D100" s="259"/>
      <c r="E100" s="269"/>
      <c r="F100" s="146" t="s">
        <v>351</v>
      </c>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row>
    <row r="101" spans="2:94" ht="15" customHeight="1" x14ac:dyDescent="0.2">
      <c r="D101" s="259"/>
      <c r="E101" s="269"/>
      <c r="F101" s="133" t="s">
        <v>222</v>
      </c>
      <c r="I101" s="136">
        <f>H105</f>
        <v>0</v>
      </c>
      <c r="J101" s="136">
        <f t="shared" ref="J101:BU101" ca="1" si="94">I105</f>
        <v>0</v>
      </c>
      <c r="K101" s="136">
        <f t="shared" ca="1" si="94"/>
        <v>0</v>
      </c>
      <c r="L101" s="136">
        <f t="shared" ca="1" si="94"/>
        <v>0</v>
      </c>
      <c r="M101" s="136">
        <f t="shared" ca="1" si="94"/>
        <v>0</v>
      </c>
      <c r="N101" s="136">
        <f t="shared" ca="1" si="94"/>
        <v>0</v>
      </c>
      <c r="O101" s="136">
        <f t="shared" ca="1" si="94"/>
        <v>0</v>
      </c>
      <c r="P101" s="136">
        <f t="shared" ca="1" si="94"/>
        <v>0</v>
      </c>
      <c r="Q101" s="136">
        <f t="shared" ca="1" si="94"/>
        <v>0</v>
      </c>
      <c r="R101" s="136">
        <f t="shared" ca="1" si="94"/>
        <v>0</v>
      </c>
      <c r="S101" s="136">
        <f t="shared" ca="1" si="94"/>
        <v>0</v>
      </c>
      <c r="T101" s="136">
        <f t="shared" ca="1" si="94"/>
        <v>0</v>
      </c>
      <c r="U101" s="136">
        <f t="shared" ca="1" si="94"/>
        <v>0</v>
      </c>
      <c r="V101" s="136">
        <f t="shared" ca="1" si="94"/>
        <v>0</v>
      </c>
      <c r="W101" s="136">
        <f t="shared" ca="1" si="94"/>
        <v>0</v>
      </c>
      <c r="X101" s="136">
        <f t="shared" ca="1" si="94"/>
        <v>0</v>
      </c>
      <c r="Y101" s="136">
        <f t="shared" ca="1" si="94"/>
        <v>0</v>
      </c>
      <c r="Z101" s="136">
        <f t="shared" ca="1" si="94"/>
        <v>0</v>
      </c>
      <c r="AA101" s="136">
        <f t="shared" ca="1" si="94"/>
        <v>0</v>
      </c>
      <c r="AB101" s="136">
        <f t="shared" ca="1" si="94"/>
        <v>0</v>
      </c>
      <c r="AC101" s="136">
        <f t="shared" ca="1" si="94"/>
        <v>0</v>
      </c>
      <c r="AD101" s="136">
        <f t="shared" ca="1" si="94"/>
        <v>0</v>
      </c>
      <c r="AE101" s="136">
        <f t="shared" ca="1" si="94"/>
        <v>0</v>
      </c>
      <c r="AF101" s="136">
        <f t="shared" ca="1" si="94"/>
        <v>0</v>
      </c>
      <c r="AG101" s="136">
        <f t="shared" ca="1" si="94"/>
        <v>0</v>
      </c>
      <c r="AH101" s="136">
        <f t="shared" ca="1" si="94"/>
        <v>0</v>
      </c>
      <c r="AI101" s="136">
        <f t="shared" ca="1" si="94"/>
        <v>0</v>
      </c>
      <c r="AJ101" s="136">
        <f t="shared" ca="1" si="94"/>
        <v>0</v>
      </c>
      <c r="AK101" s="136">
        <f t="shared" ca="1" si="94"/>
        <v>0</v>
      </c>
      <c r="AL101" s="136">
        <f t="shared" ca="1" si="94"/>
        <v>0</v>
      </c>
      <c r="AM101" s="136">
        <f t="shared" ca="1" si="94"/>
        <v>0</v>
      </c>
      <c r="AN101" s="136">
        <f t="shared" ca="1" si="94"/>
        <v>0</v>
      </c>
      <c r="AO101" s="136">
        <f t="shared" ca="1" si="94"/>
        <v>0</v>
      </c>
      <c r="AP101" s="136">
        <f t="shared" ca="1" si="94"/>
        <v>0</v>
      </c>
      <c r="AQ101" s="136">
        <f t="shared" ca="1" si="94"/>
        <v>0</v>
      </c>
      <c r="AR101" s="136">
        <f t="shared" ca="1" si="94"/>
        <v>0</v>
      </c>
      <c r="AS101" s="136">
        <f t="shared" ca="1" si="94"/>
        <v>0</v>
      </c>
      <c r="AT101" s="136">
        <f t="shared" ca="1" si="94"/>
        <v>35005242.318935432</v>
      </c>
      <c r="AU101" s="136">
        <f t="shared" ca="1" si="94"/>
        <v>34976548.815204494</v>
      </c>
      <c r="AV101" s="136">
        <f t="shared" ca="1" si="94"/>
        <v>34947687.932701789</v>
      </c>
      <c r="AW101" s="136">
        <f t="shared" ca="1" si="94"/>
        <v>34918658.695051156</v>
      </c>
      <c r="AX101" s="136">
        <f t="shared" ca="1" si="94"/>
        <v>34889460.12018089</v>
      </c>
      <c r="AY101" s="136">
        <f t="shared" ca="1" si="94"/>
        <v>34860091.220290549</v>
      </c>
      <c r="AZ101" s="136">
        <f t="shared" ca="1" si="94"/>
        <v>34830551.001817517</v>
      </c>
      <c r="BA101" s="136">
        <f t="shared" ca="1" si="94"/>
        <v>34800838.465403385</v>
      </c>
      <c r="BB101" s="136">
        <f t="shared" ca="1" si="94"/>
        <v>34770952.605860174</v>
      </c>
      <c r="BC101" s="136">
        <f t="shared" ca="1" si="94"/>
        <v>34740892.412136294</v>
      </c>
      <c r="BD101" s="136">
        <f t="shared" ca="1" si="94"/>
        <v>34710656.867282361</v>
      </c>
      <c r="BE101" s="136">
        <f t="shared" ca="1" si="94"/>
        <v>34680244.948416777</v>
      </c>
      <c r="BF101" s="136">
        <f t="shared" ca="1" si="94"/>
        <v>34649655.626691148</v>
      </c>
      <c r="BG101" s="136">
        <f t="shared" ca="1" si="94"/>
        <v>34618887.867255449</v>
      </c>
      <c r="BH101" s="136">
        <f t="shared" ca="1" si="94"/>
        <v>34587940.629223041</v>
      </c>
      <c r="BI101" s="136">
        <f t="shared" ca="1" si="94"/>
        <v>34556812.865635447</v>
      </c>
      <c r="BJ101" s="136">
        <f t="shared" ca="1" si="94"/>
        <v>34525503.523426928</v>
      </c>
      <c r="BK101" s="136">
        <f t="shared" ca="1" si="94"/>
        <v>34494011.543388851</v>
      </c>
      <c r="BL101" s="136">
        <f t="shared" ca="1" si="94"/>
        <v>34462335.860133886</v>
      </c>
      <c r="BM101" s="136">
        <f t="shared" ca="1" si="94"/>
        <v>34430475.402059935</v>
      </c>
      <c r="BN101" s="136">
        <f t="shared" ca="1" si="94"/>
        <v>34398429.091313891</v>
      </c>
      <c r="BO101" s="136">
        <f t="shared" ca="1" si="94"/>
        <v>34366195.843755156</v>
      </c>
      <c r="BP101" s="136">
        <f t="shared" ca="1" si="94"/>
        <v>34333774.568918996</v>
      </c>
      <c r="BQ101" s="136">
        <f t="shared" ca="1" si="94"/>
        <v>34301164.169979624</v>
      </c>
      <c r="BR101" s="136">
        <f t="shared" ca="1" si="94"/>
        <v>34268363.543713108</v>
      </c>
      <c r="BS101" s="136">
        <f t="shared" ca="1" si="94"/>
        <v>34235371.580460034</v>
      </c>
      <c r="BT101" s="136">
        <f t="shared" ca="1" si="94"/>
        <v>34202187.164087988</v>
      </c>
      <c r="BU101" s="136">
        <f t="shared" ca="1" si="94"/>
        <v>34168809.171953775</v>
      </c>
      <c r="BV101" s="136">
        <f t="shared" ref="BV101:CO101" ca="1" si="95">BU105</f>
        <v>34135236.474865444</v>
      </c>
      <c r="BW101" s="136">
        <f t="shared" ca="1" si="95"/>
        <v>34101467.937044099</v>
      </c>
      <c r="BX101" s="136">
        <f t="shared" ca="1" si="95"/>
        <v>34067502.416085459</v>
      </c>
      <c r="BY101" s="136">
        <f t="shared" ca="1" si="95"/>
        <v>34033338.762921229</v>
      </c>
      <c r="BZ101" s="136">
        <f t="shared" ca="1" si="95"/>
        <v>33998975.821780205</v>
      </c>
      <c r="CA101" s="136">
        <f t="shared" ca="1" si="95"/>
        <v>33964412.43014919</v>
      </c>
      <c r="CB101" s="136">
        <f t="shared" ca="1" si="95"/>
        <v>33929647.418733664</v>
      </c>
      <c r="CC101" s="136">
        <f t="shared" ca="1" si="95"/>
        <v>33894679.61141821</v>
      </c>
      <c r="CD101" s="136">
        <f t="shared" ca="1" si="95"/>
        <v>0</v>
      </c>
      <c r="CE101" s="136">
        <f t="shared" ca="1" si="95"/>
        <v>0</v>
      </c>
      <c r="CF101" s="136">
        <f t="shared" ca="1" si="95"/>
        <v>0</v>
      </c>
      <c r="CG101" s="136">
        <f t="shared" ca="1" si="95"/>
        <v>0</v>
      </c>
      <c r="CH101" s="136">
        <f t="shared" ca="1" si="95"/>
        <v>0</v>
      </c>
      <c r="CI101" s="136">
        <f t="shared" ca="1" si="95"/>
        <v>0</v>
      </c>
      <c r="CJ101" s="136">
        <f t="shared" ca="1" si="95"/>
        <v>0</v>
      </c>
      <c r="CK101" s="136">
        <f t="shared" ca="1" si="95"/>
        <v>0</v>
      </c>
      <c r="CL101" s="136">
        <f t="shared" ca="1" si="95"/>
        <v>0</v>
      </c>
      <c r="CM101" s="136">
        <f t="shared" ca="1" si="95"/>
        <v>0</v>
      </c>
      <c r="CN101" s="136">
        <f t="shared" ca="1" si="95"/>
        <v>0</v>
      </c>
      <c r="CO101" s="136">
        <f t="shared" ca="1" si="95"/>
        <v>0</v>
      </c>
      <c r="CP101" s="133" t="s">
        <v>15</v>
      </c>
    </row>
    <row r="102" spans="2:94" ht="15" customHeight="1" x14ac:dyDescent="0.2">
      <c r="B102" s="136">
        <f ca="1">SUM(I102:CO102)</f>
        <v>35005242.318935432</v>
      </c>
      <c r="D102" s="259" t="s">
        <v>194</v>
      </c>
      <c r="E102" s="269"/>
      <c r="F102" s="133" t="s">
        <v>223</v>
      </c>
      <c r="I102" s="136">
        <f t="shared" ref="I102:BT102" ca="1" si="96">PermanentLoanOBalance*(Today=PermanentLoanOriginationDate)</f>
        <v>0</v>
      </c>
      <c r="J102" s="136">
        <f t="shared" ca="1" si="96"/>
        <v>0</v>
      </c>
      <c r="K102" s="136">
        <f t="shared" ca="1" si="96"/>
        <v>0</v>
      </c>
      <c r="L102" s="136">
        <f t="shared" ca="1" si="96"/>
        <v>0</v>
      </c>
      <c r="M102" s="136">
        <f t="shared" ca="1" si="96"/>
        <v>0</v>
      </c>
      <c r="N102" s="136">
        <f t="shared" ca="1" si="96"/>
        <v>0</v>
      </c>
      <c r="O102" s="136">
        <f t="shared" ca="1" si="96"/>
        <v>0</v>
      </c>
      <c r="P102" s="136">
        <f t="shared" ca="1" si="96"/>
        <v>0</v>
      </c>
      <c r="Q102" s="136">
        <f t="shared" ca="1" si="96"/>
        <v>0</v>
      </c>
      <c r="R102" s="136">
        <f t="shared" ca="1" si="96"/>
        <v>0</v>
      </c>
      <c r="S102" s="136">
        <f t="shared" ca="1" si="96"/>
        <v>0</v>
      </c>
      <c r="T102" s="136">
        <f t="shared" ca="1" si="96"/>
        <v>0</v>
      </c>
      <c r="U102" s="136">
        <f t="shared" ca="1" si="96"/>
        <v>0</v>
      </c>
      <c r="V102" s="136">
        <f t="shared" ca="1" si="96"/>
        <v>0</v>
      </c>
      <c r="W102" s="136">
        <f t="shared" ca="1" si="96"/>
        <v>0</v>
      </c>
      <c r="X102" s="136">
        <f t="shared" ca="1" si="96"/>
        <v>0</v>
      </c>
      <c r="Y102" s="136">
        <f t="shared" ca="1" si="96"/>
        <v>0</v>
      </c>
      <c r="Z102" s="136">
        <f t="shared" ca="1" si="96"/>
        <v>0</v>
      </c>
      <c r="AA102" s="136">
        <f t="shared" ca="1" si="96"/>
        <v>0</v>
      </c>
      <c r="AB102" s="136">
        <f t="shared" ca="1" si="96"/>
        <v>0</v>
      </c>
      <c r="AC102" s="136">
        <f t="shared" ca="1" si="96"/>
        <v>0</v>
      </c>
      <c r="AD102" s="136">
        <f t="shared" ca="1" si="96"/>
        <v>0</v>
      </c>
      <c r="AE102" s="136">
        <f t="shared" ca="1" si="96"/>
        <v>0</v>
      </c>
      <c r="AF102" s="136">
        <f t="shared" ca="1" si="96"/>
        <v>0</v>
      </c>
      <c r="AG102" s="136">
        <f t="shared" ca="1" si="96"/>
        <v>0</v>
      </c>
      <c r="AH102" s="136">
        <f t="shared" ca="1" si="96"/>
        <v>0</v>
      </c>
      <c r="AI102" s="136">
        <f t="shared" ca="1" si="96"/>
        <v>0</v>
      </c>
      <c r="AJ102" s="136">
        <f t="shared" ca="1" si="96"/>
        <v>0</v>
      </c>
      <c r="AK102" s="136">
        <f t="shared" ca="1" si="96"/>
        <v>0</v>
      </c>
      <c r="AL102" s="136">
        <f t="shared" ca="1" si="96"/>
        <v>0</v>
      </c>
      <c r="AM102" s="136">
        <f t="shared" ca="1" si="96"/>
        <v>0</v>
      </c>
      <c r="AN102" s="136">
        <f t="shared" ca="1" si="96"/>
        <v>0</v>
      </c>
      <c r="AO102" s="136">
        <f t="shared" ca="1" si="96"/>
        <v>0</v>
      </c>
      <c r="AP102" s="136">
        <f t="shared" ca="1" si="96"/>
        <v>0</v>
      </c>
      <c r="AQ102" s="136">
        <f t="shared" ca="1" si="96"/>
        <v>0</v>
      </c>
      <c r="AR102" s="136">
        <f t="shared" ca="1" si="96"/>
        <v>0</v>
      </c>
      <c r="AS102" s="136">
        <f t="shared" ca="1" si="96"/>
        <v>35005242.318935432</v>
      </c>
      <c r="AT102" s="136">
        <f t="shared" ca="1" si="96"/>
        <v>0</v>
      </c>
      <c r="AU102" s="136">
        <f t="shared" ca="1" si="96"/>
        <v>0</v>
      </c>
      <c r="AV102" s="136">
        <f t="shared" ca="1" si="96"/>
        <v>0</v>
      </c>
      <c r="AW102" s="136">
        <f t="shared" ca="1" si="96"/>
        <v>0</v>
      </c>
      <c r="AX102" s="136">
        <f t="shared" ca="1" si="96"/>
        <v>0</v>
      </c>
      <c r="AY102" s="136">
        <f t="shared" ca="1" si="96"/>
        <v>0</v>
      </c>
      <c r="AZ102" s="136">
        <f t="shared" ca="1" si="96"/>
        <v>0</v>
      </c>
      <c r="BA102" s="136">
        <f t="shared" ca="1" si="96"/>
        <v>0</v>
      </c>
      <c r="BB102" s="136">
        <f t="shared" ca="1" si="96"/>
        <v>0</v>
      </c>
      <c r="BC102" s="136">
        <f t="shared" ca="1" si="96"/>
        <v>0</v>
      </c>
      <c r="BD102" s="136">
        <f t="shared" ca="1" si="96"/>
        <v>0</v>
      </c>
      <c r="BE102" s="136">
        <f t="shared" ca="1" si="96"/>
        <v>0</v>
      </c>
      <c r="BF102" s="136">
        <f t="shared" ca="1" si="96"/>
        <v>0</v>
      </c>
      <c r="BG102" s="136">
        <f t="shared" ca="1" si="96"/>
        <v>0</v>
      </c>
      <c r="BH102" s="136">
        <f t="shared" ca="1" si="96"/>
        <v>0</v>
      </c>
      <c r="BI102" s="136">
        <f t="shared" ca="1" si="96"/>
        <v>0</v>
      </c>
      <c r="BJ102" s="136">
        <f t="shared" ca="1" si="96"/>
        <v>0</v>
      </c>
      <c r="BK102" s="136">
        <f t="shared" ca="1" si="96"/>
        <v>0</v>
      </c>
      <c r="BL102" s="136">
        <f t="shared" ca="1" si="96"/>
        <v>0</v>
      </c>
      <c r="BM102" s="136">
        <f t="shared" ca="1" si="96"/>
        <v>0</v>
      </c>
      <c r="BN102" s="136">
        <f t="shared" ca="1" si="96"/>
        <v>0</v>
      </c>
      <c r="BO102" s="136">
        <f t="shared" ca="1" si="96"/>
        <v>0</v>
      </c>
      <c r="BP102" s="136">
        <f t="shared" ca="1" si="96"/>
        <v>0</v>
      </c>
      <c r="BQ102" s="136">
        <f t="shared" ca="1" si="96"/>
        <v>0</v>
      </c>
      <c r="BR102" s="136">
        <f t="shared" ca="1" si="96"/>
        <v>0</v>
      </c>
      <c r="BS102" s="136">
        <f t="shared" ca="1" si="96"/>
        <v>0</v>
      </c>
      <c r="BT102" s="136">
        <f t="shared" ca="1" si="96"/>
        <v>0</v>
      </c>
      <c r="BU102" s="136">
        <f t="shared" ref="BU102:CO102" ca="1" si="97">PermanentLoanOBalance*(Today=PermanentLoanOriginationDate)</f>
        <v>0</v>
      </c>
      <c r="BV102" s="136">
        <f t="shared" ca="1" si="97"/>
        <v>0</v>
      </c>
      <c r="BW102" s="136">
        <f t="shared" ca="1" si="97"/>
        <v>0</v>
      </c>
      <c r="BX102" s="136">
        <f t="shared" ca="1" si="97"/>
        <v>0</v>
      </c>
      <c r="BY102" s="136">
        <f t="shared" ca="1" si="97"/>
        <v>0</v>
      </c>
      <c r="BZ102" s="136">
        <f t="shared" ca="1" si="97"/>
        <v>0</v>
      </c>
      <c r="CA102" s="136">
        <f t="shared" ca="1" si="97"/>
        <v>0</v>
      </c>
      <c r="CB102" s="136">
        <f t="shared" ca="1" si="97"/>
        <v>0</v>
      </c>
      <c r="CC102" s="136">
        <f t="shared" ca="1" si="97"/>
        <v>0</v>
      </c>
      <c r="CD102" s="136">
        <f t="shared" ca="1" si="97"/>
        <v>0</v>
      </c>
      <c r="CE102" s="136">
        <f t="shared" ca="1" si="97"/>
        <v>0</v>
      </c>
      <c r="CF102" s="136">
        <f t="shared" ca="1" si="97"/>
        <v>0</v>
      </c>
      <c r="CG102" s="136">
        <f t="shared" ca="1" si="97"/>
        <v>0</v>
      </c>
      <c r="CH102" s="136">
        <f t="shared" ca="1" si="97"/>
        <v>0</v>
      </c>
      <c r="CI102" s="136">
        <f t="shared" ca="1" si="97"/>
        <v>0</v>
      </c>
      <c r="CJ102" s="136">
        <f t="shared" ca="1" si="97"/>
        <v>0</v>
      </c>
      <c r="CK102" s="136">
        <f t="shared" ca="1" si="97"/>
        <v>0</v>
      </c>
      <c r="CL102" s="136">
        <f t="shared" ca="1" si="97"/>
        <v>0</v>
      </c>
      <c r="CM102" s="136">
        <f t="shared" ca="1" si="97"/>
        <v>0</v>
      </c>
      <c r="CN102" s="136">
        <f t="shared" ca="1" si="97"/>
        <v>0</v>
      </c>
      <c r="CO102" s="136">
        <f t="shared" ca="1" si="97"/>
        <v>0</v>
      </c>
      <c r="CP102" s="133" t="s">
        <v>15</v>
      </c>
    </row>
    <row r="103" spans="2:94" ht="15" customHeight="1" x14ac:dyDescent="0.2">
      <c r="B103" s="136">
        <f ca="1">SUM(I103:CO103)</f>
        <v>-1145734.4937086741</v>
      </c>
      <c r="D103" s="259" t="s">
        <v>199</v>
      </c>
      <c r="E103" s="269"/>
      <c r="F103" s="133" t="s">
        <v>235</v>
      </c>
      <c r="I103" s="136">
        <f ca="1">-I108</f>
        <v>0</v>
      </c>
      <c r="J103" s="136">
        <f t="shared" ref="J103:BU103" ca="1" si="98">-J108</f>
        <v>0</v>
      </c>
      <c r="K103" s="136">
        <f t="shared" ca="1" si="98"/>
        <v>0</v>
      </c>
      <c r="L103" s="136">
        <f t="shared" ca="1" si="98"/>
        <v>0</v>
      </c>
      <c r="M103" s="136">
        <f t="shared" ca="1" si="98"/>
        <v>0</v>
      </c>
      <c r="N103" s="136">
        <f t="shared" ca="1" si="98"/>
        <v>0</v>
      </c>
      <c r="O103" s="136">
        <f t="shared" ca="1" si="98"/>
        <v>0</v>
      </c>
      <c r="P103" s="136">
        <f t="shared" ca="1" si="98"/>
        <v>0</v>
      </c>
      <c r="Q103" s="136">
        <f t="shared" ca="1" si="98"/>
        <v>0</v>
      </c>
      <c r="R103" s="136">
        <f t="shared" ca="1" si="98"/>
        <v>0</v>
      </c>
      <c r="S103" s="136">
        <f t="shared" ca="1" si="98"/>
        <v>0</v>
      </c>
      <c r="T103" s="136">
        <f t="shared" ca="1" si="98"/>
        <v>0</v>
      </c>
      <c r="U103" s="136">
        <f t="shared" ca="1" si="98"/>
        <v>0</v>
      </c>
      <c r="V103" s="136">
        <f t="shared" ca="1" si="98"/>
        <v>0</v>
      </c>
      <c r="W103" s="136">
        <f t="shared" ca="1" si="98"/>
        <v>0</v>
      </c>
      <c r="X103" s="136">
        <f t="shared" ca="1" si="98"/>
        <v>0</v>
      </c>
      <c r="Y103" s="136">
        <f t="shared" ca="1" si="98"/>
        <v>0</v>
      </c>
      <c r="Z103" s="136">
        <f t="shared" ca="1" si="98"/>
        <v>0</v>
      </c>
      <c r="AA103" s="136">
        <f t="shared" ca="1" si="98"/>
        <v>0</v>
      </c>
      <c r="AB103" s="136">
        <f t="shared" ca="1" si="98"/>
        <v>0</v>
      </c>
      <c r="AC103" s="136">
        <f t="shared" ca="1" si="98"/>
        <v>0</v>
      </c>
      <c r="AD103" s="136">
        <f t="shared" ca="1" si="98"/>
        <v>0</v>
      </c>
      <c r="AE103" s="136">
        <f t="shared" ca="1" si="98"/>
        <v>0</v>
      </c>
      <c r="AF103" s="136">
        <f t="shared" ca="1" si="98"/>
        <v>0</v>
      </c>
      <c r="AG103" s="136">
        <f t="shared" ca="1" si="98"/>
        <v>0</v>
      </c>
      <c r="AH103" s="136">
        <f t="shared" ca="1" si="98"/>
        <v>0</v>
      </c>
      <c r="AI103" s="136">
        <f t="shared" ca="1" si="98"/>
        <v>0</v>
      </c>
      <c r="AJ103" s="136">
        <f t="shared" ca="1" si="98"/>
        <v>0</v>
      </c>
      <c r="AK103" s="136">
        <f t="shared" ca="1" si="98"/>
        <v>0</v>
      </c>
      <c r="AL103" s="136">
        <f t="shared" ca="1" si="98"/>
        <v>0</v>
      </c>
      <c r="AM103" s="136">
        <f t="shared" ca="1" si="98"/>
        <v>0</v>
      </c>
      <c r="AN103" s="136">
        <f t="shared" ca="1" si="98"/>
        <v>0</v>
      </c>
      <c r="AO103" s="136">
        <f t="shared" ca="1" si="98"/>
        <v>0</v>
      </c>
      <c r="AP103" s="136">
        <f t="shared" ca="1" si="98"/>
        <v>0</v>
      </c>
      <c r="AQ103" s="136">
        <f t="shared" ca="1" si="98"/>
        <v>0</v>
      </c>
      <c r="AR103" s="136">
        <f t="shared" ca="1" si="98"/>
        <v>0</v>
      </c>
      <c r="AS103" s="136">
        <f t="shared" ca="1" si="98"/>
        <v>0</v>
      </c>
      <c r="AT103" s="136">
        <f t="shared" ca="1" si="98"/>
        <v>-28693.50373094005</v>
      </c>
      <c r="AU103" s="136">
        <f t="shared" ca="1" si="98"/>
        <v>-28860.88250270384</v>
      </c>
      <c r="AV103" s="136">
        <f t="shared" ca="1" si="98"/>
        <v>-29029.237650636263</v>
      </c>
      <c r="AW103" s="136">
        <f t="shared" ca="1" si="98"/>
        <v>-29198.574870264973</v>
      </c>
      <c r="AX103" s="136">
        <f t="shared" ca="1" si="98"/>
        <v>-29368.899890341505</v>
      </c>
      <c r="AY103" s="136">
        <f t="shared" ca="1" si="98"/>
        <v>-29540.218473035173</v>
      </c>
      <c r="AZ103" s="136">
        <f t="shared" ca="1" si="98"/>
        <v>-29712.536414127855</v>
      </c>
      <c r="BA103" s="136">
        <f t="shared" ca="1" si="98"/>
        <v>-29885.859543210303</v>
      </c>
      <c r="BB103" s="136">
        <f t="shared" ca="1" si="98"/>
        <v>-30060.193723879056</v>
      </c>
      <c r="BC103" s="136">
        <f t="shared" ca="1" si="98"/>
        <v>-30235.544853935018</v>
      </c>
      <c r="BD103" s="136">
        <f t="shared" ca="1" si="98"/>
        <v>-30411.918865582935</v>
      </c>
      <c r="BE103" s="136">
        <f t="shared" ca="1" si="98"/>
        <v>-30589.32172563218</v>
      </c>
      <c r="BF103" s="136">
        <f t="shared" ca="1" si="98"/>
        <v>-30767.759435698332</v>
      </c>
      <c r="BG103" s="136">
        <f t="shared" ca="1" si="98"/>
        <v>-30947.238032406574</v>
      </c>
      <c r="BH103" s="136">
        <f t="shared" ca="1" si="98"/>
        <v>-31127.763587595662</v>
      </c>
      <c r="BI103" s="136">
        <f t="shared" ca="1" si="98"/>
        <v>-31309.342208523245</v>
      </c>
      <c r="BJ103" s="136">
        <f t="shared" ca="1" si="98"/>
        <v>-31491.980038072972</v>
      </c>
      <c r="BK103" s="136">
        <f t="shared" ca="1" si="98"/>
        <v>-31675.683254961768</v>
      </c>
      <c r="BL103" s="136">
        <f t="shared" ca="1" si="98"/>
        <v>-31860.458073949034</v>
      </c>
      <c r="BM103" s="136">
        <f t="shared" ca="1" si="98"/>
        <v>-32046.310746047093</v>
      </c>
      <c r="BN103" s="136">
        <f t="shared" ca="1" si="98"/>
        <v>-32233.247558732342</v>
      </c>
      <c r="BO103" s="136">
        <f t="shared" ca="1" si="98"/>
        <v>-32421.274836158293</v>
      </c>
      <c r="BP103" s="136">
        <f t="shared" ca="1" si="98"/>
        <v>-32610.398939369246</v>
      </c>
      <c r="BQ103" s="136">
        <f t="shared" ca="1" si="98"/>
        <v>-32800.626266515581</v>
      </c>
      <c r="BR103" s="136">
        <f t="shared" ca="1" si="98"/>
        <v>-32991.963253070251</v>
      </c>
      <c r="BS103" s="136">
        <f t="shared" ca="1" si="98"/>
        <v>-33184.416372046515</v>
      </c>
      <c r="BT103" s="136">
        <f t="shared" ca="1" si="98"/>
        <v>-33377.992134216765</v>
      </c>
      <c r="BU103" s="136">
        <f t="shared" ca="1" si="98"/>
        <v>-33572.697088333021</v>
      </c>
      <c r="BV103" s="136">
        <f t="shared" ref="BV103:CO103" ca="1" si="99">-BV108</f>
        <v>-33768.537821348291</v>
      </c>
      <c r="BW103" s="136">
        <f t="shared" ca="1" si="99"/>
        <v>-33965.520958639478</v>
      </c>
      <c r="BX103" s="136">
        <f t="shared" ca="1" si="99"/>
        <v>-34163.653164231509</v>
      </c>
      <c r="BY103" s="136">
        <f t="shared" ca="1" si="99"/>
        <v>-34362.941141022864</v>
      </c>
      <c r="BZ103" s="136">
        <f t="shared" ca="1" si="99"/>
        <v>-34563.3916310122</v>
      </c>
      <c r="CA103" s="136">
        <f t="shared" ca="1" si="99"/>
        <v>-34765.011415526445</v>
      </c>
      <c r="CB103" s="136">
        <f t="shared" ca="1" si="99"/>
        <v>-34967.807315450336</v>
      </c>
      <c r="CC103" s="136">
        <f t="shared" ca="1" si="99"/>
        <v>-35171.786191457184</v>
      </c>
      <c r="CD103" s="136">
        <f t="shared" ca="1" si="99"/>
        <v>0</v>
      </c>
      <c r="CE103" s="136">
        <f t="shared" ca="1" si="99"/>
        <v>0</v>
      </c>
      <c r="CF103" s="136">
        <f t="shared" ca="1" si="99"/>
        <v>0</v>
      </c>
      <c r="CG103" s="136">
        <f t="shared" ca="1" si="99"/>
        <v>0</v>
      </c>
      <c r="CH103" s="136">
        <f t="shared" ca="1" si="99"/>
        <v>0</v>
      </c>
      <c r="CI103" s="136">
        <f t="shared" ca="1" si="99"/>
        <v>0</v>
      </c>
      <c r="CJ103" s="136">
        <f t="shared" ca="1" si="99"/>
        <v>0</v>
      </c>
      <c r="CK103" s="136">
        <f t="shared" ca="1" si="99"/>
        <v>0</v>
      </c>
      <c r="CL103" s="136">
        <f t="shared" ca="1" si="99"/>
        <v>0</v>
      </c>
      <c r="CM103" s="136">
        <f t="shared" ca="1" si="99"/>
        <v>0</v>
      </c>
      <c r="CN103" s="136">
        <f t="shared" ca="1" si="99"/>
        <v>0</v>
      </c>
      <c r="CO103" s="136">
        <f t="shared" ca="1" si="99"/>
        <v>0</v>
      </c>
      <c r="CP103" s="133" t="s">
        <v>15</v>
      </c>
    </row>
    <row r="104" spans="2:94" ht="15" customHeight="1" x14ac:dyDescent="0.2">
      <c r="B104" s="136">
        <f ca="1">SUM(I104:CO104)</f>
        <v>-33859507.825226754</v>
      </c>
      <c r="D104" s="259" t="s">
        <v>199</v>
      </c>
      <c r="E104" s="269"/>
      <c r="F104" s="133" t="s">
        <v>227</v>
      </c>
      <c r="I104" s="136">
        <f t="shared" ref="I104:AN104" ca="1" si="100">-SUM(I101:I103)*(Today=PermanentLoanMaturityDate)</f>
        <v>0</v>
      </c>
      <c r="J104" s="136">
        <f t="shared" ca="1" si="100"/>
        <v>0</v>
      </c>
      <c r="K104" s="136">
        <f t="shared" ca="1" si="100"/>
        <v>0</v>
      </c>
      <c r="L104" s="136">
        <f t="shared" ca="1" si="100"/>
        <v>0</v>
      </c>
      <c r="M104" s="136">
        <f t="shared" ca="1" si="100"/>
        <v>0</v>
      </c>
      <c r="N104" s="136">
        <f t="shared" ca="1" si="100"/>
        <v>0</v>
      </c>
      <c r="O104" s="136">
        <f t="shared" ca="1" si="100"/>
        <v>0</v>
      </c>
      <c r="P104" s="136">
        <f t="shared" ca="1" si="100"/>
        <v>0</v>
      </c>
      <c r="Q104" s="136">
        <f t="shared" ca="1" si="100"/>
        <v>0</v>
      </c>
      <c r="R104" s="136">
        <f t="shared" ca="1" si="100"/>
        <v>0</v>
      </c>
      <c r="S104" s="136">
        <f t="shared" ca="1" si="100"/>
        <v>0</v>
      </c>
      <c r="T104" s="136">
        <f t="shared" ca="1" si="100"/>
        <v>0</v>
      </c>
      <c r="U104" s="136">
        <f t="shared" ca="1" si="100"/>
        <v>0</v>
      </c>
      <c r="V104" s="136">
        <f t="shared" ca="1" si="100"/>
        <v>0</v>
      </c>
      <c r="W104" s="136">
        <f t="shared" ca="1" si="100"/>
        <v>0</v>
      </c>
      <c r="X104" s="136">
        <f t="shared" ca="1" si="100"/>
        <v>0</v>
      </c>
      <c r="Y104" s="136">
        <f t="shared" ca="1" si="100"/>
        <v>0</v>
      </c>
      <c r="Z104" s="136">
        <f t="shared" ca="1" si="100"/>
        <v>0</v>
      </c>
      <c r="AA104" s="136">
        <f t="shared" ca="1" si="100"/>
        <v>0</v>
      </c>
      <c r="AB104" s="136">
        <f t="shared" ca="1" si="100"/>
        <v>0</v>
      </c>
      <c r="AC104" s="136">
        <f t="shared" ca="1" si="100"/>
        <v>0</v>
      </c>
      <c r="AD104" s="136">
        <f t="shared" ca="1" si="100"/>
        <v>0</v>
      </c>
      <c r="AE104" s="136">
        <f t="shared" ca="1" si="100"/>
        <v>0</v>
      </c>
      <c r="AF104" s="136">
        <f t="shared" ca="1" si="100"/>
        <v>0</v>
      </c>
      <c r="AG104" s="136">
        <f t="shared" ca="1" si="100"/>
        <v>0</v>
      </c>
      <c r="AH104" s="136">
        <f t="shared" ca="1" si="100"/>
        <v>0</v>
      </c>
      <c r="AI104" s="136">
        <f t="shared" ca="1" si="100"/>
        <v>0</v>
      </c>
      <c r="AJ104" s="136">
        <f t="shared" ca="1" si="100"/>
        <v>0</v>
      </c>
      <c r="AK104" s="136">
        <f t="shared" ca="1" si="100"/>
        <v>0</v>
      </c>
      <c r="AL104" s="136">
        <f t="shared" ca="1" si="100"/>
        <v>0</v>
      </c>
      <c r="AM104" s="136">
        <f t="shared" ca="1" si="100"/>
        <v>0</v>
      </c>
      <c r="AN104" s="136">
        <f t="shared" ca="1" si="100"/>
        <v>0</v>
      </c>
      <c r="AO104" s="136">
        <f t="shared" ref="AO104:BT104" ca="1" si="101">-SUM(AO101:AO103)*(Today=PermanentLoanMaturityDate)</f>
        <v>0</v>
      </c>
      <c r="AP104" s="136">
        <f t="shared" ca="1" si="101"/>
        <v>0</v>
      </c>
      <c r="AQ104" s="136">
        <f t="shared" ca="1" si="101"/>
        <v>0</v>
      </c>
      <c r="AR104" s="136">
        <f t="shared" ca="1" si="101"/>
        <v>0</v>
      </c>
      <c r="AS104" s="136">
        <f t="shared" ca="1" si="101"/>
        <v>0</v>
      </c>
      <c r="AT104" s="136">
        <f t="shared" ca="1" si="101"/>
        <v>0</v>
      </c>
      <c r="AU104" s="136">
        <f t="shared" ca="1" si="101"/>
        <v>0</v>
      </c>
      <c r="AV104" s="136">
        <f t="shared" ca="1" si="101"/>
        <v>0</v>
      </c>
      <c r="AW104" s="136">
        <f t="shared" ca="1" si="101"/>
        <v>0</v>
      </c>
      <c r="AX104" s="136">
        <f t="shared" ca="1" si="101"/>
        <v>0</v>
      </c>
      <c r="AY104" s="136">
        <f t="shared" ca="1" si="101"/>
        <v>0</v>
      </c>
      <c r="AZ104" s="136">
        <f t="shared" ca="1" si="101"/>
        <v>0</v>
      </c>
      <c r="BA104" s="136">
        <f t="shared" ca="1" si="101"/>
        <v>0</v>
      </c>
      <c r="BB104" s="136">
        <f t="shared" ca="1" si="101"/>
        <v>0</v>
      </c>
      <c r="BC104" s="136">
        <f t="shared" ca="1" si="101"/>
        <v>0</v>
      </c>
      <c r="BD104" s="136">
        <f t="shared" ca="1" si="101"/>
        <v>0</v>
      </c>
      <c r="BE104" s="136">
        <f t="shared" ca="1" si="101"/>
        <v>0</v>
      </c>
      <c r="BF104" s="136">
        <f t="shared" ca="1" si="101"/>
        <v>0</v>
      </c>
      <c r="BG104" s="136">
        <f t="shared" ca="1" si="101"/>
        <v>0</v>
      </c>
      <c r="BH104" s="136">
        <f t="shared" ca="1" si="101"/>
        <v>0</v>
      </c>
      <c r="BI104" s="136">
        <f t="shared" ca="1" si="101"/>
        <v>0</v>
      </c>
      <c r="BJ104" s="136">
        <f t="shared" ca="1" si="101"/>
        <v>0</v>
      </c>
      <c r="BK104" s="136">
        <f t="shared" ca="1" si="101"/>
        <v>0</v>
      </c>
      <c r="BL104" s="136">
        <f t="shared" ca="1" si="101"/>
        <v>0</v>
      </c>
      <c r="BM104" s="136">
        <f t="shared" ca="1" si="101"/>
        <v>0</v>
      </c>
      <c r="BN104" s="136">
        <f t="shared" ca="1" si="101"/>
        <v>0</v>
      </c>
      <c r="BO104" s="136">
        <f t="shared" ca="1" si="101"/>
        <v>0</v>
      </c>
      <c r="BP104" s="136">
        <f t="shared" ca="1" si="101"/>
        <v>0</v>
      </c>
      <c r="BQ104" s="136">
        <f t="shared" ca="1" si="101"/>
        <v>0</v>
      </c>
      <c r="BR104" s="136">
        <f t="shared" ca="1" si="101"/>
        <v>0</v>
      </c>
      <c r="BS104" s="136">
        <f t="shared" ca="1" si="101"/>
        <v>0</v>
      </c>
      <c r="BT104" s="136">
        <f t="shared" ca="1" si="101"/>
        <v>0</v>
      </c>
      <c r="BU104" s="136">
        <f t="shared" ref="BU104:CO104" ca="1" si="102">-SUM(BU101:BU103)*(Today=PermanentLoanMaturityDate)</f>
        <v>0</v>
      </c>
      <c r="BV104" s="136">
        <f t="shared" ca="1" si="102"/>
        <v>0</v>
      </c>
      <c r="BW104" s="136">
        <f t="shared" ca="1" si="102"/>
        <v>0</v>
      </c>
      <c r="BX104" s="136">
        <f t="shared" ca="1" si="102"/>
        <v>0</v>
      </c>
      <c r="BY104" s="136">
        <f t="shared" ca="1" si="102"/>
        <v>0</v>
      </c>
      <c r="BZ104" s="136">
        <f t="shared" ca="1" si="102"/>
        <v>0</v>
      </c>
      <c r="CA104" s="136">
        <f t="shared" ca="1" si="102"/>
        <v>0</v>
      </c>
      <c r="CB104" s="136">
        <f t="shared" ca="1" si="102"/>
        <v>0</v>
      </c>
      <c r="CC104" s="136">
        <f t="shared" ca="1" si="102"/>
        <v>-33859507.825226754</v>
      </c>
      <c r="CD104" s="136">
        <f t="shared" ca="1" si="102"/>
        <v>0</v>
      </c>
      <c r="CE104" s="136">
        <f t="shared" ca="1" si="102"/>
        <v>0</v>
      </c>
      <c r="CF104" s="136">
        <f t="shared" ca="1" si="102"/>
        <v>0</v>
      </c>
      <c r="CG104" s="136">
        <f t="shared" ca="1" si="102"/>
        <v>0</v>
      </c>
      <c r="CH104" s="136">
        <f t="shared" ca="1" si="102"/>
        <v>0</v>
      </c>
      <c r="CI104" s="136">
        <f t="shared" ca="1" si="102"/>
        <v>0</v>
      </c>
      <c r="CJ104" s="136">
        <f t="shared" ca="1" si="102"/>
        <v>0</v>
      </c>
      <c r="CK104" s="136">
        <f t="shared" ca="1" si="102"/>
        <v>0</v>
      </c>
      <c r="CL104" s="136">
        <f t="shared" ca="1" si="102"/>
        <v>0</v>
      </c>
      <c r="CM104" s="136">
        <f t="shared" ca="1" si="102"/>
        <v>0</v>
      </c>
      <c r="CN104" s="136">
        <f t="shared" ca="1" si="102"/>
        <v>0</v>
      </c>
      <c r="CO104" s="136">
        <f t="shared" ca="1" si="102"/>
        <v>0</v>
      </c>
      <c r="CP104" s="133" t="s">
        <v>15</v>
      </c>
    </row>
    <row r="105" spans="2:94" ht="15" customHeight="1" x14ac:dyDescent="0.2">
      <c r="D105" s="259"/>
      <c r="E105" s="269"/>
      <c r="F105" s="133" t="s">
        <v>224</v>
      </c>
      <c r="I105" s="136">
        <f ca="1">SUM(I101:I104)</f>
        <v>0</v>
      </c>
      <c r="J105" s="136">
        <f t="shared" ref="J105:BU105" ca="1" si="103">SUM(J101:J104)</f>
        <v>0</v>
      </c>
      <c r="K105" s="136">
        <f t="shared" ca="1" si="103"/>
        <v>0</v>
      </c>
      <c r="L105" s="136">
        <f t="shared" ca="1" si="103"/>
        <v>0</v>
      </c>
      <c r="M105" s="136">
        <f t="shared" ca="1" si="103"/>
        <v>0</v>
      </c>
      <c r="N105" s="136">
        <f t="shared" ca="1" si="103"/>
        <v>0</v>
      </c>
      <c r="O105" s="136">
        <f t="shared" ca="1" si="103"/>
        <v>0</v>
      </c>
      <c r="P105" s="136">
        <f t="shared" ca="1" si="103"/>
        <v>0</v>
      </c>
      <c r="Q105" s="136">
        <f t="shared" ca="1" si="103"/>
        <v>0</v>
      </c>
      <c r="R105" s="136">
        <f t="shared" ca="1" si="103"/>
        <v>0</v>
      </c>
      <c r="S105" s="136">
        <f t="shared" ca="1" si="103"/>
        <v>0</v>
      </c>
      <c r="T105" s="136">
        <f t="shared" ca="1" si="103"/>
        <v>0</v>
      </c>
      <c r="U105" s="136">
        <f t="shared" ca="1" si="103"/>
        <v>0</v>
      </c>
      <c r="V105" s="136">
        <f t="shared" ca="1" si="103"/>
        <v>0</v>
      </c>
      <c r="W105" s="136">
        <f t="shared" ca="1" si="103"/>
        <v>0</v>
      </c>
      <c r="X105" s="136">
        <f t="shared" ca="1" si="103"/>
        <v>0</v>
      </c>
      <c r="Y105" s="136">
        <f t="shared" ca="1" si="103"/>
        <v>0</v>
      </c>
      <c r="Z105" s="136">
        <f t="shared" ca="1" si="103"/>
        <v>0</v>
      </c>
      <c r="AA105" s="136">
        <f t="shared" ca="1" si="103"/>
        <v>0</v>
      </c>
      <c r="AB105" s="136">
        <f t="shared" ca="1" si="103"/>
        <v>0</v>
      </c>
      <c r="AC105" s="136">
        <f t="shared" ca="1" si="103"/>
        <v>0</v>
      </c>
      <c r="AD105" s="136">
        <f t="shared" ca="1" si="103"/>
        <v>0</v>
      </c>
      <c r="AE105" s="136">
        <f t="shared" ca="1" si="103"/>
        <v>0</v>
      </c>
      <c r="AF105" s="136">
        <f t="shared" ca="1" si="103"/>
        <v>0</v>
      </c>
      <c r="AG105" s="136">
        <f t="shared" ca="1" si="103"/>
        <v>0</v>
      </c>
      <c r="AH105" s="136">
        <f t="shared" ca="1" si="103"/>
        <v>0</v>
      </c>
      <c r="AI105" s="136">
        <f t="shared" ca="1" si="103"/>
        <v>0</v>
      </c>
      <c r="AJ105" s="136">
        <f t="shared" ca="1" si="103"/>
        <v>0</v>
      </c>
      <c r="AK105" s="136">
        <f t="shared" ca="1" si="103"/>
        <v>0</v>
      </c>
      <c r="AL105" s="136">
        <f t="shared" ca="1" si="103"/>
        <v>0</v>
      </c>
      <c r="AM105" s="136">
        <f t="shared" ca="1" si="103"/>
        <v>0</v>
      </c>
      <c r="AN105" s="136">
        <f t="shared" ca="1" si="103"/>
        <v>0</v>
      </c>
      <c r="AO105" s="136">
        <f t="shared" ca="1" si="103"/>
        <v>0</v>
      </c>
      <c r="AP105" s="136">
        <f t="shared" ca="1" si="103"/>
        <v>0</v>
      </c>
      <c r="AQ105" s="136">
        <f t="shared" ca="1" si="103"/>
        <v>0</v>
      </c>
      <c r="AR105" s="136">
        <f t="shared" ca="1" si="103"/>
        <v>0</v>
      </c>
      <c r="AS105" s="136">
        <f t="shared" ca="1" si="103"/>
        <v>35005242.318935432</v>
      </c>
      <c r="AT105" s="136">
        <f t="shared" ca="1" si="103"/>
        <v>34976548.815204494</v>
      </c>
      <c r="AU105" s="136">
        <f t="shared" ca="1" si="103"/>
        <v>34947687.932701789</v>
      </c>
      <c r="AV105" s="136">
        <f t="shared" ca="1" si="103"/>
        <v>34918658.695051156</v>
      </c>
      <c r="AW105" s="136">
        <f t="shared" ca="1" si="103"/>
        <v>34889460.12018089</v>
      </c>
      <c r="AX105" s="136">
        <f t="shared" ca="1" si="103"/>
        <v>34860091.220290549</v>
      </c>
      <c r="AY105" s="136">
        <f t="shared" ca="1" si="103"/>
        <v>34830551.001817517</v>
      </c>
      <c r="AZ105" s="136">
        <f t="shared" ca="1" si="103"/>
        <v>34800838.465403385</v>
      </c>
      <c r="BA105" s="136">
        <f t="shared" ca="1" si="103"/>
        <v>34770952.605860174</v>
      </c>
      <c r="BB105" s="136">
        <f t="shared" ca="1" si="103"/>
        <v>34740892.412136294</v>
      </c>
      <c r="BC105" s="136">
        <f t="shared" ca="1" si="103"/>
        <v>34710656.867282361</v>
      </c>
      <c r="BD105" s="136">
        <f t="shared" ca="1" si="103"/>
        <v>34680244.948416777</v>
      </c>
      <c r="BE105" s="136">
        <f t="shared" ca="1" si="103"/>
        <v>34649655.626691148</v>
      </c>
      <c r="BF105" s="136">
        <f t="shared" ca="1" si="103"/>
        <v>34618887.867255449</v>
      </c>
      <c r="BG105" s="136">
        <f t="shared" ca="1" si="103"/>
        <v>34587940.629223041</v>
      </c>
      <c r="BH105" s="136">
        <f t="shared" ca="1" si="103"/>
        <v>34556812.865635447</v>
      </c>
      <c r="BI105" s="136">
        <f t="shared" ca="1" si="103"/>
        <v>34525503.523426928</v>
      </c>
      <c r="BJ105" s="136">
        <f t="shared" ca="1" si="103"/>
        <v>34494011.543388851</v>
      </c>
      <c r="BK105" s="136">
        <f t="shared" ca="1" si="103"/>
        <v>34462335.860133886</v>
      </c>
      <c r="BL105" s="136">
        <f t="shared" ca="1" si="103"/>
        <v>34430475.402059935</v>
      </c>
      <c r="BM105" s="136">
        <f t="shared" ca="1" si="103"/>
        <v>34398429.091313891</v>
      </c>
      <c r="BN105" s="136">
        <f t="shared" ca="1" si="103"/>
        <v>34366195.843755156</v>
      </c>
      <c r="BO105" s="136">
        <f t="shared" ca="1" si="103"/>
        <v>34333774.568918996</v>
      </c>
      <c r="BP105" s="136">
        <f t="shared" ca="1" si="103"/>
        <v>34301164.169979624</v>
      </c>
      <c r="BQ105" s="136">
        <f t="shared" ca="1" si="103"/>
        <v>34268363.543713108</v>
      </c>
      <c r="BR105" s="136">
        <f t="shared" ca="1" si="103"/>
        <v>34235371.580460034</v>
      </c>
      <c r="BS105" s="136">
        <f t="shared" ca="1" si="103"/>
        <v>34202187.164087988</v>
      </c>
      <c r="BT105" s="136">
        <f t="shared" ca="1" si="103"/>
        <v>34168809.171953775</v>
      </c>
      <c r="BU105" s="136">
        <f t="shared" ca="1" si="103"/>
        <v>34135236.474865444</v>
      </c>
      <c r="BV105" s="136">
        <f t="shared" ref="BV105:CO105" ca="1" si="104">SUM(BV101:BV104)</f>
        <v>34101467.937044099</v>
      </c>
      <c r="BW105" s="136">
        <f t="shared" ca="1" si="104"/>
        <v>34067502.416085459</v>
      </c>
      <c r="BX105" s="136">
        <f t="shared" ca="1" si="104"/>
        <v>34033338.762921229</v>
      </c>
      <c r="BY105" s="136">
        <f t="shared" ca="1" si="104"/>
        <v>33998975.821780205</v>
      </c>
      <c r="BZ105" s="136">
        <f t="shared" ca="1" si="104"/>
        <v>33964412.43014919</v>
      </c>
      <c r="CA105" s="136">
        <f t="shared" ca="1" si="104"/>
        <v>33929647.418733664</v>
      </c>
      <c r="CB105" s="136">
        <f t="shared" ca="1" si="104"/>
        <v>33894679.61141821</v>
      </c>
      <c r="CC105" s="136">
        <f t="shared" ca="1" si="104"/>
        <v>0</v>
      </c>
      <c r="CD105" s="136">
        <f t="shared" ca="1" si="104"/>
        <v>0</v>
      </c>
      <c r="CE105" s="136">
        <f t="shared" ca="1" si="104"/>
        <v>0</v>
      </c>
      <c r="CF105" s="136">
        <f t="shared" ca="1" si="104"/>
        <v>0</v>
      </c>
      <c r="CG105" s="136">
        <f t="shared" ca="1" si="104"/>
        <v>0</v>
      </c>
      <c r="CH105" s="136">
        <f t="shared" ca="1" si="104"/>
        <v>0</v>
      </c>
      <c r="CI105" s="136">
        <f t="shared" ca="1" si="104"/>
        <v>0</v>
      </c>
      <c r="CJ105" s="136">
        <f t="shared" ca="1" si="104"/>
        <v>0</v>
      </c>
      <c r="CK105" s="136">
        <f t="shared" ca="1" si="104"/>
        <v>0</v>
      </c>
      <c r="CL105" s="136">
        <f t="shared" ca="1" si="104"/>
        <v>0</v>
      </c>
      <c r="CM105" s="136">
        <f t="shared" ca="1" si="104"/>
        <v>0</v>
      </c>
      <c r="CN105" s="136">
        <f t="shared" ca="1" si="104"/>
        <v>0</v>
      </c>
      <c r="CO105" s="136">
        <f t="shared" ca="1" si="104"/>
        <v>0</v>
      </c>
      <c r="CP105" s="133" t="s">
        <v>15</v>
      </c>
    </row>
    <row r="106" spans="2:94" ht="15" customHeight="1" x14ac:dyDescent="0.2">
      <c r="D106" s="259"/>
      <c r="E106" s="269"/>
      <c r="F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row>
    <row r="107" spans="2:94" ht="15" customHeight="1" x14ac:dyDescent="0.2">
      <c r="B107" s="136">
        <f ca="1">SUM(I107:CO107)</f>
        <v>7238332.5275816098</v>
      </c>
      <c r="C107" s="133" t="s">
        <v>236</v>
      </c>
      <c r="D107" s="259" t="s">
        <v>194</v>
      </c>
      <c r="E107" s="269"/>
      <c r="F107" s="133" t="s">
        <v>232</v>
      </c>
      <c r="I107" s="136">
        <f t="shared" ref="I107:BT107" si="105">I101*PermanentLoanRate/12</f>
        <v>0</v>
      </c>
      <c r="J107" s="136">
        <f t="shared" ca="1" si="105"/>
        <v>0</v>
      </c>
      <c r="K107" s="136">
        <f t="shared" ca="1" si="105"/>
        <v>0</v>
      </c>
      <c r="L107" s="136">
        <f t="shared" ca="1" si="105"/>
        <v>0</v>
      </c>
      <c r="M107" s="136">
        <f t="shared" ca="1" si="105"/>
        <v>0</v>
      </c>
      <c r="N107" s="136">
        <f t="shared" ca="1" si="105"/>
        <v>0</v>
      </c>
      <c r="O107" s="136">
        <f t="shared" ca="1" si="105"/>
        <v>0</v>
      </c>
      <c r="P107" s="136">
        <f t="shared" ca="1" si="105"/>
        <v>0</v>
      </c>
      <c r="Q107" s="136">
        <f t="shared" ca="1" si="105"/>
        <v>0</v>
      </c>
      <c r="R107" s="136">
        <f t="shared" ca="1" si="105"/>
        <v>0</v>
      </c>
      <c r="S107" s="136">
        <f t="shared" ca="1" si="105"/>
        <v>0</v>
      </c>
      <c r="T107" s="136">
        <f t="shared" ca="1" si="105"/>
        <v>0</v>
      </c>
      <c r="U107" s="136">
        <f t="shared" ca="1" si="105"/>
        <v>0</v>
      </c>
      <c r="V107" s="136">
        <f t="shared" ca="1" si="105"/>
        <v>0</v>
      </c>
      <c r="W107" s="136">
        <f t="shared" ca="1" si="105"/>
        <v>0</v>
      </c>
      <c r="X107" s="136">
        <f t="shared" ca="1" si="105"/>
        <v>0</v>
      </c>
      <c r="Y107" s="136">
        <f t="shared" ca="1" si="105"/>
        <v>0</v>
      </c>
      <c r="Z107" s="136">
        <f t="shared" ca="1" si="105"/>
        <v>0</v>
      </c>
      <c r="AA107" s="136">
        <f t="shared" ca="1" si="105"/>
        <v>0</v>
      </c>
      <c r="AB107" s="136">
        <f t="shared" ca="1" si="105"/>
        <v>0</v>
      </c>
      <c r="AC107" s="136">
        <f t="shared" ca="1" si="105"/>
        <v>0</v>
      </c>
      <c r="AD107" s="136">
        <f t="shared" ca="1" si="105"/>
        <v>0</v>
      </c>
      <c r="AE107" s="136">
        <f t="shared" ca="1" si="105"/>
        <v>0</v>
      </c>
      <c r="AF107" s="136">
        <f t="shared" ca="1" si="105"/>
        <v>0</v>
      </c>
      <c r="AG107" s="136">
        <f t="shared" ca="1" si="105"/>
        <v>0</v>
      </c>
      <c r="AH107" s="136">
        <f t="shared" ca="1" si="105"/>
        <v>0</v>
      </c>
      <c r="AI107" s="136">
        <f t="shared" ca="1" si="105"/>
        <v>0</v>
      </c>
      <c r="AJ107" s="136">
        <f t="shared" ca="1" si="105"/>
        <v>0</v>
      </c>
      <c r="AK107" s="136">
        <f t="shared" ca="1" si="105"/>
        <v>0</v>
      </c>
      <c r="AL107" s="136">
        <f t="shared" ca="1" si="105"/>
        <v>0</v>
      </c>
      <c r="AM107" s="136">
        <f t="shared" ca="1" si="105"/>
        <v>0</v>
      </c>
      <c r="AN107" s="136">
        <f t="shared" ca="1" si="105"/>
        <v>0</v>
      </c>
      <c r="AO107" s="136">
        <f t="shared" ca="1" si="105"/>
        <v>0</v>
      </c>
      <c r="AP107" s="136">
        <f t="shared" ca="1" si="105"/>
        <v>0</v>
      </c>
      <c r="AQ107" s="136">
        <f t="shared" ca="1" si="105"/>
        <v>0</v>
      </c>
      <c r="AR107" s="136">
        <f t="shared" ca="1" si="105"/>
        <v>0</v>
      </c>
      <c r="AS107" s="136">
        <f t="shared" ca="1" si="105"/>
        <v>0</v>
      </c>
      <c r="AT107" s="136">
        <f t="shared" ca="1" si="105"/>
        <v>204197.24686045668</v>
      </c>
      <c r="AU107" s="136">
        <f t="shared" ca="1" si="105"/>
        <v>204029.86808869289</v>
      </c>
      <c r="AV107" s="136">
        <f t="shared" ca="1" si="105"/>
        <v>203861.51294076047</v>
      </c>
      <c r="AW107" s="136">
        <f t="shared" ca="1" si="105"/>
        <v>203692.17572113176</v>
      </c>
      <c r="AX107" s="136">
        <f t="shared" ca="1" si="105"/>
        <v>203521.85070105523</v>
      </c>
      <c r="AY107" s="136">
        <f t="shared" ca="1" si="105"/>
        <v>203350.53211836156</v>
      </c>
      <c r="AZ107" s="136">
        <f t="shared" ca="1" si="105"/>
        <v>203178.21417726888</v>
      </c>
      <c r="BA107" s="136">
        <f t="shared" ca="1" si="105"/>
        <v>203004.89104818643</v>
      </c>
      <c r="BB107" s="136">
        <f t="shared" ca="1" si="105"/>
        <v>202830.55686751768</v>
      </c>
      <c r="BC107" s="136">
        <f t="shared" ca="1" si="105"/>
        <v>202655.20573746171</v>
      </c>
      <c r="BD107" s="136">
        <f t="shared" ca="1" si="105"/>
        <v>202478.8317258138</v>
      </c>
      <c r="BE107" s="136">
        <f t="shared" ca="1" si="105"/>
        <v>202301.42886576455</v>
      </c>
      <c r="BF107" s="136">
        <f t="shared" ca="1" si="105"/>
        <v>202122.9911556984</v>
      </c>
      <c r="BG107" s="136">
        <f t="shared" ca="1" si="105"/>
        <v>201943.51255899016</v>
      </c>
      <c r="BH107" s="136">
        <f t="shared" ca="1" si="105"/>
        <v>201762.98700380107</v>
      </c>
      <c r="BI107" s="136">
        <f t="shared" ca="1" si="105"/>
        <v>201581.40838287349</v>
      </c>
      <c r="BJ107" s="136">
        <f t="shared" ca="1" si="105"/>
        <v>201398.77055332376</v>
      </c>
      <c r="BK107" s="136">
        <f t="shared" ca="1" si="105"/>
        <v>201215.06733643496</v>
      </c>
      <c r="BL107" s="136">
        <f t="shared" ca="1" si="105"/>
        <v>201030.2925174477</v>
      </c>
      <c r="BM107" s="136">
        <f t="shared" ca="1" si="105"/>
        <v>200844.43984534964</v>
      </c>
      <c r="BN107" s="136">
        <f t="shared" ca="1" si="105"/>
        <v>200657.50303266439</v>
      </c>
      <c r="BO107" s="136">
        <f t="shared" ca="1" si="105"/>
        <v>200469.47575523844</v>
      </c>
      <c r="BP107" s="136">
        <f t="shared" ca="1" si="105"/>
        <v>200280.35165202749</v>
      </c>
      <c r="BQ107" s="136">
        <f t="shared" ca="1" si="105"/>
        <v>200090.12432488115</v>
      </c>
      <c r="BR107" s="136">
        <f t="shared" ca="1" si="105"/>
        <v>199898.78733832648</v>
      </c>
      <c r="BS107" s="136">
        <f t="shared" ca="1" si="105"/>
        <v>199706.33421935022</v>
      </c>
      <c r="BT107" s="136">
        <f t="shared" ca="1" si="105"/>
        <v>199512.75845717997</v>
      </c>
      <c r="BU107" s="136">
        <f t="shared" ref="BU107:CO107" ca="1" si="106">BU101*PermanentLoanRate/12</f>
        <v>199318.05350306371</v>
      </c>
      <c r="BV107" s="136">
        <f t="shared" ca="1" si="106"/>
        <v>199122.21277004844</v>
      </c>
      <c r="BW107" s="136">
        <f t="shared" ca="1" si="106"/>
        <v>198925.22963275725</v>
      </c>
      <c r="BX107" s="136">
        <f t="shared" ca="1" si="106"/>
        <v>198727.09742716522</v>
      </c>
      <c r="BY107" s="136">
        <f t="shared" ca="1" si="106"/>
        <v>198527.80945037387</v>
      </c>
      <c r="BZ107" s="136">
        <f t="shared" ca="1" si="106"/>
        <v>198327.35896038453</v>
      </c>
      <c r="CA107" s="136">
        <f t="shared" ca="1" si="106"/>
        <v>198125.73917587029</v>
      </c>
      <c r="CB107" s="136">
        <f t="shared" ca="1" si="106"/>
        <v>197922.9432759464</v>
      </c>
      <c r="CC107" s="136">
        <f t="shared" ca="1" si="106"/>
        <v>197718.96439993955</v>
      </c>
      <c r="CD107" s="136">
        <f t="shared" ca="1" si="106"/>
        <v>0</v>
      </c>
      <c r="CE107" s="136">
        <f t="shared" ca="1" si="106"/>
        <v>0</v>
      </c>
      <c r="CF107" s="136">
        <f t="shared" ca="1" si="106"/>
        <v>0</v>
      </c>
      <c r="CG107" s="136">
        <f t="shared" ca="1" si="106"/>
        <v>0</v>
      </c>
      <c r="CH107" s="136">
        <f t="shared" ca="1" si="106"/>
        <v>0</v>
      </c>
      <c r="CI107" s="136">
        <f t="shared" ca="1" si="106"/>
        <v>0</v>
      </c>
      <c r="CJ107" s="136">
        <f t="shared" ca="1" si="106"/>
        <v>0</v>
      </c>
      <c r="CK107" s="136">
        <f t="shared" ca="1" si="106"/>
        <v>0</v>
      </c>
      <c r="CL107" s="136">
        <f t="shared" ca="1" si="106"/>
        <v>0</v>
      </c>
      <c r="CM107" s="136">
        <f t="shared" ca="1" si="106"/>
        <v>0</v>
      </c>
      <c r="CN107" s="136">
        <f t="shared" ca="1" si="106"/>
        <v>0</v>
      </c>
      <c r="CO107" s="136">
        <f t="shared" ca="1" si="106"/>
        <v>0</v>
      </c>
      <c r="CP107" s="133" t="s">
        <v>15</v>
      </c>
    </row>
    <row r="108" spans="2:94" ht="15" customHeight="1" x14ac:dyDescent="0.2">
      <c r="B108" s="136">
        <f ca="1">SUM(I108:CO108)</f>
        <v>1145734.4937086741</v>
      </c>
      <c r="C108" s="133" t="s">
        <v>237</v>
      </c>
      <c r="D108" s="259" t="s">
        <v>194</v>
      </c>
      <c r="E108" s="269"/>
      <c r="F108" s="133" t="s">
        <v>235</v>
      </c>
      <c r="I108" s="136">
        <f ca="1">I110-I107</f>
        <v>0</v>
      </c>
      <c r="J108" s="136">
        <f t="shared" ref="J108:BU108" ca="1" si="107">J110-J107</f>
        <v>0</v>
      </c>
      <c r="K108" s="136">
        <f t="shared" ca="1" si="107"/>
        <v>0</v>
      </c>
      <c r="L108" s="136">
        <f t="shared" ca="1" si="107"/>
        <v>0</v>
      </c>
      <c r="M108" s="136">
        <f t="shared" ca="1" si="107"/>
        <v>0</v>
      </c>
      <c r="N108" s="136">
        <f t="shared" ca="1" si="107"/>
        <v>0</v>
      </c>
      <c r="O108" s="136">
        <f t="shared" ca="1" si="107"/>
        <v>0</v>
      </c>
      <c r="P108" s="136">
        <f t="shared" ca="1" si="107"/>
        <v>0</v>
      </c>
      <c r="Q108" s="136">
        <f t="shared" ca="1" si="107"/>
        <v>0</v>
      </c>
      <c r="R108" s="136">
        <f t="shared" ca="1" si="107"/>
        <v>0</v>
      </c>
      <c r="S108" s="136">
        <f t="shared" ca="1" si="107"/>
        <v>0</v>
      </c>
      <c r="T108" s="136">
        <f t="shared" ca="1" si="107"/>
        <v>0</v>
      </c>
      <c r="U108" s="136">
        <f t="shared" ca="1" si="107"/>
        <v>0</v>
      </c>
      <c r="V108" s="136">
        <f t="shared" ca="1" si="107"/>
        <v>0</v>
      </c>
      <c r="W108" s="136">
        <f t="shared" ca="1" si="107"/>
        <v>0</v>
      </c>
      <c r="X108" s="136">
        <f t="shared" ca="1" si="107"/>
        <v>0</v>
      </c>
      <c r="Y108" s="136">
        <f t="shared" ca="1" si="107"/>
        <v>0</v>
      </c>
      <c r="Z108" s="136">
        <f t="shared" ca="1" si="107"/>
        <v>0</v>
      </c>
      <c r="AA108" s="136">
        <f t="shared" ca="1" si="107"/>
        <v>0</v>
      </c>
      <c r="AB108" s="136">
        <f t="shared" ca="1" si="107"/>
        <v>0</v>
      </c>
      <c r="AC108" s="136">
        <f t="shared" ca="1" si="107"/>
        <v>0</v>
      </c>
      <c r="AD108" s="136">
        <f t="shared" ca="1" si="107"/>
        <v>0</v>
      </c>
      <c r="AE108" s="136">
        <f t="shared" ca="1" si="107"/>
        <v>0</v>
      </c>
      <c r="AF108" s="136">
        <f t="shared" ca="1" si="107"/>
        <v>0</v>
      </c>
      <c r="AG108" s="136">
        <f t="shared" ca="1" si="107"/>
        <v>0</v>
      </c>
      <c r="AH108" s="136">
        <f t="shared" ca="1" si="107"/>
        <v>0</v>
      </c>
      <c r="AI108" s="136">
        <f t="shared" ca="1" si="107"/>
        <v>0</v>
      </c>
      <c r="AJ108" s="136">
        <f t="shared" ca="1" si="107"/>
        <v>0</v>
      </c>
      <c r="AK108" s="136">
        <f t="shared" ca="1" si="107"/>
        <v>0</v>
      </c>
      <c r="AL108" s="136">
        <f t="shared" ca="1" si="107"/>
        <v>0</v>
      </c>
      <c r="AM108" s="136">
        <f t="shared" ca="1" si="107"/>
        <v>0</v>
      </c>
      <c r="AN108" s="136">
        <f t="shared" ca="1" si="107"/>
        <v>0</v>
      </c>
      <c r="AO108" s="136">
        <f t="shared" ca="1" si="107"/>
        <v>0</v>
      </c>
      <c r="AP108" s="136">
        <f t="shared" ca="1" si="107"/>
        <v>0</v>
      </c>
      <c r="AQ108" s="136">
        <f t="shared" ca="1" si="107"/>
        <v>0</v>
      </c>
      <c r="AR108" s="136">
        <f t="shared" ca="1" si="107"/>
        <v>0</v>
      </c>
      <c r="AS108" s="136">
        <f t="shared" ca="1" si="107"/>
        <v>0</v>
      </c>
      <c r="AT108" s="136">
        <f t="shared" ca="1" si="107"/>
        <v>28693.50373094005</v>
      </c>
      <c r="AU108" s="136">
        <f t="shared" ca="1" si="107"/>
        <v>28860.88250270384</v>
      </c>
      <c r="AV108" s="136">
        <f t="shared" ca="1" si="107"/>
        <v>29029.237650636263</v>
      </c>
      <c r="AW108" s="136">
        <f t="shared" ca="1" si="107"/>
        <v>29198.574870264973</v>
      </c>
      <c r="AX108" s="136">
        <f t="shared" ca="1" si="107"/>
        <v>29368.899890341505</v>
      </c>
      <c r="AY108" s="136">
        <f t="shared" ca="1" si="107"/>
        <v>29540.218473035173</v>
      </c>
      <c r="AZ108" s="136">
        <f t="shared" ca="1" si="107"/>
        <v>29712.536414127855</v>
      </c>
      <c r="BA108" s="136">
        <f t="shared" ca="1" si="107"/>
        <v>29885.859543210303</v>
      </c>
      <c r="BB108" s="136">
        <f t="shared" ca="1" si="107"/>
        <v>30060.193723879056</v>
      </c>
      <c r="BC108" s="136">
        <f t="shared" ca="1" si="107"/>
        <v>30235.544853935018</v>
      </c>
      <c r="BD108" s="136">
        <f t="shared" ca="1" si="107"/>
        <v>30411.918865582935</v>
      </c>
      <c r="BE108" s="136">
        <f t="shared" ca="1" si="107"/>
        <v>30589.32172563218</v>
      </c>
      <c r="BF108" s="136">
        <f t="shared" ca="1" si="107"/>
        <v>30767.759435698332</v>
      </c>
      <c r="BG108" s="136">
        <f t="shared" ca="1" si="107"/>
        <v>30947.238032406574</v>
      </c>
      <c r="BH108" s="136">
        <f t="shared" ca="1" si="107"/>
        <v>31127.763587595662</v>
      </c>
      <c r="BI108" s="136">
        <f t="shared" ca="1" si="107"/>
        <v>31309.342208523245</v>
      </c>
      <c r="BJ108" s="136">
        <f t="shared" ca="1" si="107"/>
        <v>31491.980038072972</v>
      </c>
      <c r="BK108" s="136">
        <f t="shared" ca="1" si="107"/>
        <v>31675.683254961768</v>
      </c>
      <c r="BL108" s="136">
        <f t="shared" ca="1" si="107"/>
        <v>31860.458073949034</v>
      </c>
      <c r="BM108" s="136">
        <f t="shared" ca="1" si="107"/>
        <v>32046.310746047093</v>
      </c>
      <c r="BN108" s="136">
        <f t="shared" ca="1" si="107"/>
        <v>32233.247558732342</v>
      </c>
      <c r="BO108" s="136">
        <f t="shared" ca="1" si="107"/>
        <v>32421.274836158293</v>
      </c>
      <c r="BP108" s="136">
        <f t="shared" ca="1" si="107"/>
        <v>32610.398939369246</v>
      </c>
      <c r="BQ108" s="136">
        <f t="shared" ca="1" si="107"/>
        <v>32800.626266515581</v>
      </c>
      <c r="BR108" s="136">
        <f t="shared" ca="1" si="107"/>
        <v>32991.963253070251</v>
      </c>
      <c r="BS108" s="136">
        <f t="shared" ca="1" si="107"/>
        <v>33184.416372046515</v>
      </c>
      <c r="BT108" s="136">
        <f t="shared" ca="1" si="107"/>
        <v>33377.992134216765</v>
      </c>
      <c r="BU108" s="136">
        <f t="shared" ca="1" si="107"/>
        <v>33572.697088333021</v>
      </c>
      <c r="BV108" s="136">
        <f t="shared" ref="BV108:CO108" ca="1" si="108">BV110-BV107</f>
        <v>33768.537821348291</v>
      </c>
      <c r="BW108" s="136">
        <f t="shared" ca="1" si="108"/>
        <v>33965.520958639478</v>
      </c>
      <c r="BX108" s="136">
        <f t="shared" ca="1" si="108"/>
        <v>34163.653164231509</v>
      </c>
      <c r="BY108" s="136">
        <f t="shared" ca="1" si="108"/>
        <v>34362.941141022864</v>
      </c>
      <c r="BZ108" s="136">
        <f t="shared" ca="1" si="108"/>
        <v>34563.3916310122</v>
      </c>
      <c r="CA108" s="136">
        <f t="shared" ca="1" si="108"/>
        <v>34765.011415526445</v>
      </c>
      <c r="CB108" s="136">
        <f t="shared" ca="1" si="108"/>
        <v>34967.807315450336</v>
      </c>
      <c r="CC108" s="136">
        <f t="shared" ca="1" si="108"/>
        <v>35171.786191457184</v>
      </c>
      <c r="CD108" s="136">
        <f t="shared" ca="1" si="108"/>
        <v>0</v>
      </c>
      <c r="CE108" s="136">
        <f t="shared" ca="1" si="108"/>
        <v>0</v>
      </c>
      <c r="CF108" s="136">
        <f t="shared" ca="1" si="108"/>
        <v>0</v>
      </c>
      <c r="CG108" s="136">
        <f t="shared" ca="1" si="108"/>
        <v>0</v>
      </c>
      <c r="CH108" s="136">
        <f t="shared" ca="1" si="108"/>
        <v>0</v>
      </c>
      <c r="CI108" s="136">
        <f t="shared" ca="1" si="108"/>
        <v>0</v>
      </c>
      <c r="CJ108" s="136">
        <f t="shared" ca="1" si="108"/>
        <v>0</v>
      </c>
      <c r="CK108" s="136">
        <f t="shared" ca="1" si="108"/>
        <v>0</v>
      </c>
      <c r="CL108" s="136">
        <f t="shared" ca="1" si="108"/>
        <v>0</v>
      </c>
      <c r="CM108" s="136">
        <f t="shared" ca="1" si="108"/>
        <v>0</v>
      </c>
      <c r="CN108" s="136">
        <f t="shared" ca="1" si="108"/>
        <v>0</v>
      </c>
      <c r="CO108" s="136">
        <f t="shared" ca="1" si="108"/>
        <v>0</v>
      </c>
      <c r="CP108" s="133" t="s">
        <v>15</v>
      </c>
    </row>
    <row r="109" spans="2:94" ht="15" customHeight="1" x14ac:dyDescent="0.2">
      <c r="D109" s="259"/>
      <c r="E109" s="269"/>
      <c r="F109" s="284" t="s">
        <v>293</v>
      </c>
      <c r="I109" s="285">
        <f t="shared" ref="I109:BT109" si="109">(Today&gt;PermanentLoanOriginationDate)*(Today&lt;=PermanentLoanMaturityDate)</f>
        <v>0</v>
      </c>
      <c r="J109" s="285">
        <f t="shared" si="109"/>
        <v>0</v>
      </c>
      <c r="K109" s="285">
        <f t="shared" si="109"/>
        <v>0</v>
      </c>
      <c r="L109" s="285">
        <f t="shared" si="109"/>
        <v>0</v>
      </c>
      <c r="M109" s="285">
        <f t="shared" si="109"/>
        <v>0</v>
      </c>
      <c r="N109" s="285">
        <f t="shared" si="109"/>
        <v>0</v>
      </c>
      <c r="O109" s="285">
        <f t="shared" si="109"/>
        <v>0</v>
      </c>
      <c r="P109" s="285">
        <f t="shared" si="109"/>
        <v>0</v>
      </c>
      <c r="Q109" s="285">
        <f t="shared" si="109"/>
        <v>0</v>
      </c>
      <c r="R109" s="285">
        <f t="shared" si="109"/>
        <v>0</v>
      </c>
      <c r="S109" s="285">
        <f t="shared" si="109"/>
        <v>0</v>
      </c>
      <c r="T109" s="285">
        <f t="shared" si="109"/>
        <v>0</v>
      </c>
      <c r="U109" s="285">
        <f t="shared" si="109"/>
        <v>0</v>
      </c>
      <c r="V109" s="285">
        <f t="shared" si="109"/>
        <v>0</v>
      </c>
      <c r="W109" s="285">
        <f t="shared" si="109"/>
        <v>0</v>
      </c>
      <c r="X109" s="285">
        <f t="shared" si="109"/>
        <v>0</v>
      </c>
      <c r="Y109" s="285">
        <f t="shared" si="109"/>
        <v>0</v>
      </c>
      <c r="Z109" s="285">
        <f t="shared" si="109"/>
        <v>0</v>
      </c>
      <c r="AA109" s="285">
        <f t="shared" si="109"/>
        <v>0</v>
      </c>
      <c r="AB109" s="285">
        <f t="shared" si="109"/>
        <v>0</v>
      </c>
      <c r="AC109" s="285">
        <f t="shared" si="109"/>
        <v>0</v>
      </c>
      <c r="AD109" s="285">
        <f t="shared" si="109"/>
        <v>0</v>
      </c>
      <c r="AE109" s="285">
        <f t="shared" si="109"/>
        <v>0</v>
      </c>
      <c r="AF109" s="285">
        <f t="shared" si="109"/>
        <v>0</v>
      </c>
      <c r="AG109" s="285">
        <f t="shared" si="109"/>
        <v>0</v>
      </c>
      <c r="AH109" s="285">
        <f t="shared" si="109"/>
        <v>0</v>
      </c>
      <c r="AI109" s="285">
        <f t="shared" si="109"/>
        <v>0</v>
      </c>
      <c r="AJ109" s="285">
        <f t="shared" si="109"/>
        <v>0</v>
      </c>
      <c r="AK109" s="285">
        <f t="shared" si="109"/>
        <v>0</v>
      </c>
      <c r="AL109" s="285">
        <f t="shared" si="109"/>
        <v>0</v>
      </c>
      <c r="AM109" s="285">
        <f t="shared" si="109"/>
        <v>0</v>
      </c>
      <c r="AN109" s="285">
        <f t="shared" si="109"/>
        <v>0</v>
      </c>
      <c r="AO109" s="285">
        <f t="shared" si="109"/>
        <v>0</v>
      </c>
      <c r="AP109" s="285">
        <f t="shared" si="109"/>
        <v>0</v>
      </c>
      <c r="AQ109" s="285">
        <f t="shared" si="109"/>
        <v>0</v>
      </c>
      <c r="AR109" s="285">
        <f t="shared" si="109"/>
        <v>0</v>
      </c>
      <c r="AS109" s="285">
        <f t="shared" si="109"/>
        <v>0</v>
      </c>
      <c r="AT109" s="285">
        <f t="shared" si="109"/>
        <v>1</v>
      </c>
      <c r="AU109" s="285">
        <f t="shared" si="109"/>
        <v>1</v>
      </c>
      <c r="AV109" s="285">
        <f t="shared" si="109"/>
        <v>1</v>
      </c>
      <c r="AW109" s="285">
        <f t="shared" si="109"/>
        <v>1</v>
      </c>
      <c r="AX109" s="285">
        <f t="shared" si="109"/>
        <v>1</v>
      </c>
      <c r="AY109" s="285">
        <f t="shared" si="109"/>
        <v>1</v>
      </c>
      <c r="AZ109" s="285">
        <f t="shared" si="109"/>
        <v>1</v>
      </c>
      <c r="BA109" s="285">
        <f t="shared" si="109"/>
        <v>1</v>
      </c>
      <c r="BB109" s="285">
        <f t="shared" si="109"/>
        <v>1</v>
      </c>
      <c r="BC109" s="285">
        <f t="shared" si="109"/>
        <v>1</v>
      </c>
      <c r="BD109" s="285">
        <f t="shared" si="109"/>
        <v>1</v>
      </c>
      <c r="BE109" s="285">
        <f t="shared" si="109"/>
        <v>1</v>
      </c>
      <c r="BF109" s="285">
        <f t="shared" si="109"/>
        <v>1</v>
      </c>
      <c r="BG109" s="285">
        <f t="shared" si="109"/>
        <v>1</v>
      </c>
      <c r="BH109" s="285">
        <f t="shared" si="109"/>
        <v>1</v>
      </c>
      <c r="BI109" s="285">
        <f t="shared" si="109"/>
        <v>1</v>
      </c>
      <c r="BJ109" s="285">
        <f t="shared" si="109"/>
        <v>1</v>
      </c>
      <c r="BK109" s="285">
        <f t="shared" si="109"/>
        <v>1</v>
      </c>
      <c r="BL109" s="285">
        <f t="shared" si="109"/>
        <v>1</v>
      </c>
      <c r="BM109" s="285">
        <f t="shared" si="109"/>
        <v>1</v>
      </c>
      <c r="BN109" s="285">
        <f t="shared" si="109"/>
        <v>1</v>
      </c>
      <c r="BO109" s="285">
        <f t="shared" si="109"/>
        <v>1</v>
      </c>
      <c r="BP109" s="285">
        <f t="shared" si="109"/>
        <v>1</v>
      </c>
      <c r="BQ109" s="285">
        <f t="shared" si="109"/>
        <v>1</v>
      </c>
      <c r="BR109" s="285">
        <f t="shared" si="109"/>
        <v>1</v>
      </c>
      <c r="BS109" s="285">
        <f t="shared" si="109"/>
        <v>1</v>
      </c>
      <c r="BT109" s="285">
        <f t="shared" si="109"/>
        <v>1</v>
      </c>
      <c r="BU109" s="285">
        <f t="shared" ref="BU109:CO109" si="110">(Today&gt;PermanentLoanOriginationDate)*(Today&lt;=PermanentLoanMaturityDate)</f>
        <v>1</v>
      </c>
      <c r="BV109" s="285">
        <f t="shared" si="110"/>
        <v>1</v>
      </c>
      <c r="BW109" s="285">
        <f t="shared" si="110"/>
        <v>1</v>
      </c>
      <c r="BX109" s="285">
        <f t="shared" si="110"/>
        <v>1</v>
      </c>
      <c r="BY109" s="285">
        <f t="shared" si="110"/>
        <v>1</v>
      </c>
      <c r="BZ109" s="285">
        <f t="shared" si="110"/>
        <v>1</v>
      </c>
      <c r="CA109" s="285">
        <f t="shared" si="110"/>
        <v>1</v>
      </c>
      <c r="CB109" s="285">
        <f t="shared" si="110"/>
        <v>1</v>
      </c>
      <c r="CC109" s="285">
        <f t="shared" si="110"/>
        <v>1</v>
      </c>
      <c r="CD109" s="285">
        <f t="shared" si="110"/>
        <v>0</v>
      </c>
      <c r="CE109" s="285">
        <f t="shared" si="110"/>
        <v>0</v>
      </c>
      <c r="CF109" s="285">
        <f t="shared" si="110"/>
        <v>0</v>
      </c>
      <c r="CG109" s="285">
        <f t="shared" si="110"/>
        <v>0</v>
      </c>
      <c r="CH109" s="285">
        <f t="shared" si="110"/>
        <v>0</v>
      </c>
      <c r="CI109" s="285">
        <f t="shared" si="110"/>
        <v>0</v>
      </c>
      <c r="CJ109" s="285">
        <f t="shared" si="110"/>
        <v>0</v>
      </c>
      <c r="CK109" s="285">
        <f t="shared" si="110"/>
        <v>0</v>
      </c>
      <c r="CL109" s="285">
        <f t="shared" si="110"/>
        <v>0</v>
      </c>
      <c r="CM109" s="285">
        <f t="shared" si="110"/>
        <v>0</v>
      </c>
      <c r="CN109" s="285">
        <f t="shared" si="110"/>
        <v>0</v>
      </c>
      <c r="CO109" s="285">
        <f t="shared" si="110"/>
        <v>0</v>
      </c>
      <c r="CP109" s="133" t="s">
        <v>15</v>
      </c>
    </row>
    <row r="110" spans="2:94" ht="15" customHeight="1" x14ac:dyDescent="0.2">
      <c r="B110" s="136">
        <f ca="1">SUM(I110:CO110)</f>
        <v>8384067.0212902771</v>
      </c>
      <c r="D110" s="259" t="s">
        <v>194</v>
      </c>
      <c r="E110" s="269"/>
      <c r="F110" s="133" t="s">
        <v>238</v>
      </c>
      <c r="I110" s="136">
        <f t="shared" ref="I110:BT110" ca="1" si="111">(PermanentLoanOBalance*PermanentLoanMortgageConstant/12)*PermanentLoanDebtServiceDummy</f>
        <v>0</v>
      </c>
      <c r="J110" s="136">
        <f t="shared" ca="1" si="111"/>
        <v>0</v>
      </c>
      <c r="K110" s="136">
        <f t="shared" ca="1" si="111"/>
        <v>0</v>
      </c>
      <c r="L110" s="136">
        <f t="shared" ca="1" si="111"/>
        <v>0</v>
      </c>
      <c r="M110" s="136">
        <f t="shared" ca="1" si="111"/>
        <v>0</v>
      </c>
      <c r="N110" s="136">
        <f t="shared" ca="1" si="111"/>
        <v>0</v>
      </c>
      <c r="O110" s="136">
        <f t="shared" ca="1" si="111"/>
        <v>0</v>
      </c>
      <c r="P110" s="136">
        <f t="shared" ca="1" si="111"/>
        <v>0</v>
      </c>
      <c r="Q110" s="136">
        <f t="shared" ca="1" si="111"/>
        <v>0</v>
      </c>
      <c r="R110" s="136">
        <f t="shared" ca="1" si="111"/>
        <v>0</v>
      </c>
      <c r="S110" s="136">
        <f t="shared" ca="1" si="111"/>
        <v>0</v>
      </c>
      <c r="T110" s="136">
        <f t="shared" ca="1" si="111"/>
        <v>0</v>
      </c>
      <c r="U110" s="136">
        <f t="shared" ca="1" si="111"/>
        <v>0</v>
      </c>
      <c r="V110" s="136">
        <f t="shared" ca="1" si="111"/>
        <v>0</v>
      </c>
      <c r="W110" s="136">
        <f t="shared" ca="1" si="111"/>
        <v>0</v>
      </c>
      <c r="X110" s="136">
        <f t="shared" ca="1" si="111"/>
        <v>0</v>
      </c>
      <c r="Y110" s="136">
        <f t="shared" ca="1" si="111"/>
        <v>0</v>
      </c>
      <c r="Z110" s="136">
        <f t="shared" ca="1" si="111"/>
        <v>0</v>
      </c>
      <c r="AA110" s="136">
        <f t="shared" ca="1" si="111"/>
        <v>0</v>
      </c>
      <c r="AB110" s="136">
        <f t="shared" ca="1" si="111"/>
        <v>0</v>
      </c>
      <c r="AC110" s="136">
        <f t="shared" ca="1" si="111"/>
        <v>0</v>
      </c>
      <c r="AD110" s="136">
        <f t="shared" ca="1" si="111"/>
        <v>0</v>
      </c>
      <c r="AE110" s="136">
        <f t="shared" ca="1" si="111"/>
        <v>0</v>
      </c>
      <c r="AF110" s="136">
        <f t="shared" ca="1" si="111"/>
        <v>0</v>
      </c>
      <c r="AG110" s="136">
        <f t="shared" ca="1" si="111"/>
        <v>0</v>
      </c>
      <c r="AH110" s="136">
        <f t="shared" ca="1" si="111"/>
        <v>0</v>
      </c>
      <c r="AI110" s="136">
        <f t="shared" ca="1" si="111"/>
        <v>0</v>
      </c>
      <c r="AJ110" s="136">
        <f t="shared" ca="1" si="111"/>
        <v>0</v>
      </c>
      <c r="AK110" s="136">
        <f t="shared" ca="1" si="111"/>
        <v>0</v>
      </c>
      <c r="AL110" s="136">
        <f t="shared" ca="1" si="111"/>
        <v>0</v>
      </c>
      <c r="AM110" s="136">
        <f t="shared" ca="1" si="111"/>
        <v>0</v>
      </c>
      <c r="AN110" s="136">
        <f t="shared" ca="1" si="111"/>
        <v>0</v>
      </c>
      <c r="AO110" s="136">
        <f t="shared" ca="1" si="111"/>
        <v>0</v>
      </c>
      <c r="AP110" s="136">
        <f t="shared" ca="1" si="111"/>
        <v>0</v>
      </c>
      <c r="AQ110" s="136">
        <f t="shared" ca="1" si="111"/>
        <v>0</v>
      </c>
      <c r="AR110" s="136">
        <f t="shared" ca="1" si="111"/>
        <v>0</v>
      </c>
      <c r="AS110" s="136">
        <f t="shared" ca="1" si="111"/>
        <v>0</v>
      </c>
      <c r="AT110" s="136">
        <f t="shared" ca="1" si="111"/>
        <v>232890.75059139673</v>
      </c>
      <c r="AU110" s="136">
        <f t="shared" ca="1" si="111"/>
        <v>232890.75059139673</v>
      </c>
      <c r="AV110" s="136">
        <f t="shared" ca="1" si="111"/>
        <v>232890.75059139673</v>
      </c>
      <c r="AW110" s="136">
        <f t="shared" ca="1" si="111"/>
        <v>232890.75059139673</v>
      </c>
      <c r="AX110" s="136">
        <f t="shared" ca="1" si="111"/>
        <v>232890.75059139673</v>
      </c>
      <c r="AY110" s="136">
        <f t="shared" ca="1" si="111"/>
        <v>232890.75059139673</v>
      </c>
      <c r="AZ110" s="136">
        <f t="shared" ca="1" si="111"/>
        <v>232890.75059139673</v>
      </c>
      <c r="BA110" s="136">
        <f t="shared" ca="1" si="111"/>
        <v>232890.75059139673</v>
      </c>
      <c r="BB110" s="136">
        <f t="shared" ca="1" si="111"/>
        <v>232890.75059139673</v>
      </c>
      <c r="BC110" s="136">
        <f t="shared" ca="1" si="111"/>
        <v>232890.75059139673</v>
      </c>
      <c r="BD110" s="136">
        <f t="shared" ca="1" si="111"/>
        <v>232890.75059139673</v>
      </c>
      <c r="BE110" s="136">
        <f t="shared" ca="1" si="111"/>
        <v>232890.75059139673</v>
      </c>
      <c r="BF110" s="136">
        <f t="shared" ca="1" si="111"/>
        <v>232890.75059139673</v>
      </c>
      <c r="BG110" s="136">
        <f t="shared" ca="1" si="111"/>
        <v>232890.75059139673</v>
      </c>
      <c r="BH110" s="136">
        <f t="shared" ca="1" si="111"/>
        <v>232890.75059139673</v>
      </c>
      <c r="BI110" s="136">
        <f t="shared" ca="1" si="111"/>
        <v>232890.75059139673</v>
      </c>
      <c r="BJ110" s="136">
        <f t="shared" ca="1" si="111"/>
        <v>232890.75059139673</v>
      </c>
      <c r="BK110" s="136">
        <f t="shared" ca="1" si="111"/>
        <v>232890.75059139673</v>
      </c>
      <c r="BL110" s="136">
        <f t="shared" ca="1" si="111"/>
        <v>232890.75059139673</v>
      </c>
      <c r="BM110" s="136">
        <f t="shared" ca="1" si="111"/>
        <v>232890.75059139673</v>
      </c>
      <c r="BN110" s="136">
        <f t="shared" ca="1" si="111"/>
        <v>232890.75059139673</v>
      </c>
      <c r="BO110" s="136">
        <f t="shared" ca="1" si="111"/>
        <v>232890.75059139673</v>
      </c>
      <c r="BP110" s="136">
        <f t="shared" ca="1" si="111"/>
        <v>232890.75059139673</v>
      </c>
      <c r="BQ110" s="136">
        <f t="shared" ca="1" si="111"/>
        <v>232890.75059139673</v>
      </c>
      <c r="BR110" s="136">
        <f t="shared" ca="1" si="111"/>
        <v>232890.75059139673</v>
      </c>
      <c r="BS110" s="136">
        <f t="shared" ca="1" si="111"/>
        <v>232890.75059139673</v>
      </c>
      <c r="BT110" s="136">
        <f t="shared" ca="1" si="111"/>
        <v>232890.75059139673</v>
      </c>
      <c r="BU110" s="136">
        <f t="shared" ref="BU110:CO110" ca="1" si="112">(PermanentLoanOBalance*PermanentLoanMortgageConstant/12)*PermanentLoanDebtServiceDummy</f>
        <v>232890.75059139673</v>
      </c>
      <c r="BV110" s="136">
        <f t="shared" ca="1" si="112"/>
        <v>232890.75059139673</v>
      </c>
      <c r="BW110" s="136">
        <f t="shared" ca="1" si="112"/>
        <v>232890.75059139673</v>
      </c>
      <c r="BX110" s="136">
        <f t="shared" ca="1" si="112"/>
        <v>232890.75059139673</v>
      </c>
      <c r="BY110" s="136">
        <f t="shared" ca="1" si="112"/>
        <v>232890.75059139673</v>
      </c>
      <c r="BZ110" s="136">
        <f t="shared" ca="1" si="112"/>
        <v>232890.75059139673</v>
      </c>
      <c r="CA110" s="136">
        <f t="shared" ca="1" si="112"/>
        <v>232890.75059139673</v>
      </c>
      <c r="CB110" s="136">
        <f t="shared" ca="1" si="112"/>
        <v>232890.75059139673</v>
      </c>
      <c r="CC110" s="136">
        <f t="shared" ca="1" si="112"/>
        <v>232890.75059139673</v>
      </c>
      <c r="CD110" s="136">
        <f t="shared" ca="1" si="112"/>
        <v>0</v>
      </c>
      <c r="CE110" s="136">
        <f t="shared" ca="1" si="112"/>
        <v>0</v>
      </c>
      <c r="CF110" s="136">
        <f t="shared" ca="1" si="112"/>
        <v>0</v>
      </c>
      <c r="CG110" s="136">
        <f t="shared" ca="1" si="112"/>
        <v>0</v>
      </c>
      <c r="CH110" s="136">
        <f t="shared" ca="1" si="112"/>
        <v>0</v>
      </c>
      <c r="CI110" s="136">
        <f t="shared" ca="1" si="112"/>
        <v>0</v>
      </c>
      <c r="CJ110" s="136">
        <f t="shared" ca="1" si="112"/>
        <v>0</v>
      </c>
      <c r="CK110" s="136">
        <f t="shared" ca="1" si="112"/>
        <v>0</v>
      </c>
      <c r="CL110" s="136">
        <f t="shared" ca="1" si="112"/>
        <v>0</v>
      </c>
      <c r="CM110" s="136">
        <f t="shared" ca="1" si="112"/>
        <v>0</v>
      </c>
      <c r="CN110" s="136">
        <f t="shared" ca="1" si="112"/>
        <v>0</v>
      </c>
      <c r="CO110" s="136">
        <f t="shared" ca="1" si="112"/>
        <v>0</v>
      </c>
      <c r="CP110" s="133" t="s">
        <v>15</v>
      </c>
    </row>
    <row r="111" spans="2:94" ht="15" customHeight="1" x14ac:dyDescent="0.2">
      <c r="D111" s="259"/>
      <c r="E111" s="269"/>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row>
    <row r="112" spans="2:94" ht="15" customHeight="1" x14ac:dyDescent="0.25">
      <c r="D112" s="259"/>
      <c r="E112" s="269"/>
      <c r="F112" s="132" t="s">
        <v>239</v>
      </c>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row>
    <row r="113" spans="1:94" ht="15" customHeight="1" x14ac:dyDescent="0.2">
      <c r="D113" s="259"/>
      <c r="E113" s="269"/>
      <c r="H113" s="24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row>
    <row r="114" spans="1:94" ht="15" customHeight="1" x14ac:dyDescent="0.2">
      <c r="B114" s="136">
        <f ca="1">SUM(I114:CO114)</f>
        <v>23568475.321811102</v>
      </c>
      <c r="D114" s="259"/>
      <c r="E114" s="269"/>
      <c r="F114" s="133" t="s">
        <v>193</v>
      </c>
      <c r="H114" s="243"/>
      <c r="I114" s="136">
        <f t="shared" ref="I114:BT114" ca="1" si="113">I55</f>
        <v>-3678850.7556428574</v>
      </c>
      <c r="J114" s="136">
        <f t="shared" ca="1" si="113"/>
        <v>-140145.64778571425</v>
      </c>
      <c r="K114" s="136">
        <f t="shared" ca="1" si="113"/>
        <v>-140145.64778571425</v>
      </c>
      <c r="L114" s="136">
        <f t="shared" ca="1" si="113"/>
        <v>-173725.96878571477</v>
      </c>
      <c r="M114" s="136">
        <f t="shared" ca="1" si="113"/>
        <v>-317269.7228571428</v>
      </c>
      <c r="N114" s="136">
        <f t="shared" ca="1" si="113"/>
        <v>-268256.14285714284</v>
      </c>
      <c r="O114" s="136">
        <f t="shared" ca="1" si="113"/>
        <v>-455644.58496240602</v>
      </c>
      <c r="P114" s="136">
        <f t="shared" ca="1" si="113"/>
        <v>-697211.51496240601</v>
      </c>
      <c r="Q114" s="136">
        <f t="shared" ca="1" si="113"/>
        <v>-697211.51496240601</v>
      </c>
      <c r="R114" s="136">
        <f t="shared" ca="1" si="113"/>
        <v>-697211.51496240601</v>
      </c>
      <c r="S114" s="136">
        <f t="shared" ca="1" si="113"/>
        <v>-697211.51496240601</v>
      </c>
      <c r="T114" s="136">
        <f t="shared" ca="1" si="113"/>
        <v>-697211.51496240601</v>
      </c>
      <c r="U114" s="136">
        <f t="shared" ca="1" si="113"/>
        <v>-697211.51496240601</v>
      </c>
      <c r="V114" s="136">
        <f t="shared" ca="1" si="113"/>
        <v>-1075316.2749624059</v>
      </c>
      <c r="W114" s="136">
        <f t="shared" ca="1" si="113"/>
        <v>-1192015.2749624061</v>
      </c>
      <c r="X114" s="136">
        <f t="shared" ca="1" si="113"/>
        <v>-520513.88962405868</v>
      </c>
      <c r="Y114" s="136">
        <f t="shared" ca="1" si="113"/>
        <v>0</v>
      </c>
      <c r="Z114" s="136">
        <f t="shared" ca="1" si="113"/>
        <v>0</v>
      </c>
      <c r="AA114" s="136">
        <f t="shared" ca="1" si="113"/>
        <v>0</v>
      </c>
      <c r="AB114" s="136">
        <f t="shared" ca="1" si="113"/>
        <v>0</v>
      </c>
      <c r="AC114" s="136">
        <f t="shared" ca="1" si="113"/>
        <v>0</v>
      </c>
      <c r="AD114" s="136">
        <f t="shared" ca="1" si="113"/>
        <v>0</v>
      </c>
      <c r="AE114" s="136">
        <f t="shared" ca="1" si="113"/>
        <v>0</v>
      </c>
      <c r="AF114" s="136">
        <f t="shared" ca="1" si="113"/>
        <v>0</v>
      </c>
      <c r="AG114" s="136">
        <f t="shared" ca="1" si="113"/>
        <v>0</v>
      </c>
      <c r="AH114" s="136">
        <f t="shared" ca="1" si="113"/>
        <v>0</v>
      </c>
      <c r="AI114" s="136">
        <f t="shared" ca="1" si="113"/>
        <v>0</v>
      </c>
      <c r="AJ114" s="136">
        <f t="shared" ca="1" si="113"/>
        <v>0</v>
      </c>
      <c r="AK114" s="136">
        <f t="shared" ca="1" si="113"/>
        <v>0</v>
      </c>
      <c r="AL114" s="136">
        <f t="shared" ca="1" si="113"/>
        <v>0</v>
      </c>
      <c r="AM114" s="136">
        <f t="shared" ca="1" si="113"/>
        <v>0</v>
      </c>
      <c r="AN114" s="136">
        <f t="shared" ca="1" si="113"/>
        <v>0</v>
      </c>
      <c r="AO114" s="136">
        <f t="shared" ca="1" si="113"/>
        <v>0</v>
      </c>
      <c r="AP114" s="136">
        <f t="shared" ca="1" si="113"/>
        <v>0</v>
      </c>
      <c r="AQ114" s="136">
        <f t="shared" ca="1" si="113"/>
        <v>0</v>
      </c>
      <c r="AR114" s="136">
        <f t="shared" ca="1" si="113"/>
        <v>0</v>
      </c>
      <c r="AS114" s="136">
        <f t="shared" ca="1" si="113"/>
        <v>19327606.700798273</v>
      </c>
      <c r="AT114" s="136">
        <f t="shared" ca="1" si="113"/>
        <v>110073.79706883527</v>
      </c>
      <c r="AU114" s="136">
        <f t="shared" ca="1" si="113"/>
        <v>110073.79706883527</v>
      </c>
      <c r="AV114" s="136">
        <f t="shared" ca="1" si="113"/>
        <v>110073.79706883527</v>
      </c>
      <c r="AW114" s="136">
        <f t="shared" ca="1" si="113"/>
        <v>110073.79706883527</v>
      </c>
      <c r="AX114" s="136">
        <f t="shared" ca="1" si="113"/>
        <v>110073.79706883527</v>
      </c>
      <c r="AY114" s="136">
        <f t="shared" ca="1" si="113"/>
        <v>110073.79706883527</v>
      </c>
      <c r="AZ114" s="136">
        <f t="shared" ca="1" si="113"/>
        <v>110073.79706883527</v>
      </c>
      <c r="BA114" s="136">
        <f t="shared" ca="1" si="113"/>
        <v>110073.79706883527</v>
      </c>
      <c r="BB114" s="136">
        <f t="shared" ca="1" si="113"/>
        <v>110073.79706883527</v>
      </c>
      <c r="BC114" s="136">
        <f t="shared" ca="1" si="113"/>
        <v>110073.79706883527</v>
      </c>
      <c r="BD114" s="136">
        <f t="shared" ca="1" si="113"/>
        <v>110073.79706883527</v>
      </c>
      <c r="BE114" s="136">
        <f t="shared" ca="1" si="113"/>
        <v>110073.79706883527</v>
      </c>
      <c r="BF114" s="136">
        <f t="shared" ca="1" si="113"/>
        <v>92276.448121092428</v>
      </c>
      <c r="BG114" s="136">
        <f t="shared" ca="1" si="113"/>
        <v>92276.448121092428</v>
      </c>
      <c r="BH114" s="136">
        <f t="shared" ca="1" si="113"/>
        <v>92276.448121092428</v>
      </c>
      <c r="BI114" s="136">
        <f t="shared" ca="1" si="113"/>
        <v>92276.448121092428</v>
      </c>
      <c r="BJ114" s="136">
        <f t="shared" ca="1" si="113"/>
        <v>92276.448121092428</v>
      </c>
      <c r="BK114" s="136">
        <f t="shared" ca="1" si="113"/>
        <v>92276.448121092428</v>
      </c>
      <c r="BL114" s="136">
        <f t="shared" ca="1" si="113"/>
        <v>92276.448121092428</v>
      </c>
      <c r="BM114" s="136">
        <f t="shared" ca="1" si="113"/>
        <v>92276.448121092428</v>
      </c>
      <c r="BN114" s="136">
        <f t="shared" ca="1" si="113"/>
        <v>92276.448121092428</v>
      </c>
      <c r="BO114" s="136">
        <f t="shared" ca="1" si="113"/>
        <v>92276.448121092428</v>
      </c>
      <c r="BP114" s="136">
        <f t="shared" ca="1" si="113"/>
        <v>92276.448121092428</v>
      </c>
      <c r="BQ114" s="136">
        <f t="shared" ca="1" si="113"/>
        <v>92276.448121092428</v>
      </c>
      <c r="BR114" s="136">
        <f t="shared" ca="1" si="113"/>
        <v>106921.35986988785</v>
      </c>
      <c r="BS114" s="136">
        <f t="shared" ca="1" si="113"/>
        <v>106921.35986988785</v>
      </c>
      <c r="BT114" s="136">
        <f t="shared" ca="1" si="113"/>
        <v>106921.35986988785</v>
      </c>
      <c r="BU114" s="136">
        <f t="shared" ref="BU114:CO114" ca="1" si="114">BU55</f>
        <v>106921.35986988785</v>
      </c>
      <c r="BV114" s="136">
        <f t="shared" ca="1" si="114"/>
        <v>106921.35986988785</v>
      </c>
      <c r="BW114" s="136">
        <f t="shared" ca="1" si="114"/>
        <v>106921.35986988785</v>
      </c>
      <c r="BX114" s="136">
        <f t="shared" ca="1" si="114"/>
        <v>106921.35986988785</v>
      </c>
      <c r="BY114" s="136">
        <f t="shared" ca="1" si="114"/>
        <v>106921.35986988785</v>
      </c>
      <c r="BZ114" s="136">
        <f t="shared" ca="1" si="114"/>
        <v>106921.35986988785</v>
      </c>
      <c r="CA114" s="136">
        <f t="shared" ca="1" si="114"/>
        <v>106921.35986988785</v>
      </c>
      <c r="CB114" s="136">
        <f t="shared" ca="1" si="114"/>
        <v>106921.35986988785</v>
      </c>
      <c r="CC114" s="136">
        <f t="shared" ca="1" si="114"/>
        <v>12781683.720164917</v>
      </c>
      <c r="CD114" s="136">
        <f t="shared" ca="1" si="114"/>
        <v>0</v>
      </c>
      <c r="CE114" s="136">
        <f t="shared" ca="1" si="114"/>
        <v>0</v>
      </c>
      <c r="CF114" s="136">
        <f t="shared" ca="1" si="114"/>
        <v>0</v>
      </c>
      <c r="CG114" s="136">
        <f t="shared" ca="1" si="114"/>
        <v>0</v>
      </c>
      <c r="CH114" s="136">
        <f t="shared" ca="1" si="114"/>
        <v>0</v>
      </c>
      <c r="CI114" s="136">
        <f t="shared" ca="1" si="114"/>
        <v>0</v>
      </c>
      <c r="CJ114" s="136">
        <f t="shared" ca="1" si="114"/>
        <v>0</v>
      </c>
      <c r="CK114" s="136">
        <f t="shared" ca="1" si="114"/>
        <v>0</v>
      </c>
      <c r="CL114" s="136">
        <f t="shared" ca="1" si="114"/>
        <v>0</v>
      </c>
      <c r="CM114" s="136">
        <f t="shared" ca="1" si="114"/>
        <v>0</v>
      </c>
      <c r="CN114" s="136">
        <f t="shared" ca="1" si="114"/>
        <v>0</v>
      </c>
      <c r="CO114" s="136">
        <f t="shared" ca="1" si="114"/>
        <v>0</v>
      </c>
      <c r="CP114" s="133" t="s">
        <v>15</v>
      </c>
    </row>
    <row r="115" spans="1:94" ht="15" customHeight="1" x14ac:dyDescent="0.2">
      <c r="B115" s="136">
        <f>SUM(I115:CO115)</f>
        <v>-50000</v>
      </c>
      <c r="D115" s="259" t="s">
        <v>199</v>
      </c>
      <c r="E115" s="269"/>
      <c r="F115" s="133" t="s">
        <v>240</v>
      </c>
      <c r="H115" s="286">
        <v>0.01</v>
      </c>
      <c r="I115" s="395">
        <f t="shared" ref="I115:AN115" si="115">-(Today=ClosingDate)*LandCost*AcquisitionFee</f>
        <v>-50000</v>
      </c>
      <c r="J115" s="395">
        <f t="shared" si="115"/>
        <v>0</v>
      </c>
      <c r="K115" s="395">
        <f t="shared" si="115"/>
        <v>0</v>
      </c>
      <c r="L115" s="395">
        <f t="shared" si="115"/>
        <v>0</v>
      </c>
      <c r="M115" s="395">
        <f t="shared" si="115"/>
        <v>0</v>
      </c>
      <c r="N115" s="395">
        <f t="shared" si="115"/>
        <v>0</v>
      </c>
      <c r="O115" s="395">
        <f t="shared" si="115"/>
        <v>0</v>
      </c>
      <c r="P115" s="395">
        <f t="shared" si="115"/>
        <v>0</v>
      </c>
      <c r="Q115" s="395">
        <f t="shared" si="115"/>
        <v>0</v>
      </c>
      <c r="R115" s="395">
        <f t="shared" si="115"/>
        <v>0</v>
      </c>
      <c r="S115" s="395">
        <f t="shared" si="115"/>
        <v>0</v>
      </c>
      <c r="T115" s="395">
        <f t="shared" si="115"/>
        <v>0</v>
      </c>
      <c r="U115" s="395">
        <f t="shared" si="115"/>
        <v>0</v>
      </c>
      <c r="V115" s="395">
        <f t="shared" si="115"/>
        <v>0</v>
      </c>
      <c r="W115" s="395">
        <f t="shared" si="115"/>
        <v>0</v>
      </c>
      <c r="X115" s="395">
        <f t="shared" si="115"/>
        <v>0</v>
      </c>
      <c r="Y115" s="395">
        <f t="shared" si="115"/>
        <v>0</v>
      </c>
      <c r="Z115" s="395">
        <f t="shared" si="115"/>
        <v>0</v>
      </c>
      <c r="AA115" s="395">
        <f t="shared" si="115"/>
        <v>0</v>
      </c>
      <c r="AB115" s="395">
        <f t="shared" si="115"/>
        <v>0</v>
      </c>
      <c r="AC115" s="395">
        <f t="shared" si="115"/>
        <v>0</v>
      </c>
      <c r="AD115" s="395">
        <f t="shared" si="115"/>
        <v>0</v>
      </c>
      <c r="AE115" s="395">
        <f t="shared" si="115"/>
        <v>0</v>
      </c>
      <c r="AF115" s="395">
        <f t="shared" si="115"/>
        <v>0</v>
      </c>
      <c r="AG115" s="395">
        <f t="shared" si="115"/>
        <v>0</v>
      </c>
      <c r="AH115" s="395">
        <f t="shared" si="115"/>
        <v>0</v>
      </c>
      <c r="AI115" s="395">
        <f t="shared" si="115"/>
        <v>0</v>
      </c>
      <c r="AJ115" s="395">
        <f t="shared" si="115"/>
        <v>0</v>
      </c>
      <c r="AK115" s="395">
        <f t="shared" si="115"/>
        <v>0</v>
      </c>
      <c r="AL115" s="395">
        <f t="shared" si="115"/>
        <v>0</v>
      </c>
      <c r="AM115" s="395">
        <f t="shared" si="115"/>
        <v>0</v>
      </c>
      <c r="AN115" s="395">
        <f t="shared" si="115"/>
        <v>0</v>
      </c>
      <c r="AO115" s="395">
        <f t="shared" ref="AO115:BT115" si="116">-(Today=ClosingDate)*LandCost*AcquisitionFee</f>
        <v>0</v>
      </c>
      <c r="AP115" s="395">
        <f t="shared" si="116"/>
        <v>0</v>
      </c>
      <c r="AQ115" s="395">
        <f t="shared" si="116"/>
        <v>0</v>
      </c>
      <c r="AR115" s="395">
        <f t="shared" si="116"/>
        <v>0</v>
      </c>
      <c r="AS115" s="395">
        <f t="shared" si="116"/>
        <v>0</v>
      </c>
      <c r="AT115" s="395">
        <f t="shared" si="116"/>
        <v>0</v>
      </c>
      <c r="AU115" s="395">
        <f t="shared" si="116"/>
        <v>0</v>
      </c>
      <c r="AV115" s="395">
        <f t="shared" si="116"/>
        <v>0</v>
      </c>
      <c r="AW115" s="395">
        <f t="shared" si="116"/>
        <v>0</v>
      </c>
      <c r="AX115" s="395">
        <f t="shared" si="116"/>
        <v>0</v>
      </c>
      <c r="AY115" s="395">
        <f t="shared" si="116"/>
        <v>0</v>
      </c>
      <c r="AZ115" s="395">
        <f t="shared" si="116"/>
        <v>0</v>
      </c>
      <c r="BA115" s="395">
        <f t="shared" si="116"/>
        <v>0</v>
      </c>
      <c r="BB115" s="395">
        <f t="shared" si="116"/>
        <v>0</v>
      </c>
      <c r="BC115" s="395">
        <f t="shared" si="116"/>
        <v>0</v>
      </c>
      <c r="BD115" s="395">
        <f t="shared" si="116"/>
        <v>0</v>
      </c>
      <c r="BE115" s="395">
        <f t="shared" si="116"/>
        <v>0</v>
      </c>
      <c r="BF115" s="395">
        <f t="shared" si="116"/>
        <v>0</v>
      </c>
      <c r="BG115" s="395">
        <f t="shared" si="116"/>
        <v>0</v>
      </c>
      <c r="BH115" s="395">
        <f t="shared" si="116"/>
        <v>0</v>
      </c>
      <c r="BI115" s="395">
        <f t="shared" si="116"/>
        <v>0</v>
      </c>
      <c r="BJ115" s="395">
        <f t="shared" si="116"/>
        <v>0</v>
      </c>
      <c r="BK115" s="395">
        <f t="shared" si="116"/>
        <v>0</v>
      </c>
      <c r="BL115" s="395">
        <f t="shared" si="116"/>
        <v>0</v>
      </c>
      <c r="BM115" s="395">
        <f t="shared" si="116"/>
        <v>0</v>
      </c>
      <c r="BN115" s="395">
        <f t="shared" si="116"/>
        <v>0</v>
      </c>
      <c r="BO115" s="395">
        <f t="shared" si="116"/>
        <v>0</v>
      </c>
      <c r="BP115" s="395">
        <f t="shared" si="116"/>
        <v>0</v>
      </c>
      <c r="BQ115" s="395">
        <f t="shared" si="116"/>
        <v>0</v>
      </c>
      <c r="BR115" s="395">
        <f t="shared" si="116"/>
        <v>0</v>
      </c>
      <c r="BS115" s="395">
        <f t="shared" si="116"/>
        <v>0</v>
      </c>
      <c r="BT115" s="395">
        <f t="shared" si="116"/>
        <v>0</v>
      </c>
      <c r="BU115" s="395">
        <f t="shared" ref="BU115:CO115" si="117">-(Today=ClosingDate)*LandCost*AcquisitionFee</f>
        <v>0</v>
      </c>
      <c r="BV115" s="395">
        <f t="shared" si="117"/>
        <v>0</v>
      </c>
      <c r="BW115" s="395">
        <f t="shared" si="117"/>
        <v>0</v>
      </c>
      <c r="BX115" s="395">
        <f t="shared" si="117"/>
        <v>0</v>
      </c>
      <c r="BY115" s="395">
        <f t="shared" si="117"/>
        <v>0</v>
      </c>
      <c r="BZ115" s="395">
        <f t="shared" si="117"/>
        <v>0</v>
      </c>
      <c r="CA115" s="395">
        <f t="shared" si="117"/>
        <v>0</v>
      </c>
      <c r="CB115" s="395">
        <f t="shared" si="117"/>
        <v>0</v>
      </c>
      <c r="CC115" s="395">
        <f t="shared" si="117"/>
        <v>0</v>
      </c>
      <c r="CD115" s="395">
        <f t="shared" si="117"/>
        <v>0</v>
      </c>
      <c r="CE115" s="395">
        <f t="shared" si="117"/>
        <v>0</v>
      </c>
      <c r="CF115" s="395">
        <f t="shared" si="117"/>
        <v>0</v>
      </c>
      <c r="CG115" s="395">
        <f t="shared" si="117"/>
        <v>0</v>
      </c>
      <c r="CH115" s="395">
        <f t="shared" si="117"/>
        <v>0</v>
      </c>
      <c r="CI115" s="395">
        <f t="shared" si="117"/>
        <v>0</v>
      </c>
      <c r="CJ115" s="395">
        <f t="shared" si="117"/>
        <v>0</v>
      </c>
      <c r="CK115" s="395">
        <f t="shared" si="117"/>
        <v>0</v>
      </c>
      <c r="CL115" s="395">
        <f t="shared" si="117"/>
        <v>0</v>
      </c>
      <c r="CM115" s="395">
        <f t="shared" si="117"/>
        <v>0</v>
      </c>
      <c r="CN115" s="395">
        <f t="shared" si="117"/>
        <v>0</v>
      </c>
      <c r="CO115" s="395">
        <f t="shared" si="117"/>
        <v>0</v>
      </c>
      <c r="CP115" s="133" t="s">
        <v>15</v>
      </c>
    </row>
    <row r="116" spans="1:94" ht="15" customHeight="1" x14ac:dyDescent="0.2">
      <c r="B116" s="136">
        <f ca="1">SUM(I116:CO116)</f>
        <v>-235149.05060906272</v>
      </c>
      <c r="C116" s="133" t="s">
        <v>366</v>
      </c>
      <c r="D116" s="259" t="s">
        <v>199</v>
      </c>
      <c r="E116" s="269"/>
      <c r="F116" s="133" t="s">
        <v>241</v>
      </c>
      <c r="H116" s="286">
        <v>8.0000000000000002E-3</v>
      </c>
      <c r="I116" s="395">
        <f t="shared" ref="I116:AN116" ca="1" si="118">-I56*AssetManagementFee/12*(Today&lt;=ExitDate)</f>
        <v>-2452.5671704285719</v>
      </c>
      <c r="J116" s="395">
        <f t="shared" ca="1" si="118"/>
        <v>-2545.9976022857145</v>
      </c>
      <c r="K116" s="395">
        <f t="shared" ca="1" si="118"/>
        <v>-2639.4280341428575</v>
      </c>
      <c r="L116" s="395">
        <f t="shared" ca="1" si="118"/>
        <v>-2755.245346666667</v>
      </c>
      <c r="M116" s="395">
        <f t="shared" ca="1" si="118"/>
        <v>-2966.7584952380953</v>
      </c>
      <c r="N116" s="395">
        <f t="shared" ca="1" si="118"/>
        <v>-3145.5959238095238</v>
      </c>
      <c r="O116" s="395">
        <f t="shared" ca="1" si="118"/>
        <v>-3449.3589804511284</v>
      </c>
      <c r="P116" s="395">
        <f t="shared" ca="1" si="118"/>
        <v>-3914.1666570927323</v>
      </c>
      <c r="Q116" s="395">
        <f t="shared" ca="1" si="118"/>
        <v>-4378.9743337343361</v>
      </c>
      <c r="R116" s="395">
        <f t="shared" ca="1" si="118"/>
        <v>-4843.7820103759395</v>
      </c>
      <c r="S116" s="395">
        <f t="shared" ca="1" si="118"/>
        <v>-5308.5896870175438</v>
      </c>
      <c r="T116" s="395">
        <f t="shared" ca="1" si="118"/>
        <v>-5773.3973636591481</v>
      </c>
      <c r="U116" s="395">
        <f t="shared" ca="1" si="118"/>
        <v>-6238.2050403007534</v>
      </c>
      <c r="V116" s="395">
        <f t="shared" ca="1" si="118"/>
        <v>-6955.0825569423578</v>
      </c>
      <c r="W116" s="395">
        <f t="shared" ca="1" si="118"/>
        <v>-7749.7594069172956</v>
      </c>
      <c r="X116" s="395">
        <f t="shared" ca="1" si="118"/>
        <v>-8096.7686666666677</v>
      </c>
      <c r="Y116" s="395">
        <f t="shared" ca="1" si="118"/>
        <v>-8096.7686666666677</v>
      </c>
      <c r="Z116" s="395">
        <f t="shared" ca="1" si="118"/>
        <v>-8096.7686666666677</v>
      </c>
      <c r="AA116" s="395">
        <f t="shared" ca="1" si="118"/>
        <v>-8096.7686666666677</v>
      </c>
      <c r="AB116" s="395">
        <f t="shared" ca="1" si="118"/>
        <v>-8096.7686666666677</v>
      </c>
      <c r="AC116" s="395">
        <f t="shared" ca="1" si="118"/>
        <v>-8096.7686666666677</v>
      </c>
      <c r="AD116" s="395">
        <f t="shared" ca="1" si="118"/>
        <v>-8096.7686666666677</v>
      </c>
      <c r="AE116" s="395">
        <f t="shared" ca="1" si="118"/>
        <v>-8096.7686666666677</v>
      </c>
      <c r="AF116" s="395">
        <f t="shared" ca="1" si="118"/>
        <v>-8096.7686666666677</v>
      </c>
      <c r="AG116" s="395">
        <f t="shared" ca="1" si="118"/>
        <v>-8096.7686666666677</v>
      </c>
      <c r="AH116" s="395">
        <f t="shared" ca="1" si="118"/>
        <v>-8096.7686666666677</v>
      </c>
      <c r="AI116" s="395">
        <f t="shared" ca="1" si="118"/>
        <v>-8096.7686666666677</v>
      </c>
      <c r="AJ116" s="395">
        <f t="shared" ca="1" si="118"/>
        <v>-8096.7686666666677</v>
      </c>
      <c r="AK116" s="395">
        <f t="shared" ca="1" si="118"/>
        <v>-8096.7686666666677</v>
      </c>
      <c r="AL116" s="395">
        <f t="shared" ca="1" si="118"/>
        <v>-8096.7686666666677</v>
      </c>
      <c r="AM116" s="395">
        <f t="shared" ca="1" si="118"/>
        <v>-8096.7686666666677</v>
      </c>
      <c r="AN116" s="395">
        <f t="shared" ca="1" si="118"/>
        <v>-8096.7686666666677</v>
      </c>
      <c r="AO116" s="395">
        <f t="shared" ref="AO116:BT116" ca="1" si="119">-AO56*AssetManagementFee/12*(Today&lt;=ExitDate)</f>
        <v>-8096.7686666666677</v>
      </c>
      <c r="AP116" s="395">
        <f t="shared" ca="1" si="119"/>
        <v>-8096.7686666666677</v>
      </c>
      <c r="AQ116" s="395">
        <f t="shared" ca="1" si="119"/>
        <v>-8096.7686666666677</v>
      </c>
      <c r="AR116" s="395">
        <f t="shared" ca="1" si="119"/>
        <v>-8096.7686666666677</v>
      </c>
      <c r="AS116" s="395">
        <f t="shared" ca="1" si="119"/>
        <v>0</v>
      </c>
      <c r="AT116" s="395">
        <f t="shared" ca="1" si="119"/>
        <v>0</v>
      </c>
      <c r="AU116" s="395">
        <f t="shared" ca="1" si="119"/>
        <v>0</v>
      </c>
      <c r="AV116" s="395">
        <f t="shared" ca="1" si="119"/>
        <v>0</v>
      </c>
      <c r="AW116" s="395">
        <f t="shared" ca="1" si="119"/>
        <v>0</v>
      </c>
      <c r="AX116" s="395">
        <f t="shared" ca="1" si="119"/>
        <v>0</v>
      </c>
      <c r="AY116" s="395">
        <f t="shared" ca="1" si="119"/>
        <v>0</v>
      </c>
      <c r="AZ116" s="395">
        <f t="shared" ca="1" si="119"/>
        <v>0</v>
      </c>
      <c r="BA116" s="395">
        <f t="shared" ca="1" si="119"/>
        <v>0</v>
      </c>
      <c r="BB116" s="395">
        <f t="shared" ca="1" si="119"/>
        <v>0</v>
      </c>
      <c r="BC116" s="395">
        <f t="shared" ca="1" si="119"/>
        <v>0</v>
      </c>
      <c r="BD116" s="395">
        <f t="shared" ca="1" si="119"/>
        <v>0</v>
      </c>
      <c r="BE116" s="395">
        <f t="shared" ca="1" si="119"/>
        <v>0</v>
      </c>
      <c r="BF116" s="395">
        <f t="shared" ca="1" si="119"/>
        <v>0</v>
      </c>
      <c r="BG116" s="395">
        <f t="shared" ca="1" si="119"/>
        <v>0</v>
      </c>
      <c r="BH116" s="395">
        <f t="shared" ca="1" si="119"/>
        <v>0</v>
      </c>
      <c r="BI116" s="395">
        <f t="shared" ca="1" si="119"/>
        <v>0</v>
      </c>
      <c r="BJ116" s="395">
        <f t="shared" ca="1" si="119"/>
        <v>0</v>
      </c>
      <c r="BK116" s="395">
        <f t="shared" ca="1" si="119"/>
        <v>0</v>
      </c>
      <c r="BL116" s="395">
        <f t="shared" ca="1" si="119"/>
        <v>0</v>
      </c>
      <c r="BM116" s="395">
        <f t="shared" ca="1" si="119"/>
        <v>0</v>
      </c>
      <c r="BN116" s="395">
        <f t="shared" ca="1" si="119"/>
        <v>0</v>
      </c>
      <c r="BO116" s="395">
        <f t="shared" ca="1" si="119"/>
        <v>0</v>
      </c>
      <c r="BP116" s="395">
        <f t="shared" ca="1" si="119"/>
        <v>0</v>
      </c>
      <c r="BQ116" s="395">
        <f t="shared" ca="1" si="119"/>
        <v>0</v>
      </c>
      <c r="BR116" s="395">
        <f t="shared" ca="1" si="119"/>
        <v>0</v>
      </c>
      <c r="BS116" s="395">
        <f t="shared" ca="1" si="119"/>
        <v>0</v>
      </c>
      <c r="BT116" s="395">
        <f t="shared" ca="1" si="119"/>
        <v>0</v>
      </c>
      <c r="BU116" s="395">
        <f t="shared" ref="BU116:CO116" ca="1" si="120">-BU56*AssetManagementFee/12*(Today&lt;=ExitDate)</f>
        <v>0</v>
      </c>
      <c r="BV116" s="395">
        <f t="shared" ca="1" si="120"/>
        <v>0</v>
      </c>
      <c r="BW116" s="395">
        <f t="shared" ca="1" si="120"/>
        <v>0</v>
      </c>
      <c r="BX116" s="395">
        <f t="shared" ca="1" si="120"/>
        <v>0</v>
      </c>
      <c r="BY116" s="395">
        <f t="shared" ca="1" si="120"/>
        <v>0</v>
      </c>
      <c r="BZ116" s="395">
        <f t="shared" ca="1" si="120"/>
        <v>0</v>
      </c>
      <c r="CA116" s="395">
        <f t="shared" ca="1" si="120"/>
        <v>0</v>
      </c>
      <c r="CB116" s="395">
        <f t="shared" ca="1" si="120"/>
        <v>0</v>
      </c>
      <c r="CC116" s="395">
        <f t="shared" ca="1" si="120"/>
        <v>0</v>
      </c>
      <c r="CD116" s="395">
        <f t="shared" ca="1" si="120"/>
        <v>0</v>
      </c>
      <c r="CE116" s="395">
        <f t="shared" ca="1" si="120"/>
        <v>0</v>
      </c>
      <c r="CF116" s="395">
        <f t="shared" ca="1" si="120"/>
        <v>0</v>
      </c>
      <c r="CG116" s="395">
        <f t="shared" ca="1" si="120"/>
        <v>0</v>
      </c>
      <c r="CH116" s="395">
        <f t="shared" ca="1" si="120"/>
        <v>0</v>
      </c>
      <c r="CI116" s="395">
        <f t="shared" ca="1" si="120"/>
        <v>0</v>
      </c>
      <c r="CJ116" s="395">
        <f t="shared" ca="1" si="120"/>
        <v>0</v>
      </c>
      <c r="CK116" s="395">
        <f t="shared" ca="1" si="120"/>
        <v>0</v>
      </c>
      <c r="CL116" s="395">
        <f t="shared" ca="1" si="120"/>
        <v>0</v>
      </c>
      <c r="CM116" s="395">
        <f t="shared" ca="1" si="120"/>
        <v>0</v>
      </c>
      <c r="CN116" s="395">
        <f t="shared" ca="1" si="120"/>
        <v>0</v>
      </c>
      <c r="CO116" s="395">
        <f t="shared" ca="1" si="120"/>
        <v>0</v>
      </c>
      <c r="CP116" s="133" t="s">
        <v>15</v>
      </c>
    </row>
    <row r="117" spans="1:94" ht="15" customHeight="1" x14ac:dyDescent="0.2">
      <c r="B117" s="136">
        <f ca="1">SUM(I117:CO117)</f>
        <v>-62209.358048518152</v>
      </c>
      <c r="D117" s="259" t="s">
        <v>199</v>
      </c>
      <c r="E117" s="269"/>
      <c r="F117" s="133" t="s">
        <v>242</v>
      </c>
      <c r="H117" s="286">
        <v>5.0000000000000001E-3</v>
      </c>
      <c r="I117" s="395">
        <f t="shared" ref="I117:AN117" ca="1" si="121">-SUM(I47:I53)*DispositionFee*(Today=ExitDate)</f>
        <v>0</v>
      </c>
      <c r="J117" s="395">
        <f t="shared" ca="1" si="121"/>
        <v>0</v>
      </c>
      <c r="K117" s="395">
        <f t="shared" ca="1" si="121"/>
        <v>0</v>
      </c>
      <c r="L117" s="395">
        <f t="shared" ca="1" si="121"/>
        <v>0</v>
      </c>
      <c r="M117" s="395">
        <f t="shared" ca="1" si="121"/>
        <v>0</v>
      </c>
      <c r="N117" s="395">
        <f t="shared" ca="1" si="121"/>
        <v>0</v>
      </c>
      <c r="O117" s="395">
        <f t="shared" ca="1" si="121"/>
        <v>0</v>
      </c>
      <c r="P117" s="395">
        <f t="shared" ca="1" si="121"/>
        <v>0</v>
      </c>
      <c r="Q117" s="395">
        <f t="shared" ca="1" si="121"/>
        <v>0</v>
      </c>
      <c r="R117" s="395">
        <f t="shared" ca="1" si="121"/>
        <v>0</v>
      </c>
      <c r="S117" s="395">
        <f t="shared" ca="1" si="121"/>
        <v>0</v>
      </c>
      <c r="T117" s="395">
        <f t="shared" ca="1" si="121"/>
        <v>0</v>
      </c>
      <c r="U117" s="395">
        <f t="shared" ca="1" si="121"/>
        <v>0</v>
      </c>
      <c r="V117" s="395">
        <f t="shared" ca="1" si="121"/>
        <v>0</v>
      </c>
      <c r="W117" s="395">
        <f t="shared" ca="1" si="121"/>
        <v>0</v>
      </c>
      <c r="X117" s="395">
        <f t="shared" ca="1" si="121"/>
        <v>0</v>
      </c>
      <c r="Y117" s="395">
        <f t="shared" ca="1" si="121"/>
        <v>0</v>
      </c>
      <c r="Z117" s="395">
        <f t="shared" ca="1" si="121"/>
        <v>0</v>
      </c>
      <c r="AA117" s="395">
        <f t="shared" ca="1" si="121"/>
        <v>0</v>
      </c>
      <c r="AB117" s="395">
        <f t="shared" ca="1" si="121"/>
        <v>0</v>
      </c>
      <c r="AC117" s="395">
        <f t="shared" ca="1" si="121"/>
        <v>0</v>
      </c>
      <c r="AD117" s="395">
        <f t="shared" ca="1" si="121"/>
        <v>0</v>
      </c>
      <c r="AE117" s="395">
        <f t="shared" ca="1" si="121"/>
        <v>0</v>
      </c>
      <c r="AF117" s="395">
        <f t="shared" ca="1" si="121"/>
        <v>0</v>
      </c>
      <c r="AG117" s="395">
        <f t="shared" ca="1" si="121"/>
        <v>0</v>
      </c>
      <c r="AH117" s="395">
        <f t="shared" ca="1" si="121"/>
        <v>0</v>
      </c>
      <c r="AI117" s="395">
        <f t="shared" ca="1" si="121"/>
        <v>0</v>
      </c>
      <c r="AJ117" s="395">
        <f t="shared" ca="1" si="121"/>
        <v>0</v>
      </c>
      <c r="AK117" s="395">
        <f t="shared" ca="1" si="121"/>
        <v>0</v>
      </c>
      <c r="AL117" s="395">
        <f t="shared" ca="1" si="121"/>
        <v>0</v>
      </c>
      <c r="AM117" s="395">
        <f t="shared" ca="1" si="121"/>
        <v>0</v>
      </c>
      <c r="AN117" s="395">
        <f t="shared" ca="1" si="121"/>
        <v>0</v>
      </c>
      <c r="AO117" s="395">
        <f t="shared" ref="AO117:BT117" ca="1" si="122">-SUM(AO47:AO53)*DispositionFee*(Today=ExitDate)</f>
        <v>0</v>
      </c>
      <c r="AP117" s="395">
        <f t="shared" ca="1" si="122"/>
        <v>0</v>
      </c>
      <c r="AQ117" s="395">
        <f t="shared" ca="1" si="122"/>
        <v>0</v>
      </c>
      <c r="AR117" s="395">
        <f t="shared" ca="1" si="122"/>
        <v>0</v>
      </c>
      <c r="AS117" s="395">
        <f t="shared" ca="1" si="122"/>
        <v>0</v>
      </c>
      <c r="AT117" s="395">
        <f t="shared" ca="1" si="122"/>
        <v>0</v>
      </c>
      <c r="AU117" s="395">
        <f t="shared" ca="1" si="122"/>
        <v>0</v>
      </c>
      <c r="AV117" s="395">
        <f t="shared" ca="1" si="122"/>
        <v>0</v>
      </c>
      <c r="AW117" s="395">
        <f t="shared" ca="1" si="122"/>
        <v>0</v>
      </c>
      <c r="AX117" s="395">
        <f t="shared" ca="1" si="122"/>
        <v>0</v>
      </c>
      <c r="AY117" s="395">
        <f t="shared" ca="1" si="122"/>
        <v>0</v>
      </c>
      <c r="AZ117" s="395">
        <f t="shared" ca="1" si="122"/>
        <v>0</v>
      </c>
      <c r="BA117" s="395">
        <f t="shared" ca="1" si="122"/>
        <v>0</v>
      </c>
      <c r="BB117" s="395">
        <f t="shared" ca="1" si="122"/>
        <v>0</v>
      </c>
      <c r="BC117" s="395">
        <f t="shared" ca="1" si="122"/>
        <v>0</v>
      </c>
      <c r="BD117" s="395">
        <f t="shared" ca="1" si="122"/>
        <v>0</v>
      </c>
      <c r="BE117" s="395">
        <f t="shared" ca="1" si="122"/>
        <v>0</v>
      </c>
      <c r="BF117" s="395">
        <f t="shared" ca="1" si="122"/>
        <v>0</v>
      </c>
      <c r="BG117" s="395">
        <f t="shared" ca="1" si="122"/>
        <v>0</v>
      </c>
      <c r="BH117" s="395">
        <f t="shared" ca="1" si="122"/>
        <v>0</v>
      </c>
      <c r="BI117" s="395">
        <f t="shared" ca="1" si="122"/>
        <v>0</v>
      </c>
      <c r="BJ117" s="395">
        <f t="shared" ca="1" si="122"/>
        <v>0</v>
      </c>
      <c r="BK117" s="395">
        <f t="shared" ca="1" si="122"/>
        <v>0</v>
      </c>
      <c r="BL117" s="395">
        <f t="shared" ca="1" si="122"/>
        <v>0</v>
      </c>
      <c r="BM117" s="395">
        <f t="shared" ca="1" si="122"/>
        <v>0</v>
      </c>
      <c r="BN117" s="395">
        <f t="shared" ca="1" si="122"/>
        <v>0</v>
      </c>
      <c r="BO117" s="395">
        <f t="shared" ca="1" si="122"/>
        <v>0</v>
      </c>
      <c r="BP117" s="395">
        <f t="shared" ca="1" si="122"/>
        <v>0</v>
      </c>
      <c r="BQ117" s="395">
        <f t="shared" ca="1" si="122"/>
        <v>0</v>
      </c>
      <c r="BR117" s="395">
        <f t="shared" ca="1" si="122"/>
        <v>0</v>
      </c>
      <c r="BS117" s="395">
        <f t="shared" ca="1" si="122"/>
        <v>0</v>
      </c>
      <c r="BT117" s="395">
        <f t="shared" ca="1" si="122"/>
        <v>0</v>
      </c>
      <c r="BU117" s="395">
        <f t="shared" ref="BU117:CO117" ca="1" si="123">-SUM(BU47:BU53)*DispositionFee*(Today=ExitDate)</f>
        <v>0</v>
      </c>
      <c r="BV117" s="395">
        <f t="shared" ca="1" si="123"/>
        <v>0</v>
      </c>
      <c r="BW117" s="395">
        <f t="shared" ca="1" si="123"/>
        <v>0</v>
      </c>
      <c r="BX117" s="395">
        <f t="shared" ca="1" si="123"/>
        <v>0</v>
      </c>
      <c r="BY117" s="395">
        <f t="shared" ca="1" si="123"/>
        <v>0</v>
      </c>
      <c r="BZ117" s="395">
        <f t="shared" ca="1" si="123"/>
        <v>0</v>
      </c>
      <c r="CA117" s="395">
        <f t="shared" ca="1" si="123"/>
        <v>0</v>
      </c>
      <c r="CB117" s="395">
        <f t="shared" ca="1" si="123"/>
        <v>0</v>
      </c>
      <c r="CC117" s="395">
        <f t="shared" ca="1" si="123"/>
        <v>-62209.358048518152</v>
      </c>
      <c r="CD117" s="395">
        <f t="shared" ca="1" si="123"/>
        <v>0</v>
      </c>
      <c r="CE117" s="395">
        <f t="shared" ca="1" si="123"/>
        <v>0</v>
      </c>
      <c r="CF117" s="395">
        <f t="shared" ca="1" si="123"/>
        <v>0</v>
      </c>
      <c r="CG117" s="395">
        <f t="shared" ca="1" si="123"/>
        <v>0</v>
      </c>
      <c r="CH117" s="395">
        <f t="shared" ca="1" si="123"/>
        <v>0</v>
      </c>
      <c r="CI117" s="395">
        <f t="shared" ca="1" si="123"/>
        <v>0</v>
      </c>
      <c r="CJ117" s="395">
        <f t="shared" ca="1" si="123"/>
        <v>0</v>
      </c>
      <c r="CK117" s="395">
        <f t="shared" ca="1" si="123"/>
        <v>0</v>
      </c>
      <c r="CL117" s="395">
        <f t="shared" ca="1" si="123"/>
        <v>0</v>
      </c>
      <c r="CM117" s="395">
        <f t="shared" ca="1" si="123"/>
        <v>0</v>
      </c>
      <c r="CN117" s="395">
        <f t="shared" ca="1" si="123"/>
        <v>0</v>
      </c>
      <c r="CO117" s="395">
        <f t="shared" ca="1" si="123"/>
        <v>0</v>
      </c>
      <c r="CP117" s="133" t="s">
        <v>15</v>
      </c>
    </row>
    <row r="118" spans="1:94" ht="15" customHeight="1" x14ac:dyDescent="0.2">
      <c r="F118" s="133" t="s">
        <v>243</v>
      </c>
      <c r="H118" s="243"/>
      <c r="I118" s="395">
        <f ca="1">SUM(I114:I117)</f>
        <v>-3731303.322813286</v>
      </c>
      <c r="J118" s="395">
        <f t="shared" ref="J118:BU118" ca="1" si="124">SUM(J114:J117)</f>
        <v>-142691.64538799995</v>
      </c>
      <c r="K118" s="395">
        <f t="shared" ca="1" si="124"/>
        <v>-142785.0758198571</v>
      </c>
      <c r="L118" s="395">
        <f t="shared" ca="1" si="124"/>
        <v>-176481.21413238143</v>
      </c>
      <c r="M118" s="395">
        <f t="shared" ca="1" si="124"/>
        <v>-320236.48135238088</v>
      </c>
      <c r="N118" s="395">
        <f t="shared" ca="1" si="124"/>
        <v>-271401.73878095235</v>
      </c>
      <c r="O118" s="395">
        <f t="shared" ca="1" si="124"/>
        <v>-459093.94394285715</v>
      </c>
      <c r="P118" s="395">
        <f t="shared" ca="1" si="124"/>
        <v>-701125.68161949876</v>
      </c>
      <c r="Q118" s="395">
        <f t="shared" ca="1" si="124"/>
        <v>-701590.48929614038</v>
      </c>
      <c r="R118" s="395">
        <f t="shared" ca="1" si="124"/>
        <v>-702055.296972782</v>
      </c>
      <c r="S118" s="395">
        <f t="shared" ca="1" si="124"/>
        <v>-702520.10464942351</v>
      </c>
      <c r="T118" s="395">
        <f t="shared" ca="1" si="124"/>
        <v>-702984.91232606512</v>
      </c>
      <c r="U118" s="395">
        <f t="shared" ca="1" si="124"/>
        <v>-703449.72000270674</v>
      </c>
      <c r="V118" s="395">
        <f t="shared" ca="1" si="124"/>
        <v>-1082271.3575193482</v>
      </c>
      <c r="W118" s="395">
        <f t="shared" ca="1" si="124"/>
        <v>-1199765.0343693234</v>
      </c>
      <c r="X118" s="395">
        <f t="shared" ca="1" si="124"/>
        <v>-528610.65829072532</v>
      </c>
      <c r="Y118" s="395">
        <f t="shared" ca="1" si="124"/>
        <v>-8096.7686666666677</v>
      </c>
      <c r="Z118" s="395">
        <f t="shared" ca="1" si="124"/>
        <v>-8096.7686666666677</v>
      </c>
      <c r="AA118" s="395">
        <f t="shared" ca="1" si="124"/>
        <v>-8096.7686666666677</v>
      </c>
      <c r="AB118" s="395">
        <f t="shared" ca="1" si="124"/>
        <v>-8096.7686666666677</v>
      </c>
      <c r="AC118" s="395">
        <f t="shared" ca="1" si="124"/>
        <v>-8096.7686666666677</v>
      </c>
      <c r="AD118" s="395">
        <f t="shared" ca="1" si="124"/>
        <v>-8096.7686666666677</v>
      </c>
      <c r="AE118" s="395">
        <f t="shared" ca="1" si="124"/>
        <v>-8096.7686666666677</v>
      </c>
      <c r="AF118" s="395">
        <f t="shared" ca="1" si="124"/>
        <v>-8096.7686666666677</v>
      </c>
      <c r="AG118" s="395">
        <f t="shared" ca="1" si="124"/>
        <v>-8096.7686666666677</v>
      </c>
      <c r="AH118" s="395">
        <f t="shared" ca="1" si="124"/>
        <v>-8096.7686666666677</v>
      </c>
      <c r="AI118" s="395">
        <f t="shared" ca="1" si="124"/>
        <v>-8096.7686666666677</v>
      </c>
      <c r="AJ118" s="395">
        <f t="shared" ca="1" si="124"/>
        <v>-8096.7686666666677</v>
      </c>
      <c r="AK118" s="395">
        <f t="shared" ca="1" si="124"/>
        <v>-8096.7686666666677</v>
      </c>
      <c r="AL118" s="395">
        <f t="shared" ca="1" si="124"/>
        <v>-8096.7686666666677</v>
      </c>
      <c r="AM118" s="395">
        <f t="shared" ca="1" si="124"/>
        <v>-8096.7686666666677</v>
      </c>
      <c r="AN118" s="395">
        <f t="shared" ca="1" si="124"/>
        <v>-8096.7686666666677</v>
      </c>
      <c r="AO118" s="395">
        <f t="shared" ca="1" si="124"/>
        <v>-8096.7686666666677</v>
      </c>
      <c r="AP118" s="395">
        <f t="shared" ca="1" si="124"/>
        <v>-8096.7686666666677</v>
      </c>
      <c r="AQ118" s="395">
        <f t="shared" ca="1" si="124"/>
        <v>-8096.7686666666677</v>
      </c>
      <c r="AR118" s="395">
        <f t="shared" ca="1" si="124"/>
        <v>-8096.7686666666677</v>
      </c>
      <c r="AS118" s="395">
        <f t="shared" ca="1" si="124"/>
        <v>19327606.700798273</v>
      </c>
      <c r="AT118" s="395">
        <f t="shared" ca="1" si="124"/>
        <v>110073.79706883527</v>
      </c>
      <c r="AU118" s="395">
        <f t="shared" ca="1" si="124"/>
        <v>110073.79706883527</v>
      </c>
      <c r="AV118" s="395">
        <f t="shared" ca="1" si="124"/>
        <v>110073.79706883527</v>
      </c>
      <c r="AW118" s="395">
        <f t="shared" ca="1" si="124"/>
        <v>110073.79706883527</v>
      </c>
      <c r="AX118" s="395">
        <f t="shared" ca="1" si="124"/>
        <v>110073.79706883527</v>
      </c>
      <c r="AY118" s="395">
        <f t="shared" ca="1" si="124"/>
        <v>110073.79706883527</v>
      </c>
      <c r="AZ118" s="395">
        <f t="shared" ca="1" si="124"/>
        <v>110073.79706883527</v>
      </c>
      <c r="BA118" s="395">
        <f t="shared" ca="1" si="124"/>
        <v>110073.79706883527</v>
      </c>
      <c r="BB118" s="395">
        <f t="shared" ca="1" si="124"/>
        <v>110073.79706883527</v>
      </c>
      <c r="BC118" s="395">
        <f t="shared" ca="1" si="124"/>
        <v>110073.79706883527</v>
      </c>
      <c r="BD118" s="395">
        <f t="shared" ca="1" si="124"/>
        <v>110073.79706883527</v>
      </c>
      <c r="BE118" s="395">
        <f t="shared" ca="1" si="124"/>
        <v>110073.79706883527</v>
      </c>
      <c r="BF118" s="395">
        <f t="shared" ca="1" si="124"/>
        <v>92276.448121092428</v>
      </c>
      <c r="BG118" s="395">
        <f t="shared" ca="1" si="124"/>
        <v>92276.448121092428</v>
      </c>
      <c r="BH118" s="395">
        <f t="shared" ca="1" si="124"/>
        <v>92276.448121092428</v>
      </c>
      <c r="BI118" s="395">
        <f t="shared" ca="1" si="124"/>
        <v>92276.448121092428</v>
      </c>
      <c r="BJ118" s="395">
        <f t="shared" ca="1" si="124"/>
        <v>92276.448121092428</v>
      </c>
      <c r="BK118" s="395">
        <f t="shared" ca="1" si="124"/>
        <v>92276.448121092428</v>
      </c>
      <c r="BL118" s="395">
        <f t="shared" ca="1" si="124"/>
        <v>92276.448121092428</v>
      </c>
      <c r="BM118" s="395">
        <f t="shared" ca="1" si="124"/>
        <v>92276.448121092428</v>
      </c>
      <c r="BN118" s="395">
        <f t="shared" ca="1" si="124"/>
        <v>92276.448121092428</v>
      </c>
      <c r="BO118" s="395">
        <f t="shared" ca="1" si="124"/>
        <v>92276.448121092428</v>
      </c>
      <c r="BP118" s="395">
        <f t="shared" ca="1" si="124"/>
        <v>92276.448121092428</v>
      </c>
      <c r="BQ118" s="395">
        <f t="shared" ca="1" si="124"/>
        <v>92276.448121092428</v>
      </c>
      <c r="BR118" s="395">
        <f t="shared" ca="1" si="124"/>
        <v>106921.35986988785</v>
      </c>
      <c r="BS118" s="395">
        <f t="shared" ca="1" si="124"/>
        <v>106921.35986988785</v>
      </c>
      <c r="BT118" s="395">
        <f t="shared" ca="1" si="124"/>
        <v>106921.35986988785</v>
      </c>
      <c r="BU118" s="395">
        <f t="shared" ca="1" si="124"/>
        <v>106921.35986988785</v>
      </c>
      <c r="BV118" s="395">
        <f t="shared" ref="BV118:CO118" ca="1" si="125">SUM(BV114:BV117)</f>
        <v>106921.35986988785</v>
      </c>
      <c r="BW118" s="395">
        <f t="shared" ca="1" si="125"/>
        <v>106921.35986988785</v>
      </c>
      <c r="BX118" s="395">
        <f t="shared" ca="1" si="125"/>
        <v>106921.35986988785</v>
      </c>
      <c r="BY118" s="395">
        <f t="shared" ca="1" si="125"/>
        <v>106921.35986988785</v>
      </c>
      <c r="BZ118" s="395">
        <f t="shared" ca="1" si="125"/>
        <v>106921.35986988785</v>
      </c>
      <c r="CA118" s="395">
        <f t="shared" ca="1" si="125"/>
        <v>106921.35986988785</v>
      </c>
      <c r="CB118" s="395">
        <f t="shared" ca="1" si="125"/>
        <v>106921.35986988785</v>
      </c>
      <c r="CC118" s="395">
        <f t="shared" ca="1" si="125"/>
        <v>12719474.3621164</v>
      </c>
      <c r="CD118" s="395">
        <f t="shared" ca="1" si="125"/>
        <v>0</v>
      </c>
      <c r="CE118" s="395">
        <f t="shared" ca="1" si="125"/>
        <v>0</v>
      </c>
      <c r="CF118" s="395">
        <f t="shared" ca="1" si="125"/>
        <v>0</v>
      </c>
      <c r="CG118" s="395">
        <f t="shared" ca="1" si="125"/>
        <v>0</v>
      </c>
      <c r="CH118" s="395">
        <f t="shared" ca="1" si="125"/>
        <v>0</v>
      </c>
      <c r="CI118" s="395">
        <f t="shared" ca="1" si="125"/>
        <v>0</v>
      </c>
      <c r="CJ118" s="395">
        <f t="shared" ca="1" si="125"/>
        <v>0</v>
      </c>
      <c r="CK118" s="395">
        <f t="shared" ca="1" si="125"/>
        <v>0</v>
      </c>
      <c r="CL118" s="395">
        <f t="shared" ca="1" si="125"/>
        <v>0</v>
      </c>
      <c r="CM118" s="395">
        <f t="shared" ca="1" si="125"/>
        <v>0</v>
      </c>
      <c r="CN118" s="395">
        <f t="shared" ca="1" si="125"/>
        <v>0</v>
      </c>
      <c r="CO118" s="395">
        <f t="shared" ca="1" si="125"/>
        <v>0</v>
      </c>
      <c r="CP118" s="133" t="s">
        <v>15</v>
      </c>
    </row>
    <row r="119" spans="1:94" ht="6" customHeight="1" x14ac:dyDescent="0.2">
      <c r="F119" s="133"/>
      <c r="G119" s="133"/>
      <c r="H119" s="133"/>
      <c r="I119" s="133"/>
      <c r="J119" s="133"/>
      <c r="K119" s="133"/>
      <c r="L119" s="133"/>
      <c r="M119" s="257"/>
      <c r="N119" s="257"/>
      <c r="O119" s="257"/>
      <c r="P119" s="257"/>
      <c r="Q119" s="257"/>
      <c r="R119" s="257"/>
      <c r="S119" s="257"/>
      <c r="T119" s="257"/>
      <c r="U119" s="257"/>
      <c r="V119" s="257"/>
      <c r="W119" s="257"/>
      <c r="X119" s="257"/>
      <c r="Y119" s="257"/>
      <c r="Z119" s="257"/>
      <c r="AA119" s="257"/>
      <c r="AB119" s="257"/>
      <c r="AC119" s="257"/>
      <c r="AD119" s="257"/>
      <c r="AE119" s="257"/>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57"/>
      <c r="BK119" s="257"/>
      <c r="BL119" s="257"/>
      <c r="BM119" s="257"/>
      <c r="BN119" s="257"/>
      <c r="BO119" s="257"/>
      <c r="BP119" s="257"/>
      <c r="BQ119" s="257"/>
      <c r="BR119" s="257"/>
      <c r="BS119" s="257"/>
      <c r="BT119" s="257"/>
      <c r="BU119" s="257"/>
      <c r="BV119" s="257"/>
      <c r="BW119" s="257"/>
      <c r="BX119" s="257"/>
      <c r="BY119" s="257"/>
      <c r="BZ119" s="257"/>
      <c r="CA119" s="257"/>
      <c r="CB119" s="257"/>
      <c r="CC119" s="257"/>
      <c r="CD119" s="257"/>
      <c r="CE119" s="257"/>
      <c r="CF119" s="257"/>
      <c r="CG119" s="257"/>
      <c r="CH119" s="257"/>
      <c r="CI119" s="257"/>
      <c r="CJ119" s="257"/>
      <c r="CK119" s="257"/>
      <c r="CL119" s="257"/>
      <c r="CM119" s="257"/>
      <c r="CN119" s="257"/>
      <c r="CO119" s="257"/>
      <c r="CP119" s="133"/>
    </row>
    <row r="120" spans="1:94" ht="15" customHeight="1" x14ac:dyDescent="0.2">
      <c r="H120" s="133" t="s">
        <v>246</v>
      </c>
      <c r="I120" s="395">
        <f ca="1">SUM(I115:CO117)</f>
        <v>-347358.40865758085</v>
      </c>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c r="BS120" s="133"/>
      <c r="BT120" s="133"/>
      <c r="BU120" s="133"/>
      <c r="BV120" s="133"/>
      <c r="BW120" s="133"/>
      <c r="BX120" s="133"/>
      <c r="BY120" s="133"/>
      <c r="BZ120" s="133"/>
      <c r="CA120" s="133"/>
      <c r="CB120" s="133"/>
      <c r="CC120" s="133"/>
      <c r="CD120" s="133"/>
      <c r="CE120" s="133"/>
      <c r="CF120" s="133"/>
      <c r="CG120" s="133"/>
      <c r="CH120" s="133"/>
      <c r="CI120" s="133"/>
      <c r="CJ120" s="133"/>
      <c r="CK120" s="133"/>
      <c r="CL120" s="133"/>
      <c r="CM120" s="133"/>
      <c r="CN120" s="133"/>
      <c r="CO120" s="133"/>
      <c r="CP120" s="133"/>
    </row>
    <row r="121" spans="1:94" ht="15" customHeight="1" x14ac:dyDescent="0.2"/>
    <row r="122" spans="1:94" ht="15" customHeight="1" x14ac:dyDescent="0.2">
      <c r="F122" s="272" t="s">
        <v>244</v>
      </c>
      <c r="G122" s="273"/>
      <c r="H122" s="273"/>
      <c r="I122" s="274">
        <f ca="1">IFERROR(XIRR($I118:$CO118,HoldingDates),XIRR($I118:$CO118,HoldingDates,-0.1))</f>
        <v>0.36700208783149713</v>
      </c>
    </row>
    <row r="123" spans="1:94" ht="15" customHeight="1" x14ac:dyDescent="0.2">
      <c r="F123" s="275" t="s">
        <v>218</v>
      </c>
      <c r="I123" s="276">
        <f ca="1">SUMIF($I118:$CO118,"&gt;0")/-SUMIF($I118:$CO118,"&lt;0")</f>
        <v>2.8681056034367032</v>
      </c>
    </row>
    <row r="124" spans="1:94" ht="15" customHeight="1" x14ac:dyDescent="0.2">
      <c r="F124" s="277" t="s">
        <v>220</v>
      </c>
      <c r="G124" s="278"/>
      <c r="H124" s="278"/>
      <c r="I124" s="279">
        <f ca="1">SUM(I118:CO118)</f>
        <v>23221116.913153533</v>
      </c>
    </row>
    <row r="125" spans="1:94" s="329" customFormat="1" ht="15" customHeight="1" x14ac:dyDescent="0.2">
      <c r="B125" s="330"/>
      <c r="C125" s="330"/>
      <c r="D125" s="330"/>
      <c r="F125" s="330"/>
      <c r="I125" s="340"/>
    </row>
    <row r="126" spans="1:94" s="329" customFormat="1" ht="10.35" customHeight="1" x14ac:dyDescent="0.2">
      <c r="B126" s="330"/>
      <c r="C126" s="330"/>
      <c r="D126" s="330"/>
    </row>
    <row r="127" spans="1:94" s="329" customFormat="1" ht="15" customHeight="1" x14ac:dyDescent="0.2">
      <c r="A127" s="11"/>
      <c r="B127" s="338"/>
      <c r="C127" s="339"/>
      <c r="D127" s="339"/>
      <c r="E127" s="319"/>
      <c r="I127" s="321"/>
      <c r="N127" s="419"/>
      <c r="O127" s="419"/>
      <c r="P127" s="419"/>
    </row>
    <row r="128" spans="1:94" s="329" customFormat="1" ht="15" customHeight="1" x14ac:dyDescent="0.2">
      <c r="A128" s="11"/>
      <c r="B128" s="338"/>
      <c r="C128" s="339"/>
      <c r="D128" s="339"/>
      <c r="E128" s="319"/>
      <c r="I128" s="321"/>
      <c r="J128" s="319"/>
      <c r="K128" s="322"/>
      <c r="L128" s="323"/>
      <c r="N128" s="419"/>
      <c r="O128" s="419"/>
      <c r="P128" s="419"/>
    </row>
    <row r="129" spans="1:12" s="329" customFormat="1" ht="15" customHeight="1" x14ac:dyDescent="0.2">
      <c r="A129" s="11"/>
      <c r="B129" s="338"/>
      <c r="C129" s="321" t="s">
        <v>18</v>
      </c>
      <c r="D129" s="338"/>
      <c r="E129" s="11"/>
      <c r="I129" s="321"/>
    </row>
    <row r="130" spans="1:12" s="329" customFormat="1" ht="15" customHeight="1" x14ac:dyDescent="0.2">
      <c r="A130" s="11"/>
      <c r="B130" s="338"/>
      <c r="C130" s="321" t="s">
        <v>19</v>
      </c>
      <c r="D130" s="325"/>
      <c r="E130" s="325"/>
    </row>
    <row r="131" spans="1:12" s="329" customFormat="1" ht="15" customHeight="1" x14ac:dyDescent="0.2">
      <c r="A131" s="11"/>
      <c r="B131" s="338"/>
      <c r="C131" s="321" t="s">
        <v>20</v>
      </c>
      <c r="D131" s="338"/>
      <c r="E131" s="11"/>
    </row>
    <row r="132" spans="1:12" ht="15" customHeight="1" x14ac:dyDescent="0.2">
      <c r="J132" s="15"/>
      <c r="K132" s="107"/>
      <c r="L132" s="109"/>
    </row>
    <row r="133" spans="1:12" ht="18" x14ac:dyDescent="0.2">
      <c r="J133" s="15"/>
      <c r="K133" s="15"/>
      <c r="L133" s="15"/>
    </row>
  </sheetData>
  <mergeCells count="8">
    <mergeCell ref="N127:P127"/>
    <mergeCell ref="N128:P128"/>
    <mergeCell ref="C4:D4"/>
    <mergeCell ref="F4:H4"/>
    <mergeCell ref="I4:J4"/>
    <mergeCell ref="K4:L4"/>
    <mergeCell ref="M4:N4"/>
    <mergeCell ref="O4:P4"/>
  </mergeCells>
  <pageMargins left="0.7" right="0.7" top="0.75" bottom="0.75" header="0.3" footer="0.3"/>
  <pageSetup scale="26" fitToWidth="3"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821C-7CF9-416C-97CC-AB7C5963DE2F}">
  <sheetPr codeName="Sheet13">
    <tabColor theme="9" tint="-0.249977111117893"/>
    <pageSetUpPr fitToPage="1"/>
  </sheetPr>
  <dimension ref="A1:CL281"/>
  <sheetViews>
    <sheetView tabSelected="1" topLeftCell="BT101" workbookViewId="0">
      <selection activeCell="G28" sqref="G28"/>
    </sheetView>
  </sheetViews>
  <sheetFormatPr defaultColWidth="8.85546875" defaultRowHeight="15" customHeight="1" outlineLevelRow="1" x14ac:dyDescent="0.2"/>
  <cols>
    <col min="1" max="1" width="4.28515625" style="131" customWidth="1"/>
    <col min="2" max="3" width="15.7109375" style="131" customWidth="1"/>
    <col min="4" max="90" width="13.7109375" style="131" customWidth="1"/>
    <col min="91" max="16384" width="8.85546875" style="131"/>
  </cols>
  <sheetData>
    <row r="1" spans="1:90" s="16" customFormat="1" ht="14.25" x14ac:dyDescent="0.2">
      <c r="K1" s="133"/>
      <c r="L1" s="133"/>
      <c r="M1" s="133"/>
      <c r="N1" s="133"/>
      <c r="O1" s="133"/>
      <c r="P1" s="133"/>
      <c r="Q1" s="133"/>
      <c r="R1" s="133"/>
      <c r="S1" s="133"/>
      <c r="T1" s="133"/>
      <c r="U1" s="133"/>
      <c r="V1" s="133"/>
      <c r="W1" s="133"/>
      <c r="X1" s="133"/>
      <c r="Y1" s="133"/>
      <c r="Z1" s="133"/>
      <c r="AA1" s="133"/>
      <c r="AB1" s="133"/>
      <c r="AC1" s="133"/>
      <c r="AD1" s="133"/>
      <c r="AE1" s="133"/>
      <c r="AF1" s="133"/>
      <c r="AG1" s="133"/>
    </row>
    <row r="2" spans="1:90" s="210" customFormat="1" ht="20.25" x14ac:dyDescent="0.3">
      <c r="A2" s="17"/>
      <c r="B2" s="18" t="str">
        <f>Inputs!B2</f>
        <v>Comparing Complex Deal Structures</v>
      </c>
      <c r="C2" s="18"/>
      <c r="D2" s="18"/>
      <c r="E2" s="18"/>
      <c r="F2" s="18"/>
      <c r="G2" s="18"/>
      <c r="H2" s="18"/>
      <c r="I2" s="18"/>
      <c r="K2" s="133"/>
      <c r="L2" s="133"/>
      <c r="M2" s="133"/>
      <c r="N2" s="133"/>
      <c r="O2" s="133"/>
      <c r="P2" s="133"/>
      <c r="Q2" s="133"/>
      <c r="R2" s="133"/>
      <c r="S2" s="133"/>
      <c r="T2" s="133"/>
      <c r="U2" s="133"/>
      <c r="V2" s="133"/>
      <c r="W2" s="133"/>
      <c r="X2" s="133"/>
      <c r="Y2" s="133"/>
      <c r="Z2" s="133"/>
      <c r="AA2" s="133"/>
      <c r="AB2" s="133"/>
      <c r="AC2" s="133"/>
      <c r="AD2" s="133"/>
      <c r="AE2" s="133"/>
      <c r="AF2" s="133"/>
      <c r="AG2" s="133"/>
    </row>
    <row r="3" spans="1:90" s="14" customFormat="1" ht="15" customHeight="1" x14ac:dyDescent="0.25">
      <c r="B3" s="107"/>
      <c r="C3" s="109"/>
      <c r="D3" s="109"/>
      <c r="E3" s="109"/>
      <c r="G3" s="15"/>
      <c r="J3" s="15"/>
      <c r="K3" s="25"/>
      <c r="L3" s="25"/>
      <c r="M3" s="25"/>
      <c r="N3" s="25"/>
      <c r="O3" s="25"/>
      <c r="P3" s="25"/>
      <c r="Q3" s="25"/>
      <c r="R3" s="25"/>
      <c r="S3" s="25"/>
      <c r="T3" s="25"/>
      <c r="U3" s="25"/>
      <c r="V3" s="25"/>
      <c r="W3" s="25"/>
      <c r="X3" s="25"/>
      <c r="Y3" s="25"/>
      <c r="Z3" s="25"/>
      <c r="AA3" s="25"/>
      <c r="AB3" s="25"/>
      <c r="AC3" s="25"/>
      <c r="AD3" s="25"/>
      <c r="AE3" s="25"/>
      <c r="AF3" s="25"/>
      <c r="AG3" s="25"/>
    </row>
    <row r="4" spans="1:90" s="210" customFormat="1" ht="20.45" customHeight="1" x14ac:dyDescent="0.25">
      <c r="A4" s="20"/>
      <c r="B4" s="423" t="s">
        <v>248</v>
      </c>
      <c r="C4" s="423"/>
      <c r="D4" s="423"/>
      <c r="E4" s="424" t="s">
        <v>320</v>
      </c>
      <c r="F4" s="424"/>
      <c r="G4" s="420" t="str">
        <f ca="1">Scenario!E4</f>
        <v>Best Case</v>
      </c>
      <c r="H4" s="425"/>
      <c r="J4" s="424" t="s">
        <v>325</v>
      </c>
      <c r="K4" s="424"/>
      <c r="L4" s="420" t="s">
        <v>358</v>
      </c>
      <c r="M4" s="463"/>
      <c r="N4" s="463"/>
      <c r="O4" s="421"/>
      <c r="P4" s="133"/>
      <c r="Q4" s="133"/>
      <c r="R4" s="133"/>
      <c r="S4" s="133"/>
      <c r="T4" s="133"/>
      <c r="U4" s="133"/>
      <c r="V4" s="133"/>
      <c r="W4" s="133"/>
      <c r="X4" s="133"/>
      <c r="Y4" s="133"/>
      <c r="Z4" s="133"/>
      <c r="AA4" s="133"/>
      <c r="AB4" s="133"/>
      <c r="AC4" s="133"/>
      <c r="AD4" s="133"/>
      <c r="AE4" s="133"/>
      <c r="AF4" s="133"/>
      <c r="AG4" s="133"/>
    </row>
    <row r="5" spans="1:90" s="21" customFormat="1" ht="10.15" customHeight="1" x14ac:dyDescent="0.25">
      <c r="B5" s="22"/>
      <c r="C5" s="23"/>
      <c r="D5" s="23"/>
      <c r="E5" s="23"/>
      <c r="O5" s="13"/>
      <c r="P5" s="13"/>
      <c r="Q5" s="13"/>
      <c r="R5" s="13"/>
      <c r="S5" s="13"/>
      <c r="T5" s="13"/>
      <c r="U5" s="13"/>
      <c r="V5" s="13"/>
      <c r="W5" s="13"/>
      <c r="X5" s="13"/>
      <c r="Y5" s="13"/>
      <c r="Z5" s="13"/>
      <c r="AA5" s="13"/>
      <c r="AB5" s="13"/>
      <c r="AC5" s="13"/>
      <c r="AD5" s="13"/>
      <c r="AE5" s="13"/>
      <c r="AF5" s="13"/>
      <c r="AG5" s="13"/>
    </row>
    <row r="6" spans="1:90" ht="15" customHeight="1" outlineLevel="1" x14ac:dyDescent="0.25">
      <c r="B6" s="291" t="s">
        <v>376</v>
      </c>
      <c r="CL6" s="133"/>
    </row>
    <row r="7" spans="1:90" s="21" customFormat="1" ht="10.15" customHeight="1" outlineLevel="1" x14ac:dyDescent="0.25">
      <c r="B7" s="22"/>
      <c r="C7" s="23"/>
      <c r="D7" s="23"/>
      <c r="E7" s="23"/>
      <c r="O7" s="13"/>
      <c r="P7" s="13"/>
      <c r="Q7" s="13"/>
      <c r="R7" s="13"/>
      <c r="S7" s="13"/>
      <c r="T7" s="13"/>
      <c r="U7" s="13"/>
      <c r="V7" s="13"/>
      <c r="W7" s="13"/>
      <c r="X7" s="13"/>
      <c r="Y7" s="13"/>
      <c r="Z7" s="13"/>
      <c r="AA7" s="13"/>
      <c r="AB7" s="13"/>
      <c r="AC7" s="13"/>
      <c r="AD7" s="13"/>
      <c r="AE7" s="13"/>
      <c r="AF7" s="13"/>
      <c r="AG7" s="13"/>
    </row>
    <row r="8" spans="1:90" ht="18" customHeight="1" outlineLevel="1" x14ac:dyDescent="0.55000000000000004">
      <c r="B8" s="292" t="s">
        <v>249</v>
      </c>
      <c r="C8" s="293"/>
      <c r="D8" s="294" t="s">
        <v>250</v>
      </c>
      <c r="E8" s="295"/>
      <c r="F8" s="293"/>
      <c r="G8" s="293"/>
      <c r="H8" s="422" t="s">
        <v>251</v>
      </c>
      <c r="I8" s="464"/>
      <c r="CL8" s="133"/>
    </row>
    <row r="9" spans="1:90" ht="15" customHeight="1" outlineLevel="1" x14ac:dyDescent="0.2">
      <c r="B9" s="296"/>
      <c r="C9" s="13"/>
      <c r="D9" s="137" t="s">
        <v>326</v>
      </c>
      <c r="F9" s="13" t="s">
        <v>254</v>
      </c>
      <c r="G9" s="13" t="s">
        <v>255</v>
      </c>
      <c r="H9" s="137" t="s">
        <v>164</v>
      </c>
      <c r="I9" s="297" t="s">
        <v>161</v>
      </c>
      <c r="CL9" s="133"/>
    </row>
    <row r="10" spans="1:90" ht="15" customHeight="1" outlineLevel="1" x14ac:dyDescent="0.2">
      <c r="B10" s="296" t="s">
        <v>256</v>
      </c>
      <c r="C10" s="13"/>
      <c r="D10" s="298">
        <v>1.25</v>
      </c>
      <c r="F10" s="250">
        <v>0</v>
      </c>
      <c r="G10" s="245">
        <v>0</v>
      </c>
      <c r="H10" s="250">
        <f>1-I10</f>
        <v>1</v>
      </c>
      <c r="I10" s="299">
        <v>0</v>
      </c>
      <c r="CL10" s="133"/>
    </row>
    <row r="11" spans="1:90" ht="15" customHeight="1" outlineLevel="1" x14ac:dyDescent="0.2">
      <c r="B11" s="296" t="s">
        <v>327</v>
      </c>
      <c r="C11" s="13"/>
      <c r="D11" s="298">
        <v>1.25</v>
      </c>
      <c r="F11" s="250">
        <f>(I11-$I$10)/$H$10</f>
        <v>1</v>
      </c>
      <c r="G11" s="245">
        <v>1</v>
      </c>
      <c r="H11" s="250">
        <f>1-I11</f>
        <v>0</v>
      </c>
      <c r="I11" s="300">
        <f>$I$10+Tier2_Promote_Case1</f>
        <v>1</v>
      </c>
      <c r="CL11" s="133"/>
    </row>
    <row r="12" spans="1:90" ht="15" customHeight="1" outlineLevel="1" x14ac:dyDescent="0.2">
      <c r="B12" s="296" t="s">
        <v>258</v>
      </c>
      <c r="C12" s="13"/>
      <c r="D12" s="298">
        <v>1.4</v>
      </c>
      <c r="F12" s="250">
        <f>(I12-$I$10)/$H$10</f>
        <v>0.5</v>
      </c>
      <c r="G12" s="245">
        <v>0.5</v>
      </c>
      <c r="H12" s="250">
        <f>1-I12</f>
        <v>0.5</v>
      </c>
      <c r="I12" s="300">
        <f>$I$10+Tier3_Promote_Case1</f>
        <v>0.5</v>
      </c>
      <c r="CL12" s="133"/>
    </row>
    <row r="13" spans="1:90" ht="15" customHeight="1" outlineLevel="1" x14ac:dyDescent="0.2">
      <c r="B13" s="301" t="s">
        <v>259</v>
      </c>
      <c r="C13" s="142"/>
      <c r="D13" s="142"/>
      <c r="E13" s="142"/>
      <c r="F13" s="302">
        <f>(I13-$I$10)/$H$10</f>
        <v>0.6</v>
      </c>
      <c r="G13" s="303">
        <v>0.6</v>
      </c>
      <c r="H13" s="302">
        <f>1-I13</f>
        <v>0.4</v>
      </c>
      <c r="I13" s="304">
        <f>$I$10+G13</f>
        <v>0.6</v>
      </c>
      <c r="CL13" s="133"/>
    </row>
    <row r="14" spans="1:90" ht="15" customHeight="1" x14ac:dyDescent="0.2">
      <c r="B14" s="133"/>
      <c r="C14" s="133"/>
      <c r="D14" s="133"/>
      <c r="E14" s="133"/>
      <c r="F14" s="287"/>
      <c r="G14" s="287"/>
      <c r="H14" s="287"/>
      <c r="I14" s="287"/>
      <c r="J14" s="133"/>
      <c r="CL14" s="133"/>
    </row>
    <row r="15" spans="1:90" ht="15" customHeight="1" x14ac:dyDescent="0.2">
      <c r="B15" s="133"/>
      <c r="C15" s="133"/>
      <c r="D15" s="133"/>
      <c r="E15" s="133"/>
      <c r="F15" s="133"/>
      <c r="G15" s="133"/>
      <c r="H15" s="133"/>
      <c r="I15" s="133"/>
      <c r="J15" s="133"/>
      <c r="CL15" s="133"/>
    </row>
    <row r="16" spans="1:90" ht="15" customHeight="1" x14ac:dyDescent="0.2">
      <c r="B16" s="133"/>
      <c r="C16" s="133"/>
      <c r="D16" s="133"/>
      <c r="E16" s="133"/>
      <c r="F16" s="133"/>
      <c r="G16" s="305"/>
      <c r="H16" s="305"/>
      <c r="I16" s="305"/>
      <c r="J16" s="305"/>
      <c r="CL16" s="133"/>
    </row>
    <row r="17" spans="2:90" ht="15" customHeight="1" x14ac:dyDescent="0.25">
      <c r="D17" s="146" t="s">
        <v>187</v>
      </c>
      <c r="E17" s="260">
        <f>YEAR(E18)</f>
        <v>2020</v>
      </c>
      <c r="F17" s="261">
        <f t="shared" ref="F17:BQ17" si="0">YEAR(F18)</f>
        <v>2021</v>
      </c>
      <c r="G17" s="261">
        <f t="shared" si="0"/>
        <v>2021</v>
      </c>
      <c r="H17" s="261">
        <f t="shared" si="0"/>
        <v>2021</v>
      </c>
      <c r="I17" s="261">
        <f t="shared" si="0"/>
        <v>2021</v>
      </c>
      <c r="J17" s="261">
        <f t="shared" si="0"/>
        <v>2021</v>
      </c>
      <c r="K17" s="261">
        <f t="shared" si="0"/>
        <v>2021</v>
      </c>
      <c r="L17" s="261">
        <f t="shared" si="0"/>
        <v>2021</v>
      </c>
      <c r="M17" s="261">
        <f t="shared" si="0"/>
        <v>2021</v>
      </c>
      <c r="N17" s="261">
        <f t="shared" si="0"/>
        <v>2021</v>
      </c>
      <c r="O17" s="261">
        <f t="shared" si="0"/>
        <v>2021</v>
      </c>
      <c r="P17" s="261">
        <f t="shared" si="0"/>
        <v>2021</v>
      </c>
      <c r="Q17" s="261">
        <f t="shared" si="0"/>
        <v>2021</v>
      </c>
      <c r="R17" s="261">
        <f t="shared" si="0"/>
        <v>2022</v>
      </c>
      <c r="S17" s="261">
        <f t="shared" si="0"/>
        <v>2022</v>
      </c>
      <c r="T17" s="261">
        <f t="shared" si="0"/>
        <v>2022</v>
      </c>
      <c r="U17" s="261">
        <f t="shared" si="0"/>
        <v>2022</v>
      </c>
      <c r="V17" s="261">
        <f t="shared" si="0"/>
        <v>2022</v>
      </c>
      <c r="W17" s="261">
        <f t="shared" si="0"/>
        <v>2022</v>
      </c>
      <c r="X17" s="261">
        <f t="shared" si="0"/>
        <v>2022</v>
      </c>
      <c r="Y17" s="261">
        <f t="shared" si="0"/>
        <v>2022</v>
      </c>
      <c r="Z17" s="261">
        <f t="shared" si="0"/>
        <v>2022</v>
      </c>
      <c r="AA17" s="261">
        <f t="shared" si="0"/>
        <v>2022</v>
      </c>
      <c r="AB17" s="261">
        <f t="shared" si="0"/>
        <v>2022</v>
      </c>
      <c r="AC17" s="261">
        <f t="shared" si="0"/>
        <v>2022</v>
      </c>
      <c r="AD17" s="261">
        <f t="shared" si="0"/>
        <v>2023</v>
      </c>
      <c r="AE17" s="261">
        <f t="shared" si="0"/>
        <v>2023</v>
      </c>
      <c r="AF17" s="261">
        <f t="shared" si="0"/>
        <v>2023</v>
      </c>
      <c r="AG17" s="261">
        <f t="shared" si="0"/>
        <v>2023</v>
      </c>
      <c r="AH17" s="261">
        <f t="shared" si="0"/>
        <v>2023</v>
      </c>
      <c r="AI17" s="261">
        <f t="shared" si="0"/>
        <v>2023</v>
      </c>
      <c r="AJ17" s="261">
        <f t="shared" si="0"/>
        <v>2023</v>
      </c>
      <c r="AK17" s="261">
        <f t="shared" si="0"/>
        <v>2023</v>
      </c>
      <c r="AL17" s="261">
        <f t="shared" si="0"/>
        <v>2023</v>
      </c>
      <c r="AM17" s="261">
        <f t="shared" si="0"/>
        <v>2023</v>
      </c>
      <c r="AN17" s="261">
        <f t="shared" si="0"/>
        <v>2023</v>
      </c>
      <c r="AO17" s="261">
        <f t="shared" si="0"/>
        <v>2023</v>
      </c>
      <c r="AP17" s="261">
        <f t="shared" si="0"/>
        <v>2024</v>
      </c>
      <c r="AQ17" s="261">
        <f t="shared" si="0"/>
        <v>2024</v>
      </c>
      <c r="AR17" s="261">
        <f t="shared" si="0"/>
        <v>2024</v>
      </c>
      <c r="AS17" s="261">
        <f t="shared" si="0"/>
        <v>2024</v>
      </c>
      <c r="AT17" s="261">
        <f t="shared" si="0"/>
        <v>2024</v>
      </c>
      <c r="AU17" s="261">
        <f t="shared" si="0"/>
        <v>2024</v>
      </c>
      <c r="AV17" s="261">
        <f t="shared" si="0"/>
        <v>2024</v>
      </c>
      <c r="AW17" s="261">
        <f t="shared" si="0"/>
        <v>2024</v>
      </c>
      <c r="AX17" s="261">
        <f t="shared" si="0"/>
        <v>2024</v>
      </c>
      <c r="AY17" s="261">
        <f t="shared" si="0"/>
        <v>2024</v>
      </c>
      <c r="AZ17" s="261">
        <f t="shared" si="0"/>
        <v>2024</v>
      </c>
      <c r="BA17" s="261">
        <f t="shared" si="0"/>
        <v>2024</v>
      </c>
      <c r="BB17" s="261">
        <f t="shared" si="0"/>
        <v>2025</v>
      </c>
      <c r="BC17" s="261">
        <f t="shared" si="0"/>
        <v>2025</v>
      </c>
      <c r="BD17" s="261">
        <f t="shared" si="0"/>
        <v>2025</v>
      </c>
      <c r="BE17" s="261">
        <f t="shared" si="0"/>
        <v>2025</v>
      </c>
      <c r="BF17" s="261">
        <f t="shared" si="0"/>
        <v>2025</v>
      </c>
      <c r="BG17" s="261">
        <f t="shared" si="0"/>
        <v>2025</v>
      </c>
      <c r="BH17" s="261">
        <f t="shared" si="0"/>
        <v>2025</v>
      </c>
      <c r="BI17" s="261">
        <f t="shared" si="0"/>
        <v>2025</v>
      </c>
      <c r="BJ17" s="261">
        <f t="shared" si="0"/>
        <v>2025</v>
      </c>
      <c r="BK17" s="261">
        <f t="shared" si="0"/>
        <v>2025</v>
      </c>
      <c r="BL17" s="261">
        <f t="shared" si="0"/>
        <v>2025</v>
      </c>
      <c r="BM17" s="261">
        <f t="shared" si="0"/>
        <v>2025</v>
      </c>
      <c r="BN17" s="261">
        <f t="shared" si="0"/>
        <v>2026</v>
      </c>
      <c r="BO17" s="261">
        <f t="shared" si="0"/>
        <v>2026</v>
      </c>
      <c r="BP17" s="261">
        <f t="shared" si="0"/>
        <v>2026</v>
      </c>
      <c r="BQ17" s="261">
        <f t="shared" si="0"/>
        <v>2026</v>
      </c>
      <c r="BR17" s="261">
        <f t="shared" ref="BR17:CK17" si="1">YEAR(BR18)</f>
        <v>2026</v>
      </c>
      <c r="BS17" s="261">
        <f t="shared" si="1"/>
        <v>2026</v>
      </c>
      <c r="BT17" s="261">
        <f t="shared" si="1"/>
        <v>2026</v>
      </c>
      <c r="BU17" s="261">
        <f t="shared" si="1"/>
        <v>2026</v>
      </c>
      <c r="BV17" s="261">
        <f t="shared" si="1"/>
        <v>2026</v>
      </c>
      <c r="BW17" s="261">
        <f t="shared" si="1"/>
        <v>2026</v>
      </c>
      <c r="BX17" s="261">
        <f t="shared" si="1"/>
        <v>2026</v>
      </c>
      <c r="BY17" s="261">
        <f t="shared" si="1"/>
        <v>2026</v>
      </c>
      <c r="BZ17" s="261">
        <f t="shared" si="1"/>
        <v>2027</v>
      </c>
      <c r="CA17" s="261">
        <f t="shared" si="1"/>
        <v>2027</v>
      </c>
      <c r="CB17" s="261">
        <f t="shared" si="1"/>
        <v>2027</v>
      </c>
      <c r="CC17" s="261">
        <f t="shared" si="1"/>
        <v>2027</v>
      </c>
      <c r="CD17" s="261">
        <f t="shared" si="1"/>
        <v>2027</v>
      </c>
      <c r="CE17" s="261">
        <f t="shared" si="1"/>
        <v>2027</v>
      </c>
      <c r="CF17" s="261">
        <f t="shared" si="1"/>
        <v>2027</v>
      </c>
      <c r="CG17" s="261">
        <f t="shared" si="1"/>
        <v>2027</v>
      </c>
      <c r="CH17" s="261">
        <f t="shared" si="1"/>
        <v>2027</v>
      </c>
      <c r="CI17" s="261">
        <f t="shared" si="1"/>
        <v>2027</v>
      </c>
      <c r="CJ17" s="261">
        <f t="shared" si="1"/>
        <v>2027</v>
      </c>
      <c r="CK17" s="262">
        <f t="shared" si="1"/>
        <v>2027</v>
      </c>
      <c r="CL17" s="133" t="s">
        <v>15</v>
      </c>
    </row>
    <row r="18" spans="2:90" ht="15" customHeight="1" x14ac:dyDescent="0.25">
      <c r="D18" s="146" t="s">
        <v>188</v>
      </c>
      <c r="E18" s="263">
        <f>'Provided - CAP Acct. 1'!I28</f>
        <v>44196</v>
      </c>
      <c r="F18" s="264">
        <f>EOMONTH(E18,1)</f>
        <v>44227</v>
      </c>
      <c r="G18" s="264">
        <f t="shared" ref="G18:BR18" si="2">EOMONTH(F18,1)</f>
        <v>44255</v>
      </c>
      <c r="H18" s="264">
        <f t="shared" si="2"/>
        <v>44286</v>
      </c>
      <c r="I18" s="264">
        <f t="shared" si="2"/>
        <v>44316</v>
      </c>
      <c r="J18" s="264">
        <f t="shared" si="2"/>
        <v>44347</v>
      </c>
      <c r="K18" s="264">
        <f t="shared" si="2"/>
        <v>44377</v>
      </c>
      <c r="L18" s="264">
        <f t="shared" si="2"/>
        <v>44408</v>
      </c>
      <c r="M18" s="264">
        <f t="shared" si="2"/>
        <v>44439</v>
      </c>
      <c r="N18" s="264">
        <f t="shared" si="2"/>
        <v>44469</v>
      </c>
      <c r="O18" s="264">
        <f t="shared" si="2"/>
        <v>44500</v>
      </c>
      <c r="P18" s="264">
        <f t="shared" si="2"/>
        <v>44530</v>
      </c>
      <c r="Q18" s="264">
        <f t="shared" si="2"/>
        <v>44561</v>
      </c>
      <c r="R18" s="264">
        <f t="shared" si="2"/>
        <v>44592</v>
      </c>
      <c r="S18" s="264">
        <f t="shared" si="2"/>
        <v>44620</v>
      </c>
      <c r="T18" s="264">
        <f t="shared" si="2"/>
        <v>44651</v>
      </c>
      <c r="U18" s="264">
        <f t="shared" si="2"/>
        <v>44681</v>
      </c>
      <c r="V18" s="264">
        <f t="shared" si="2"/>
        <v>44712</v>
      </c>
      <c r="W18" s="264">
        <f t="shared" si="2"/>
        <v>44742</v>
      </c>
      <c r="X18" s="264">
        <f t="shared" si="2"/>
        <v>44773</v>
      </c>
      <c r="Y18" s="264">
        <f t="shared" si="2"/>
        <v>44804</v>
      </c>
      <c r="Z18" s="264">
        <f t="shared" si="2"/>
        <v>44834</v>
      </c>
      <c r="AA18" s="264">
        <f t="shared" si="2"/>
        <v>44865</v>
      </c>
      <c r="AB18" s="264">
        <f t="shared" si="2"/>
        <v>44895</v>
      </c>
      <c r="AC18" s="264">
        <f t="shared" si="2"/>
        <v>44926</v>
      </c>
      <c r="AD18" s="264">
        <f t="shared" si="2"/>
        <v>44957</v>
      </c>
      <c r="AE18" s="264">
        <f t="shared" si="2"/>
        <v>44985</v>
      </c>
      <c r="AF18" s="264">
        <f t="shared" si="2"/>
        <v>45016</v>
      </c>
      <c r="AG18" s="264">
        <f t="shared" si="2"/>
        <v>45046</v>
      </c>
      <c r="AH18" s="264">
        <f t="shared" si="2"/>
        <v>45077</v>
      </c>
      <c r="AI18" s="264">
        <f t="shared" si="2"/>
        <v>45107</v>
      </c>
      <c r="AJ18" s="264">
        <f t="shared" si="2"/>
        <v>45138</v>
      </c>
      <c r="AK18" s="264">
        <f t="shared" si="2"/>
        <v>45169</v>
      </c>
      <c r="AL18" s="264">
        <f t="shared" si="2"/>
        <v>45199</v>
      </c>
      <c r="AM18" s="264">
        <f t="shared" si="2"/>
        <v>45230</v>
      </c>
      <c r="AN18" s="264">
        <f t="shared" si="2"/>
        <v>45260</v>
      </c>
      <c r="AO18" s="264">
        <f t="shared" si="2"/>
        <v>45291</v>
      </c>
      <c r="AP18" s="264">
        <f t="shared" si="2"/>
        <v>45322</v>
      </c>
      <c r="AQ18" s="264">
        <f t="shared" si="2"/>
        <v>45351</v>
      </c>
      <c r="AR18" s="264">
        <f t="shared" si="2"/>
        <v>45382</v>
      </c>
      <c r="AS18" s="264">
        <f t="shared" si="2"/>
        <v>45412</v>
      </c>
      <c r="AT18" s="264">
        <f t="shared" si="2"/>
        <v>45443</v>
      </c>
      <c r="AU18" s="264">
        <f t="shared" si="2"/>
        <v>45473</v>
      </c>
      <c r="AV18" s="264">
        <f t="shared" si="2"/>
        <v>45504</v>
      </c>
      <c r="AW18" s="264">
        <f t="shared" si="2"/>
        <v>45535</v>
      </c>
      <c r="AX18" s="264">
        <f t="shared" si="2"/>
        <v>45565</v>
      </c>
      <c r="AY18" s="264">
        <f t="shared" si="2"/>
        <v>45596</v>
      </c>
      <c r="AZ18" s="264">
        <f t="shared" si="2"/>
        <v>45626</v>
      </c>
      <c r="BA18" s="264">
        <f t="shared" si="2"/>
        <v>45657</v>
      </c>
      <c r="BB18" s="264">
        <f t="shared" si="2"/>
        <v>45688</v>
      </c>
      <c r="BC18" s="264">
        <f t="shared" si="2"/>
        <v>45716</v>
      </c>
      <c r="BD18" s="264">
        <f t="shared" si="2"/>
        <v>45747</v>
      </c>
      <c r="BE18" s="264">
        <f t="shared" si="2"/>
        <v>45777</v>
      </c>
      <c r="BF18" s="264">
        <f t="shared" si="2"/>
        <v>45808</v>
      </c>
      <c r="BG18" s="264">
        <f t="shared" si="2"/>
        <v>45838</v>
      </c>
      <c r="BH18" s="264">
        <f t="shared" si="2"/>
        <v>45869</v>
      </c>
      <c r="BI18" s="264">
        <f t="shared" si="2"/>
        <v>45900</v>
      </c>
      <c r="BJ18" s="264">
        <f t="shared" si="2"/>
        <v>45930</v>
      </c>
      <c r="BK18" s="264">
        <f t="shared" si="2"/>
        <v>45961</v>
      </c>
      <c r="BL18" s="264">
        <f t="shared" si="2"/>
        <v>45991</v>
      </c>
      <c r="BM18" s="264">
        <f t="shared" si="2"/>
        <v>46022</v>
      </c>
      <c r="BN18" s="264">
        <f t="shared" si="2"/>
        <v>46053</v>
      </c>
      <c r="BO18" s="264">
        <f t="shared" si="2"/>
        <v>46081</v>
      </c>
      <c r="BP18" s="264">
        <f t="shared" si="2"/>
        <v>46112</v>
      </c>
      <c r="BQ18" s="264">
        <f t="shared" si="2"/>
        <v>46142</v>
      </c>
      <c r="BR18" s="264">
        <f t="shared" si="2"/>
        <v>46173</v>
      </c>
      <c r="BS18" s="264">
        <f t="shared" ref="BS18:CK18" si="3">EOMONTH(BR18,1)</f>
        <v>46203</v>
      </c>
      <c r="BT18" s="264">
        <f t="shared" si="3"/>
        <v>46234</v>
      </c>
      <c r="BU18" s="264">
        <f t="shared" si="3"/>
        <v>46265</v>
      </c>
      <c r="BV18" s="264">
        <f t="shared" si="3"/>
        <v>46295</v>
      </c>
      <c r="BW18" s="264">
        <f t="shared" si="3"/>
        <v>46326</v>
      </c>
      <c r="BX18" s="264">
        <f t="shared" si="3"/>
        <v>46356</v>
      </c>
      <c r="BY18" s="264">
        <f t="shared" si="3"/>
        <v>46387</v>
      </c>
      <c r="BZ18" s="264">
        <f t="shared" si="3"/>
        <v>46418</v>
      </c>
      <c r="CA18" s="264">
        <f t="shared" si="3"/>
        <v>46446</v>
      </c>
      <c r="CB18" s="264">
        <f t="shared" si="3"/>
        <v>46477</v>
      </c>
      <c r="CC18" s="264">
        <f t="shared" si="3"/>
        <v>46507</v>
      </c>
      <c r="CD18" s="264">
        <f t="shared" si="3"/>
        <v>46538</v>
      </c>
      <c r="CE18" s="264">
        <f t="shared" si="3"/>
        <v>46568</v>
      </c>
      <c r="CF18" s="264">
        <f t="shared" si="3"/>
        <v>46599</v>
      </c>
      <c r="CG18" s="264">
        <f t="shared" si="3"/>
        <v>46630</v>
      </c>
      <c r="CH18" s="264">
        <f t="shared" si="3"/>
        <v>46660</v>
      </c>
      <c r="CI18" s="264">
        <f t="shared" si="3"/>
        <v>46691</v>
      </c>
      <c r="CJ18" s="264">
        <f t="shared" si="3"/>
        <v>46721</v>
      </c>
      <c r="CK18" s="265">
        <f t="shared" si="3"/>
        <v>46752</v>
      </c>
      <c r="CL18" s="133" t="s">
        <v>15</v>
      </c>
    </row>
    <row r="19" spans="2:90" ht="15" customHeight="1" x14ac:dyDescent="0.25">
      <c r="D19" s="146" t="s">
        <v>192</v>
      </c>
      <c r="E19" s="266">
        <v>31</v>
      </c>
      <c r="F19" s="267">
        <f>F18-E18</f>
        <v>31</v>
      </c>
      <c r="G19" s="267">
        <f t="shared" ref="G19:BR19" si="4">G18-F18</f>
        <v>28</v>
      </c>
      <c r="H19" s="267">
        <f t="shared" si="4"/>
        <v>31</v>
      </c>
      <c r="I19" s="267">
        <f t="shared" si="4"/>
        <v>30</v>
      </c>
      <c r="J19" s="267">
        <f t="shared" si="4"/>
        <v>31</v>
      </c>
      <c r="K19" s="267">
        <f t="shared" si="4"/>
        <v>30</v>
      </c>
      <c r="L19" s="267">
        <f t="shared" si="4"/>
        <v>31</v>
      </c>
      <c r="M19" s="267">
        <f t="shared" si="4"/>
        <v>31</v>
      </c>
      <c r="N19" s="267">
        <f t="shared" si="4"/>
        <v>30</v>
      </c>
      <c r="O19" s="267">
        <f t="shared" si="4"/>
        <v>31</v>
      </c>
      <c r="P19" s="267">
        <f t="shared" si="4"/>
        <v>30</v>
      </c>
      <c r="Q19" s="267">
        <f t="shared" si="4"/>
        <v>31</v>
      </c>
      <c r="R19" s="267">
        <f t="shared" si="4"/>
        <v>31</v>
      </c>
      <c r="S19" s="267">
        <f t="shared" si="4"/>
        <v>28</v>
      </c>
      <c r="T19" s="267">
        <f t="shared" si="4"/>
        <v>31</v>
      </c>
      <c r="U19" s="267">
        <f t="shared" si="4"/>
        <v>30</v>
      </c>
      <c r="V19" s="267">
        <f t="shared" si="4"/>
        <v>31</v>
      </c>
      <c r="W19" s="267">
        <f t="shared" si="4"/>
        <v>30</v>
      </c>
      <c r="X19" s="267">
        <f t="shared" si="4"/>
        <v>31</v>
      </c>
      <c r="Y19" s="267">
        <f t="shared" si="4"/>
        <v>31</v>
      </c>
      <c r="Z19" s="267">
        <f t="shared" si="4"/>
        <v>30</v>
      </c>
      <c r="AA19" s="267">
        <f t="shared" si="4"/>
        <v>31</v>
      </c>
      <c r="AB19" s="267">
        <f t="shared" si="4"/>
        <v>30</v>
      </c>
      <c r="AC19" s="267">
        <f t="shared" si="4"/>
        <v>31</v>
      </c>
      <c r="AD19" s="267">
        <f t="shared" si="4"/>
        <v>31</v>
      </c>
      <c r="AE19" s="267">
        <f t="shared" si="4"/>
        <v>28</v>
      </c>
      <c r="AF19" s="267">
        <f t="shared" si="4"/>
        <v>31</v>
      </c>
      <c r="AG19" s="267">
        <f t="shared" si="4"/>
        <v>30</v>
      </c>
      <c r="AH19" s="267">
        <f t="shared" si="4"/>
        <v>31</v>
      </c>
      <c r="AI19" s="267">
        <f t="shared" si="4"/>
        <v>30</v>
      </c>
      <c r="AJ19" s="267">
        <f t="shared" si="4"/>
        <v>31</v>
      </c>
      <c r="AK19" s="267">
        <f t="shared" si="4"/>
        <v>31</v>
      </c>
      <c r="AL19" s="267">
        <f t="shared" si="4"/>
        <v>30</v>
      </c>
      <c r="AM19" s="267">
        <f t="shared" si="4"/>
        <v>31</v>
      </c>
      <c r="AN19" s="267">
        <f t="shared" si="4"/>
        <v>30</v>
      </c>
      <c r="AO19" s="267">
        <f t="shared" si="4"/>
        <v>31</v>
      </c>
      <c r="AP19" s="267">
        <f t="shared" si="4"/>
        <v>31</v>
      </c>
      <c r="AQ19" s="267">
        <f t="shared" si="4"/>
        <v>29</v>
      </c>
      <c r="AR19" s="267">
        <f t="shared" si="4"/>
        <v>31</v>
      </c>
      <c r="AS19" s="267">
        <f t="shared" si="4"/>
        <v>30</v>
      </c>
      <c r="AT19" s="267">
        <f t="shared" si="4"/>
        <v>31</v>
      </c>
      <c r="AU19" s="267">
        <f t="shared" si="4"/>
        <v>30</v>
      </c>
      <c r="AV19" s="267">
        <f t="shared" si="4"/>
        <v>31</v>
      </c>
      <c r="AW19" s="267">
        <f t="shared" si="4"/>
        <v>31</v>
      </c>
      <c r="AX19" s="267">
        <f t="shared" si="4"/>
        <v>30</v>
      </c>
      <c r="AY19" s="267">
        <f t="shared" si="4"/>
        <v>31</v>
      </c>
      <c r="AZ19" s="267">
        <f t="shared" si="4"/>
        <v>30</v>
      </c>
      <c r="BA19" s="267">
        <f t="shared" si="4"/>
        <v>31</v>
      </c>
      <c r="BB19" s="267">
        <f t="shared" si="4"/>
        <v>31</v>
      </c>
      <c r="BC19" s="267">
        <f t="shared" si="4"/>
        <v>28</v>
      </c>
      <c r="BD19" s="267">
        <f t="shared" si="4"/>
        <v>31</v>
      </c>
      <c r="BE19" s="267">
        <f t="shared" si="4"/>
        <v>30</v>
      </c>
      <c r="BF19" s="267">
        <f t="shared" si="4"/>
        <v>31</v>
      </c>
      <c r="BG19" s="267">
        <f t="shared" si="4"/>
        <v>30</v>
      </c>
      <c r="BH19" s="267">
        <f t="shared" si="4"/>
        <v>31</v>
      </c>
      <c r="BI19" s="267">
        <f t="shared" si="4"/>
        <v>31</v>
      </c>
      <c r="BJ19" s="267">
        <f t="shared" si="4"/>
        <v>30</v>
      </c>
      <c r="BK19" s="267">
        <f t="shared" si="4"/>
        <v>31</v>
      </c>
      <c r="BL19" s="267">
        <f t="shared" si="4"/>
        <v>30</v>
      </c>
      <c r="BM19" s="267">
        <f t="shared" si="4"/>
        <v>31</v>
      </c>
      <c r="BN19" s="267">
        <f t="shared" si="4"/>
        <v>31</v>
      </c>
      <c r="BO19" s="267">
        <f t="shared" si="4"/>
        <v>28</v>
      </c>
      <c r="BP19" s="267">
        <f t="shared" si="4"/>
        <v>31</v>
      </c>
      <c r="BQ19" s="267">
        <f t="shared" si="4"/>
        <v>30</v>
      </c>
      <c r="BR19" s="267">
        <f t="shared" si="4"/>
        <v>31</v>
      </c>
      <c r="BS19" s="267">
        <f t="shared" ref="BS19:CK19" si="5">BS18-BR18</f>
        <v>30</v>
      </c>
      <c r="BT19" s="267">
        <f t="shared" si="5"/>
        <v>31</v>
      </c>
      <c r="BU19" s="267">
        <f t="shared" si="5"/>
        <v>31</v>
      </c>
      <c r="BV19" s="267">
        <f t="shared" si="5"/>
        <v>30</v>
      </c>
      <c r="BW19" s="267">
        <f t="shared" si="5"/>
        <v>31</v>
      </c>
      <c r="BX19" s="267">
        <f t="shared" si="5"/>
        <v>30</v>
      </c>
      <c r="BY19" s="267">
        <f t="shared" si="5"/>
        <v>31</v>
      </c>
      <c r="BZ19" s="267">
        <f t="shared" si="5"/>
        <v>31</v>
      </c>
      <c r="CA19" s="267">
        <f t="shared" si="5"/>
        <v>28</v>
      </c>
      <c r="CB19" s="267">
        <f t="shared" si="5"/>
        <v>31</v>
      </c>
      <c r="CC19" s="267">
        <f t="shared" si="5"/>
        <v>30</v>
      </c>
      <c r="CD19" s="267">
        <f t="shared" si="5"/>
        <v>31</v>
      </c>
      <c r="CE19" s="267">
        <f t="shared" si="5"/>
        <v>30</v>
      </c>
      <c r="CF19" s="267">
        <f t="shared" si="5"/>
        <v>31</v>
      </c>
      <c r="CG19" s="267">
        <f t="shared" si="5"/>
        <v>31</v>
      </c>
      <c r="CH19" s="267">
        <f t="shared" si="5"/>
        <v>30</v>
      </c>
      <c r="CI19" s="267">
        <f t="shared" si="5"/>
        <v>31</v>
      </c>
      <c r="CJ19" s="267">
        <f t="shared" si="5"/>
        <v>30</v>
      </c>
      <c r="CK19" s="268">
        <f t="shared" si="5"/>
        <v>31</v>
      </c>
      <c r="CL19" s="131" t="s">
        <v>15</v>
      </c>
    </row>
    <row r="21" spans="2:90" ht="15" customHeight="1" x14ac:dyDescent="0.25">
      <c r="B21" s="132" t="s">
        <v>193</v>
      </c>
    </row>
    <row r="22" spans="2:90" s="21" customFormat="1" ht="10.15" customHeight="1" x14ac:dyDescent="0.25">
      <c r="B22" s="22"/>
      <c r="C22" s="23"/>
      <c r="D22" s="23"/>
      <c r="E22" s="23"/>
      <c r="O22" s="13"/>
      <c r="P22" s="13"/>
      <c r="Q22" s="13"/>
      <c r="R22" s="13"/>
      <c r="S22" s="13"/>
      <c r="T22" s="13"/>
      <c r="U22" s="13"/>
      <c r="V22" s="13"/>
      <c r="W22" s="13"/>
      <c r="X22" s="13"/>
      <c r="Y22" s="13"/>
      <c r="Z22" s="13"/>
      <c r="AA22" s="13"/>
      <c r="AB22" s="13"/>
      <c r="AC22" s="13"/>
      <c r="AD22" s="13"/>
      <c r="AE22" s="13"/>
      <c r="AF22" s="13"/>
      <c r="AG22" s="13"/>
    </row>
    <row r="23" spans="2:90" ht="15" customHeight="1" x14ac:dyDescent="0.2">
      <c r="B23" s="255" t="s">
        <v>323</v>
      </c>
      <c r="E23" s="395">
        <f ca="1">'Provided - CAP Acct. 1'!I117</f>
        <v>-8230674.0506961914</v>
      </c>
      <c r="F23" s="395">
        <f ca="1">'Provided - CAP Acct. 1'!J117</f>
        <v>-317092.54530666658</v>
      </c>
      <c r="G23" s="395">
        <f ca="1">'Provided - CAP Acct. 1'!K117</f>
        <v>-317300.16848857136</v>
      </c>
      <c r="H23" s="395">
        <f ca="1">'Provided - CAP Acct. 1'!L117</f>
        <v>-340863.15153714281</v>
      </c>
      <c r="I23" s="395">
        <f ca="1">'Provided - CAP Acct. 1'!M117</f>
        <v>-323569.8146857142</v>
      </c>
      <c r="J23" s="395">
        <f ca="1">'Provided - CAP Acct. 1'!N117</f>
        <v>-274735.07211428572</v>
      </c>
      <c r="K23" s="395">
        <f ca="1">'Provided - CAP Acct. 1'!O117</f>
        <v>-462427.27727619046</v>
      </c>
      <c r="L23" s="395">
        <f ca="1">'Provided - CAP Acct. 1'!P117</f>
        <v>-704459.01495283213</v>
      </c>
      <c r="M23" s="395">
        <f ca="1">'Provided - CAP Acct. 1'!Q117</f>
        <v>-704923.82262947364</v>
      </c>
      <c r="N23" s="395">
        <f ca="1">'Provided - CAP Acct. 1'!R117</f>
        <v>-584788.26806516084</v>
      </c>
      <c r="O23" s="395">
        <f ca="1">'Provided - CAP Acct. 1'!S117</f>
        <v>-8096.7686666666668</v>
      </c>
      <c r="P23" s="395">
        <f ca="1">'Provided - CAP Acct. 1'!T117</f>
        <v>-8096.7686666666668</v>
      </c>
      <c r="Q23" s="395">
        <f ca="1">'Provided - CAP Acct. 1'!U117</f>
        <v>-8096.7686666666668</v>
      </c>
      <c r="R23" s="395">
        <f ca="1">'Provided - CAP Acct. 1'!V117</f>
        <v>-8096.7686666666668</v>
      </c>
      <c r="S23" s="395">
        <f ca="1">'Provided - CAP Acct. 1'!W117</f>
        <v>-8096.7686666666668</v>
      </c>
      <c r="T23" s="395">
        <f ca="1">'Provided - CAP Acct. 1'!X117</f>
        <v>-8096.7686666666668</v>
      </c>
      <c r="U23" s="395">
        <f ca="1">'Provided - CAP Acct. 1'!Y117</f>
        <v>-8096.7686666666668</v>
      </c>
      <c r="V23" s="395">
        <f ca="1">'Provided - CAP Acct. 1'!Z117</f>
        <v>-8096.7686666666668</v>
      </c>
      <c r="W23" s="395">
        <f ca="1">'Provided - CAP Acct. 1'!AA117</f>
        <v>-8096.7686666666668</v>
      </c>
      <c r="X23" s="395">
        <f ca="1">'Provided - CAP Acct. 1'!AB117</f>
        <v>-8096.7686666666668</v>
      </c>
      <c r="Y23" s="395">
        <f ca="1">'Provided - CAP Acct. 1'!AC117</f>
        <v>-8096.7686666666668</v>
      </c>
      <c r="Z23" s="395">
        <f ca="1">'Provided - CAP Acct. 1'!AD117</f>
        <v>-8096.7686666666668</v>
      </c>
      <c r="AA23" s="395">
        <f ca="1">'Provided - CAP Acct. 1'!AE117</f>
        <v>-8096.7686666666668</v>
      </c>
      <c r="AB23" s="395">
        <f ca="1">'Provided - CAP Acct. 1'!AF117</f>
        <v>-8096.7686666666668</v>
      </c>
      <c r="AC23" s="395">
        <f ca="1">'Provided - CAP Acct. 1'!AG117</f>
        <v>-8096.7686666666668</v>
      </c>
      <c r="AD23" s="395">
        <f ca="1">'Provided - CAP Acct. 1'!AH117</f>
        <v>-8096.7686666666668</v>
      </c>
      <c r="AE23" s="395">
        <f ca="1">'Provided - CAP Acct. 1'!AI117</f>
        <v>-8096.7686666666668</v>
      </c>
      <c r="AF23" s="395">
        <f ca="1">'Provided - CAP Acct. 1'!AJ117</f>
        <v>-8096.7686666666668</v>
      </c>
      <c r="AG23" s="395">
        <f ca="1">'Provided - CAP Acct. 1'!AK117</f>
        <v>-8096.7686666666668</v>
      </c>
      <c r="AH23" s="395">
        <f ca="1">'Provided - CAP Acct. 1'!AL117</f>
        <v>-8096.7686666666668</v>
      </c>
      <c r="AI23" s="395">
        <f ca="1">'Provided - CAP Acct. 1'!AM117</f>
        <v>-8096.7686666666668</v>
      </c>
      <c r="AJ23" s="395">
        <f ca="1">'Provided - CAP Acct. 1'!AN117</f>
        <v>-8096.7686666666668</v>
      </c>
      <c r="AK23" s="395">
        <f ca="1">'Provided - CAP Acct. 1'!AO117</f>
        <v>-8096.7686666666668</v>
      </c>
      <c r="AL23" s="395">
        <f ca="1">'Provided - CAP Acct. 1'!AP117</f>
        <v>-8096.7686666666668</v>
      </c>
      <c r="AM23" s="395">
        <f ca="1">'Provided - CAP Acct. 1'!AQ117</f>
        <v>-8096.7686666666668</v>
      </c>
      <c r="AN23" s="395">
        <f ca="1">'Provided - CAP Acct. 1'!AR117</f>
        <v>-8096.7686666666668</v>
      </c>
      <c r="AO23" s="395">
        <f ca="1">'Provided - CAP Acct. 1'!AS117</f>
        <v>20377454.355182163</v>
      </c>
      <c r="AP23" s="395">
        <f ca="1">'Provided - CAP Acct. 1'!AT117</f>
        <v>110073.79706883527</v>
      </c>
      <c r="AQ23" s="395">
        <f ca="1">'Provided - CAP Acct. 1'!AU117</f>
        <v>110073.79706883527</v>
      </c>
      <c r="AR23" s="395">
        <f ca="1">'Provided - CAP Acct. 1'!AV117</f>
        <v>110073.79706883527</v>
      </c>
      <c r="AS23" s="395">
        <f ca="1">'Provided - CAP Acct. 1'!AW117</f>
        <v>110073.79706883527</v>
      </c>
      <c r="AT23" s="395">
        <f ca="1">'Provided - CAP Acct. 1'!AX117</f>
        <v>110073.79706883527</v>
      </c>
      <c r="AU23" s="395">
        <f ca="1">'Provided - CAP Acct. 1'!AY117</f>
        <v>110073.79706883527</v>
      </c>
      <c r="AV23" s="395">
        <f ca="1">'Provided - CAP Acct. 1'!AZ117</f>
        <v>110073.79706883527</v>
      </c>
      <c r="AW23" s="395">
        <f ca="1">'Provided - CAP Acct. 1'!BA117</f>
        <v>110073.79706883527</v>
      </c>
      <c r="AX23" s="395">
        <f ca="1">'Provided - CAP Acct. 1'!BB117</f>
        <v>110073.79706883527</v>
      </c>
      <c r="AY23" s="395">
        <f ca="1">'Provided - CAP Acct. 1'!BC117</f>
        <v>110073.79706883527</v>
      </c>
      <c r="AZ23" s="395">
        <f ca="1">'Provided - CAP Acct. 1'!BD117</f>
        <v>110073.79706883527</v>
      </c>
      <c r="BA23" s="395">
        <f ca="1">'Provided - CAP Acct. 1'!BE117</f>
        <v>110073.79706883527</v>
      </c>
      <c r="BB23" s="395">
        <f ca="1">'Provided - CAP Acct. 1'!BF117</f>
        <v>92276.448121092428</v>
      </c>
      <c r="BC23" s="395">
        <f ca="1">'Provided - CAP Acct. 1'!BG117</f>
        <v>92276.448121092428</v>
      </c>
      <c r="BD23" s="395">
        <f ca="1">'Provided - CAP Acct. 1'!BH117</f>
        <v>92276.448121092428</v>
      </c>
      <c r="BE23" s="395">
        <f ca="1">'Provided - CAP Acct. 1'!BI117</f>
        <v>92276.448121092428</v>
      </c>
      <c r="BF23" s="395">
        <f ca="1">'Provided - CAP Acct. 1'!BJ117</f>
        <v>92276.448121092428</v>
      </c>
      <c r="BG23" s="395">
        <f ca="1">'Provided - CAP Acct. 1'!BK117</f>
        <v>92276.448121092428</v>
      </c>
      <c r="BH23" s="395">
        <f ca="1">'Provided - CAP Acct. 1'!BL117</f>
        <v>92276.448121092428</v>
      </c>
      <c r="BI23" s="395">
        <f ca="1">'Provided - CAP Acct. 1'!BM117</f>
        <v>92276.448121092428</v>
      </c>
      <c r="BJ23" s="395">
        <f ca="1">'Provided - CAP Acct. 1'!BN117</f>
        <v>92276.448121092428</v>
      </c>
      <c r="BK23" s="395">
        <f ca="1">'Provided - CAP Acct. 1'!BO117</f>
        <v>92276.448121092428</v>
      </c>
      <c r="BL23" s="395">
        <f ca="1">'Provided - CAP Acct. 1'!BP117</f>
        <v>92276.448121092428</v>
      </c>
      <c r="BM23" s="395">
        <f ca="1">'Provided - CAP Acct. 1'!BQ117</f>
        <v>92276.448121092428</v>
      </c>
      <c r="BN23" s="395">
        <f ca="1">'Provided - CAP Acct. 1'!BR117</f>
        <v>106921.35986988785</v>
      </c>
      <c r="BO23" s="395">
        <f ca="1">'Provided - CAP Acct. 1'!BS117</f>
        <v>106921.35986988785</v>
      </c>
      <c r="BP23" s="395">
        <f ca="1">'Provided - CAP Acct. 1'!BT117</f>
        <v>106921.35986988785</v>
      </c>
      <c r="BQ23" s="395">
        <f ca="1">'Provided - CAP Acct. 1'!BU117</f>
        <v>106921.35986988785</v>
      </c>
      <c r="BR23" s="395">
        <f ca="1">'Provided - CAP Acct. 1'!BV117</f>
        <v>106921.35986988785</v>
      </c>
      <c r="BS23" s="395">
        <f ca="1">'Provided - CAP Acct. 1'!BW117</f>
        <v>106921.35986988785</v>
      </c>
      <c r="BT23" s="395">
        <f ca="1">'Provided - CAP Acct. 1'!BX117</f>
        <v>106921.35986988785</v>
      </c>
      <c r="BU23" s="395">
        <f ca="1">'Provided - CAP Acct. 1'!BY117</f>
        <v>106921.35986988785</v>
      </c>
      <c r="BV23" s="395">
        <f ca="1">'Provided - CAP Acct. 1'!BZ117</f>
        <v>106921.35986988785</v>
      </c>
      <c r="BW23" s="395">
        <f ca="1">'Provided - CAP Acct. 1'!CA117</f>
        <v>106921.35986988785</v>
      </c>
      <c r="BX23" s="395">
        <f ca="1">'Provided - CAP Acct. 1'!CB117</f>
        <v>106921.35986988785</v>
      </c>
      <c r="BY23" s="395">
        <f ca="1">'Provided - CAP Acct. 1'!CC117</f>
        <v>12719474.3621164</v>
      </c>
      <c r="BZ23" s="395">
        <f ca="1">'Provided - CAP Acct. 1'!CD117</f>
        <v>0</v>
      </c>
      <c r="CA23" s="395">
        <f ca="1">'Provided - CAP Acct. 1'!CE117</f>
        <v>0</v>
      </c>
      <c r="CB23" s="395">
        <f ca="1">'Provided - CAP Acct. 1'!CF117</f>
        <v>0</v>
      </c>
      <c r="CC23" s="395">
        <f ca="1">'Provided - CAP Acct. 1'!CG117</f>
        <v>0</v>
      </c>
      <c r="CD23" s="395">
        <f ca="1">'Provided - CAP Acct. 1'!CH117</f>
        <v>0</v>
      </c>
      <c r="CE23" s="395">
        <f ca="1">'Provided - CAP Acct. 1'!CI117</f>
        <v>0</v>
      </c>
      <c r="CF23" s="395">
        <f ca="1">'Provided - CAP Acct. 1'!CJ117</f>
        <v>0</v>
      </c>
      <c r="CG23" s="395">
        <f ca="1">'Provided - CAP Acct. 1'!CK117</f>
        <v>0</v>
      </c>
      <c r="CH23" s="395">
        <f ca="1">'Provided - CAP Acct. 1'!CL117</f>
        <v>0</v>
      </c>
      <c r="CI23" s="395">
        <f ca="1">'Provided - CAP Acct. 1'!CM117</f>
        <v>0</v>
      </c>
      <c r="CJ23" s="395">
        <f ca="1">'Provided - CAP Acct. 1'!CN117</f>
        <v>0</v>
      </c>
      <c r="CK23" s="395">
        <f ca="1">'Provided - CAP Acct. 1'!CO117</f>
        <v>0</v>
      </c>
      <c r="CL23" s="133" t="s">
        <v>15</v>
      </c>
    </row>
    <row r="24" spans="2:90" ht="15" customHeight="1" x14ac:dyDescent="0.2">
      <c r="CL24" s="133"/>
    </row>
    <row r="25" spans="2:90" ht="15" customHeight="1" x14ac:dyDescent="0.2">
      <c r="B25" s="272" t="s">
        <v>244</v>
      </c>
      <c r="C25" s="273"/>
      <c r="D25" s="273"/>
      <c r="E25" s="392">
        <f ca="1">XIRR($E$23:$CK$23,HoldingDates)</f>
        <v>0.33352790474891658</v>
      </c>
      <c r="CL25" s="133"/>
    </row>
    <row r="26" spans="2:90" ht="15" customHeight="1" x14ac:dyDescent="0.2">
      <c r="B26" s="275" t="s">
        <v>218</v>
      </c>
      <c r="E26" s="393">
        <f ca="1">SUMIF($E23:$CK23,"&gt;0")/-SUMIF($E23:$CK23,"&lt;0")</f>
        <v>2.942846528845271</v>
      </c>
      <c r="CL26" s="133"/>
    </row>
    <row r="27" spans="2:90" ht="15" customHeight="1" x14ac:dyDescent="0.2">
      <c r="B27" s="277" t="s">
        <v>220</v>
      </c>
      <c r="C27" s="278"/>
      <c r="D27" s="278"/>
      <c r="E27" s="394">
        <f ca="1">SUM(E23:CK23)</f>
        <v>24229917.447060935</v>
      </c>
      <c r="CL27" s="133"/>
    </row>
    <row r="28" spans="2:90" ht="15" customHeight="1" x14ac:dyDescent="0.2">
      <c r="CL28" s="133"/>
    </row>
    <row r="29" spans="2:90" ht="15" customHeight="1" x14ac:dyDescent="0.25">
      <c r="B29" s="132" t="s">
        <v>256</v>
      </c>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row>
    <row r="30" spans="2:90" s="21" customFormat="1" ht="10.15" customHeight="1" x14ac:dyDescent="0.25">
      <c r="B30" s="22"/>
      <c r="C30" s="23"/>
      <c r="D30" s="23"/>
      <c r="E30" s="23"/>
      <c r="O30" s="13"/>
      <c r="P30" s="13"/>
      <c r="Q30" s="13"/>
      <c r="R30" s="13"/>
      <c r="S30" s="13"/>
      <c r="T30" s="13"/>
      <c r="U30" s="13"/>
      <c r="V30" s="13"/>
      <c r="W30" s="13"/>
      <c r="X30" s="13"/>
      <c r="Y30" s="13"/>
      <c r="Z30" s="13"/>
      <c r="AA30" s="13"/>
      <c r="AB30" s="13"/>
      <c r="AC30" s="13"/>
      <c r="AD30" s="13"/>
      <c r="AE30" s="13"/>
      <c r="AF30" s="13"/>
      <c r="AG30" s="13"/>
    </row>
    <row r="31" spans="2:90" ht="15" customHeight="1" outlineLevel="1" x14ac:dyDescent="0.2">
      <c r="B31" s="133" t="s">
        <v>260</v>
      </c>
      <c r="C31" s="133"/>
      <c r="D31" s="133"/>
      <c r="E31" s="395">
        <f ca="1">MAX(E23,0)</f>
        <v>0</v>
      </c>
      <c r="F31" s="395">
        <f t="shared" ref="F31:BQ31" ca="1" si="6">MAX(F23,0)</f>
        <v>0</v>
      </c>
      <c r="G31" s="395">
        <f t="shared" ca="1" si="6"/>
        <v>0</v>
      </c>
      <c r="H31" s="395">
        <f t="shared" ca="1" si="6"/>
        <v>0</v>
      </c>
      <c r="I31" s="395">
        <f t="shared" ca="1" si="6"/>
        <v>0</v>
      </c>
      <c r="J31" s="395">
        <f t="shared" ca="1" si="6"/>
        <v>0</v>
      </c>
      <c r="K31" s="395">
        <f t="shared" ca="1" si="6"/>
        <v>0</v>
      </c>
      <c r="L31" s="395">
        <f t="shared" ca="1" si="6"/>
        <v>0</v>
      </c>
      <c r="M31" s="395">
        <f t="shared" ca="1" si="6"/>
        <v>0</v>
      </c>
      <c r="N31" s="395">
        <f t="shared" ca="1" si="6"/>
        <v>0</v>
      </c>
      <c r="O31" s="395">
        <f t="shared" ca="1" si="6"/>
        <v>0</v>
      </c>
      <c r="P31" s="395">
        <f t="shared" ca="1" si="6"/>
        <v>0</v>
      </c>
      <c r="Q31" s="395">
        <f t="shared" ca="1" si="6"/>
        <v>0</v>
      </c>
      <c r="R31" s="395">
        <f t="shared" ca="1" si="6"/>
        <v>0</v>
      </c>
      <c r="S31" s="395">
        <f t="shared" ca="1" si="6"/>
        <v>0</v>
      </c>
      <c r="T31" s="395">
        <f t="shared" ca="1" si="6"/>
        <v>0</v>
      </c>
      <c r="U31" s="395">
        <f t="shared" ca="1" si="6"/>
        <v>0</v>
      </c>
      <c r="V31" s="395">
        <f t="shared" ca="1" si="6"/>
        <v>0</v>
      </c>
      <c r="W31" s="395">
        <f t="shared" ca="1" si="6"/>
        <v>0</v>
      </c>
      <c r="X31" s="395">
        <f t="shared" ca="1" si="6"/>
        <v>0</v>
      </c>
      <c r="Y31" s="395">
        <f t="shared" ca="1" si="6"/>
        <v>0</v>
      </c>
      <c r="Z31" s="395">
        <f t="shared" ca="1" si="6"/>
        <v>0</v>
      </c>
      <c r="AA31" s="395">
        <f t="shared" ca="1" si="6"/>
        <v>0</v>
      </c>
      <c r="AB31" s="395">
        <f t="shared" ca="1" si="6"/>
        <v>0</v>
      </c>
      <c r="AC31" s="395">
        <f t="shared" ca="1" si="6"/>
        <v>0</v>
      </c>
      <c r="AD31" s="395">
        <f t="shared" ca="1" si="6"/>
        <v>0</v>
      </c>
      <c r="AE31" s="395">
        <f t="shared" ca="1" si="6"/>
        <v>0</v>
      </c>
      <c r="AF31" s="395">
        <f t="shared" ca="1" si="6"/>
        <v>0</v>
      </c>
      <c r="AG31" s="395">
        <f t="shared" ca="1" si="6"/>
        <v>0</v>
      </c>
      <c r="AH31" s="395">
        <f t="shared" ca="1" si="6"/>
        <v>0</v>
      </c>
      <c r="AI31" s="395">
        <f t="shared" ca="1" si="6"/>
        <v>0</v>
      </c>
      <c r="AJ31" s="395">
        <f t="shared" ca="1" si="6"/>
        <v>0</v>
      </c>
      <c r="AK31" s="395">
        <f t="shared" ca="1" si="6"/>
        <v>0</v>
      </c>
      <c r="AL31" s="395">
        <f t="shared" ca="1" si="6"/>
        <v>0</v>
      </c>
      <c r="AM31" s="395">
        <f t="shared" ca="1" si="6"/>
        <v>0</v>
      </c>
      <c r="AN31" s="395">
        <f t="shared" ca="1" si="6"/>
        <v>0</v>
      </c>
      <c r="AO31" s="395">
        <f t="shared" ca="1" si="6"/>
        <v>20377454.355182163</v>
      </c>
      <c r="AP31" s="395">
        <f t="shared" ca="1" si="6"/>
        <v>110073.79706883527</v>
      </c>
      <c r="AQ31" s="395">
        <f t="shared" ca="1" si="6"/>
        <v>110073.79706883527</v>
      </c>
      <c r="AR31" s="395">
        <f t="shared" ca="1" si="6"/>
        <v>110073.79706883527</v>
      </c>
      <c r="AS31" s="395">
        <f t="shared" ca="1" si="6"/>
        <v>110073.79706883527</v>
      </c>
      <c r="AT31" s="395">
        <f t="shared" ca="1" si="6"/>
        <v>110073.79706883527</v>
      </c>
      <c r="AU31" s="395">
        <f t="shared" ca="1" si="6"/>
        <v>110073.79706883527</v>
      </c>
      <c r="AV31" s="395">
        <f t="shared" ca="1" si="6"/>
        <v>110073.79706883527</v>
      </c>
      <c r="AW31" s="395">
        <f t="shared" ca="1" si="6"/>
        <v>110073.79706883527</v>
      </c>
      <c r="AX31" s="395">
        <f t="shared" ca="1" si="6"/>
        <v>110073.79706883527</v>
      </c>
      <c r="AY31" s="395">
        <f t="shared" ca="1" si="6"/>
        <v>110073.79706883527</v>
      </c>
      <c r="AZ31" s="395">
        <f t="shared" ca="1" si="6"/>
        <v>110073.79706883527</v>
      </c>
      <c r="BA31" s="395">
        <f t="shared" ca="1" si="6"/>
        <v>110073.79706883527</v>
      </c>
      <c r="BB31" s="395">
        <f t="shared" ca="1" si="6"/>
        <v>92276.448121092428</v>
      </c>
      <c r="BC31" s="395">
        <f t="shared" ca="1" si="6"/>
        <v>92276.448121092428</v>
      </c>
      <c r="BD31" s="395">
        <f t="shared" ca="1" si="6"/>
        <v>92276.448121092428</v>
      </c>
      <c r="BE31" s="395">
        <f t="shared" ca="1" si="6"/>
        <v>92276.448121092428</v>
      </c>
      <c r="BF31" s="395">
        <f t="shared" ca="1" si="6"/>
        <v>92276.448121092428</v>
      </c>
      <c r="BG31" s="395">
        <f t="shared" ca="1" si="6"/>
        <v>92276.448121092428</v>
      </c>
      <c r="BH31" s="395">
        <f t="shared" ca="1" si="6"/>
        <v>92276.448121092428</v>
      </c>
      <c r="BI31" s="395">
        <f t="shared" ca="1" si="6"/>
        <v>92276.448121092428</v>
      </c>
      <c r="BJ31" s="395">
        <f t="shared" ca="1" si="6"/>
        <v>92276.448121092428</v>
      </c>
      <c r="BK31" s="395">
        <f t="shared" ca="1" si="6"/>
        <v>92276.448121092428</v>
      </c>
      <c r="BL31" s="395">
        <f t="shared" ca="1" si="6"/>
        <v>92276.448121092428</v>
      </c>
      <c r="BM31" s="395">
        <f t="shared" ca="1" si="6"/>
        <v>92276.448121092428</v>
      </c>
      <c r="BN31" s="395">
        <f t="shared" ca="1" si="6"/>
        <v>106921.35986988785</v>
      </c>
      <c r="BO31" s="395">
        <f t="shared" ca="1" si="6"/>
        <v>106921.35986988785</v>
      </c>
      <c r="BP31" s="395">
        <f t="shared" ca="1" si="6"/>
        <v>106921.35986988785</v>
      </c>
      <c r="BQ31" s="395">
        <f t="shared" ca="1" si="6"/>
        <v>106921.35986988785</v>
      </c>
      <c r="BR31" s="395">
        <f t="shared" ref="BR31:CK31" ca="1" si="7">MAX(BR23,0)</f>
        <v>106921.35986988785</v>
      </c>
      <c r="BS31" s="395">
        <f t="shared" ca="1" si="7"/>
        <v>106921.35986988785</v>
      </c>
      <c r="BT31" s="395">
        <f t="shared" ca="1" si="7"/>
        <v>106921.35986988785</v>
      </c>
      <c r="BU31" s="395">
        <f t="shared" ca="1" si="7"/>
        <v>106921.35986988785</v>
      </c>
      <c r="BV31" s="395">
        <f t="shared" ca="1" si="7"/>
        <v>106921.35986988785</v>
      </c>
      <c r="BW31" s="395">
        <f t="shared" ca="1" si="7"/>
        <v>106921.35986988785</v>
      </c>
      <c r="BX31" s="395">
        <f t="shared" ca="1" si="7"/>
        <v>106921.35986988785</v>
      </c>
      <c r="BY31" s="395">
        <f t="shared" ca="1" si="7"/>
        <v>12719474.3621164</v>
      </c>
      <c r="BZ31" s="395">
        <f t="shared" ca="1" si="7"/>
        <v>0</v>
      </c>
      <c r="CA31" s="395">
        <f t="shared" ca="1" si="7"/>
        <v>0</v>
      </c>
      <c r="CB31" s="395">
        <f t="shared" ca="1" si="7"/>
        <v>0</v>
      </c>
      <c r="CC31" s="395">
        <f t="shared" ca="1" si="7"/>
        <v>0</v>
      </c>
      <c r="CD31" s="395">
        <f t="shared" ca="1" si="7"/>
        <v>0</v>
      </c>
      <c r="CE31" s="395">
        <f t="shared" ca="1" si="7"/>
        <v>0</v>
      </c>
      <c r="CF31" s="395">
        <f t="shared" ca="1" si="7"/>
        <v>0</v>
      </c>
      <c r="CG31" s="395">
        <f t="shared" ca="1" si="7"/>
        <v>0</v>
      </c>
      <c r="CH31" s="395">
        <f t="shared" ca="1" si="7"/>
        <v>0</v>
      </c>
      <c r="CI31" s="395">
        <f t="shared" ca="1" si="7"/>
        <v>0</v>
      </c>
      <c r="CJ31" s="395">
        <f t="shared" ca="1" si="7"/>
        <v>0</v>
      </c>
      <c r="CK31" s="395">
        <f t="shared" ca="1" si="7"/>
        <v>0</v>
      </c>
      <c r="CL31" s="133" t="s">
        <v>15</v>
      </c>
    </row>
    <row r="32" spans="2:90" ht="15" customHeight="1" outlineLevel="1" x14ac:dyDescent="0.2">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row>
    <row r="33" spans="2:90" ht="15" customHeight="1" outlineLevel="1" x14ac:dyDescent="0.2">
      <c r="B33" s="133" t="s">
        <v>261</v>
      </c>
      <c r="C33" s="133"/>
      <c r="D33" s="133"/>
      <c r="E33" s="395">
        <f>D37</f>
        <v>0</v>
      </c>
      <c r="F33" s="395">
        <f t="shared" ref="F33:BQ33" ca="1" si="8">E37</f>
        <v>9259508.3070332147</v>
      </c>
      <c r="G33" s="395">
        <f t="shared" ca="1" si="8"/>
        <v>9616237.420503214</v>
      </c>
      <c r="H33" s="395">
        <f t="shared" ca="1" si="8"/>
        <v>9973200.1100528575</v>
      </c>
      <c r="I33" s="395">
        <f t="shared" ca="1" si="8"/>
        <v>10356671.155532144</v>
      </c>
      <c r="J33" s="395">
        <f t="shared" ca="1" si="8"/>
        <v>10720687.197053572</v>
      </c>
      <c r="K33" s="395">
        <f t="shared" ca="1" si="8"/>
        <v>11029764.153182143</v>
      </c>
      <c r="L33" s="395">
        <f t="shared" ca="1" si="8"/>
        <v>11549994.840117859</v>
      </c>
      <c r="M33" s="395">
        <f t="shared" ca="1" si="8"/>
        <v>12342511.231939794</v>
      </c>
      <c r="N33" s="395">
        <f t="shared" ca="1" si="8"/>
        <v>13135550.532397954</v>
      </c>
      <c r="O33" s="395">
        <f t="shared" ca="1" si="8"/>
        <v>13793437.33397126</v>
      </c>
      <c r="P33" s="395">
        <f t="shared" ca="1" si="8"/>
        <v>13802546.19872126</v>
      </c>
      <c r="Q33" s="395">
        <f t="shared" ca="1" si="8"/>
        <v>13811655.06347126</v>
      </c>
      <c r="R33" s="395">
        <f t="shared" ca="1" si="8"/>
        <v>13820763.928221259</v>
      </c>
      <c r="S33" s="395">
        <f t="shared" ca="1" si="8"/>
        <v>13829872.792971259</v>
      </c>
      <c r="T33" s="395">
        <f t="shared" ca="1" si="8"/>
        <v>13838981.657721259</v>
      </c>
      <c r="U33" s="395">
        <f t="shared" ca="1" si="8"/>
        <v>13848090.522471258</v>
      </c>
      <c r="V33" s="395">
        <f t="shared" ca="1" si="8"/>
        <v>13857199.387221258</v>
      </c>
      <c r="W33" s="395">
        <f t="shared" ca="1" si="8"/>
        <v>13866308.251971258</v>
      </c>
      <c r="X33" s="395">
        <f t="shared" ca="1" si="8"/>
        <v>13875417.116721258</v>
      </c>
      <c r="Y33" s="395">
        <f t="shared" ca="1" si="8"/>
        <v>13884525.981471257</v>
      </c>
      <c r="Z33" s="395">
        <f t="shared" ca="1" si="8"/>
        <v>13893634.846221257</v>
      </c>
      <c r="AA33" s="395">
        <f t="shared" ca="1" si="8"/>
        <v>13902743.710971257</v>
      </c>
      <c r="AB33" s="395">
        <f t="shared" ca="1" si="8"/>
        <v>13911852.575721256</v>
      </c>
      <c r="AC33" s="395">
        <f t="shared" ca="1" si="8"/>
        <v>13920961.440471256</v>
      </c>
      <c r="AD33" s="395">
        <f t="shared" ca="1" si="8"/>
        <v>13930070.305221256</v>
      </c>
      <c r="AE33" s="395">
        <f t="shared" ca="1" si="8"/>
        <v>13939179.169971256</v>
      </c>
      <c r="AF33" s="395">
        <f t="shared" ca="1" si="8"/>
        <v>13948288.034721255</v>
      </c>
      <c r="AG33" s="395">
        <f t="shared" ca="1" si="8"/>
        <v>13957396.899471255</v>
      </c>
      <c r="AH33" s="395">
        <f t="shared" ca="1" si="8"/>
        <v>13966505.764221255</v>
      </c>
      <c r="AI33" s="395">
        <f t="shared" ca="1" si="8"/>
        <v>13975614.628971254</v>
      </c>
      <c r="AJ33" s="395">
        <f t="shared" ca="1" si="8"/>
        <v>13984723.493721254</v>
      </c>
      <c r="AK33" s="395">
        <f t="shared" ca="1" si="8"/>
        <v>13993832.358471254</v>
      </c>
      <c r="AL33" s="395">
        <f t="shared" ca="1" si="8"/>
        <v>14002941.223221254</v>
      </c>
      <c r="AM33" s="395">
        <f t="shared" ca="1" si="8"/>
        <v>14012050.087971253</v>
      </c>
      <c r="AN33" s="395">
        <f t="shared" ca="1" si="8"/>
        <v>14021158.952721253</v>
      </c>
      <c r="AO33" s="395">
        <f t="shared" ca="1" si="8"/>
        <v>14030267.817471253</v>
      </c>
      <c r="AP33" s="395">
        <f t="shared" ca="1" si="8"/>
        <v>0</v>
      </c>
      <c r="AQ33" s="395">
        <f t="shared" ca="1" si="8"/>
        <v>0</v>
      </c>
      <c r="AR33" s="395">
        <f t="shared" ca="1" si="8"/>
        <v>0</v>
      </c>
      <c r="AS33" s="395">
        <f t="shared" ca="1" si="8"/>
        <v>0</v>
      </c>
      <c r="AT33" s="395">
        <f t="shared" ca="1" si="8"/>
        <v>0</v>
      </c>
      <c r="AU33" s="395">
        <f t="shared" ca="1" si="8"/>
        <v>0</v>
      </c>
      <c r="AV33" s="395">
        <f t="shared" ca="1" si="8"/>
        <v>0</v>
      </c>
      <c r="AW33" s="395">
        <f t="shared" ca="1" si="8"/>
        <v>0</v>
      </c>
      <c r="AX33" s="395">
        <f t="shared" ca="1" si="8"/>
        <v>0</v>
      </c>
      <c r="AY33" s="395">
        <f t="shared" ca="1" si="8"/>
        <v>0</v>
      </c>
      <c r="AZ33" s="395">
        <f t="shared" ca="1" si="8"/>
        <v>0</v>
      </c>
      <c r="BA33" s="395">
        <f t="shared" ca="1" si="8"/>
        <v>0</v>
      </c>
      <c r="BB33" s="395">
        <f t="shared" ca="1" si="8"/>
        <v>0</v>
      </c>
      <c r="BC33" s="395">
        <f t="shared" ca="1" si="8"/>
        <v>0</v>
      </c>
      <c r="BD33" s="395">
        <f t="shared" ca="1" si="8"/>
        <v>0</v>
      </c>
      <c r="BE33" s="395">
        <f t="shared" ca="1" si="8"/>
        <v>0</v>
      </c>
      <c r="BF33" s="395">
        <f t="shared" ca="1" si="8"/>
        <v>0</v>
      </c>
      <c r="BG33" s="395">
        <f t="shared" ca="1" si="8"/>
        <v>0</v>
      </c>
      <c r="BH33" s="395">
        <f t="shared" ca="1" si="8"/>
        <v>0</v>
      </c>
      <c r="BI33" s="395">
        <f t="shared" ca="1" si="8"/>
        <v>0</v>
      </c>
      <c r="BJ33" s="395">
        <f t="shared" ca="1" si="8"/>
        <v>0</v>
      </c>
      <c r="BK33" s="395">
        <f t="shared" ca="1" si="8"/>
        <v>0</v>
      </c>
      <c r="BL33" s="395">
        <f t="shared" ca="1" si="8"/>
        <v>0</v>
      </c>
      <c r="BM33" s="395">
        <f t="shared" ca="1" si="8"/>
        <v>0</v>
      </c>
      <c r="BN33" s="395">
        <f t="shared" ca="1" si="8"/>
        <v>0</v>
      </c>
      <c r="BO33" s="395">
        <f t="shared" ca="1" si="8"/>
        <v>0</v>
      </c>
      <c r="BP33" s="395">
        <f t="shared" ca="1" si="8"/>
        <v>0</v>
      </c>
      <c r="BQ33" s="395">
        <f t="shared" ca="1" si="8"/>
        <v>0</v>
      </c>
      <c r="BR33" s="395">
        <f t="shared" ref="BR33:CK33" ca="1" si="9">BQ37</f>
        <v>0</v>
      </c>
      <c r="BS33" s="395">
        <f t="shared" ca="1" si="9"/>
        <v>0</v>
      </c>
      <c r="BT33" s="395">
        <f t="shared" ca="1" si="9"/>
        <v>0</v>
      </c>
      <c r="BU33" s="395">
        <f t="shared" ca="1" si="9"/>
        <v>0</v>
      </c>
      <c r="BV33" s="395">
        <f t="shared" ca="1" si="9"/>
        <v>0</v>
      </c>
      <c r="BW33" s="395">
        <f t="shared" ca="1" si="9"/>
        <v>0</v>
      </c>
      <c r="BX33" s="395">
        <f t="shared" ca="1" si="9"/>
        <v>0</v>
      </c>
      <c r="BY33" s="395">
        <f t="shared" ca="1" si="9"/>
        <v>0</v>
      </c>
      <c r="BZ33" s="395">
        <f t="shared" ca="1" si="9"/>
        <v>0</v>
      </c>
      <c r="CA33" s="395">
        <f t="shared" ca="1" si="9"/>
        <v>0</v>
      </c>
      <c r="CB33" s="395">
        <f t="shared" ca="1" si="9"/>
        <v>0</v>
      </c>
      <c r="CC33" s="395">
        <f t="shared" ca="1" si="9"/>
        <v>0</v>
      </c>
      <c r="CD33" s="395">
        <f t="shared" ca="1" si="9"/>
        <v>0</v>
      </c>
      <c r="CE33" s="395">
        <f t="shared" ca="1" si="9"/>
        <v>0</v>
      </c>
      <c r="CF33" s="395">
        <f t="shared" ca="1" si="9"/>
        <v>0</v>
      </c>
      <c r="CG33" s="395">
        <f t="shared" ca="1" si="9"/>
        <v>0</v>
      </c>
      <c r="CH33" s="395">
        <f t="shared" ca="1" si="9"/>
        <v>0</v>
      </c>
      <c r="CI33" s="395">
        <f t="shared" ca="1" si="9"/>
        <v>0</v>
      </c>
      <c r="CJ33" s="395">
        <f t="shared" ca="1" si="9"/>
        <v>0</v>
      </c>
      <c r="CK33" s="395">
        <f t="shared" ca="1" si="9"/>
        <v>0</v>
      </c>
      <c r="CL33" s="133" t="s">
        <v>15</v>
      </c>
    </row>
    <row r="34" spans="2:90" ht="15" customHeight="1" outlineLevel="1" x14ac:dyDescent="0.2">
      <c r="B34" s="133" t="s">
        <v>262</v>
      </c>
      <c r="C34" s="133"/>
      <c r="D34" s="133"/>
      <c r="E34" s="395">
        <f t="shared" ref="E34:AJ34" ca="1" si="10">-MIN(E23,0)*CoInvestorEquityContributionPct</f>
        <v>7407606.645626572</v>
      </c>
      <c r="F34" s="395">
        <f t="shared" ca="1" si="10"/>
        <v>285383.29077599995</v>
      </c>
      <c r="G34" s="395">
        <f t="shared" ca="1" si="10"/>
        <v>285570.15163971425</v>
      </c>
      <c r="H34" s="395">
        <f t="shared" ca="1" si="10"/>
        <v>306776.83638342854</v>
      </c>
      <c r="I34" s="395">
        <f t="shared" ca="1" si="10"/>
        <v>291212.83321714279</v>
      </c>
      <c r="J34" s="395">
        <f t="shared" ca="1" si="10"/>
        <v>247261.56490285715</v>
      </c>
      <c r="K34" s="395">
        <f t="shared" ca="1" si="10"/>
        <v>416184.54954857141</v>
      </c>
      <c r="L34" s="395">
        <f t="shared" ca="1" si="10"/>
        <v>634013.1134575489</v>
      </c>
      <c r="M34" s="395">
        <f t="shared" ca="1" si="10"/>
        <v>634431.44036652625</v>
      </c>
      <c r="N34" s="395">
        <f t="shared" ca="1" si="10"/>
        <v>526309.4412586448</v>
      </c>
      <c r="O34" s="395">
        <f t="shared" ca="1" si="10"/>
        <v>7287.0918000000001</v>
      </c>
      <c r="P34" s="395">
        <f t="shared" ca="1" si="10"/>
        <v>7287.0918000000001</v>
      </c>
      <c r="Q34" s="395">
        <f t="shared" ca="1" si="10"/>
        <v>7287.0918000000001</v>
      </c>
      <c r="R34" s="395">
        <f t="shared" ca="1" si="10"/>
        <v>7287.0918000000001</v>
      </c>
      <c r="S34" s="395">
        <f t="shared" ca="1" si="10"/>
        <v>7287.0918000000001</v>
      </c>
      <c r="T34" s="395">
        <f t="shared" ca="1" si="10"/>
        <v>7287.0918000000001</v>
      </c>
      <c r="U34" s="395">
        <f t="shared" ca="1" si="10"/>
        <v>7287.0918000000001</v>
      </c>
      <c r="V34" s="395">
        <f t="shared" ca="1" si="10"/>
        <v>7287.0918000000001</v>
      </c>
      <c r="W34" s="395">
        <f t="shared" ca="1" si="10"/>
        <v>7287.0918000000001</v>
      </c>
      <c r="X34" s="395">
        <f t="shared" ca="1" si="10"/>
        <v>7287.0918000000001</v>
      </c>
      <c r="Y34" s="395">
        <f t="shared" ca="1" si="10"/>
        <v>7287.0918000000001</v>
      </c>
      <c r="Z34" s="395">
        <f t="shared" ca="1" si="10"/>
        <v>7287.0918000000001</v>
      </c>
      <c r="AA34" s="395">
        <f t="shared" ca="1" si="10"/>
        <v>7287.0918000000001</v>
      </c>
      <c r="AB34" s="395">
        <f t="shared" ca="1" si="10"/>
        <v>7287.0918000000001</v>
      </c>
      <c r="AC34" s="395">
        <f t="shared" ca="1" si="10"/>
        <v>7287.0918000000001</v>
      </c>
      <c r="AD34" s="395">
        <f t="shared" ca="1" si="10"/>
        <v>7287.0918000000001</v>
      </c>
      <c r="AE34" s="395">
        <f t="shared" ca="1" si="10"/>
        <v>7287.0918000000001</v>
      </c>
      <c r="AF34" s="395">
        <f t="shared" ca="1" si="10"/>
        <v>7287.0918000000001</v>
      </c>
      <c r="AG34" s="395">
        <f t="shared" ca="1" si="10"/>
        <v>7287.0918000000001</v>
      </c>
      <c r="AH34" s="395">
        <f t="shared" ca="1" si="10"/>
        <v>7287.0918000000001</v>
      </c>
      <c r="AI34" s="395">
        <f t="shared" ca="1" si="10"/>
        <v>7287.0918000000001</v>
      </c>
      <c r="AJ34" s="395">
        <f t="shared" ca="1" si="10"/>
        <v>7287.0918000000001</v>
      </c>
      <c r="AK34" s="395">
        <f t="shared" ref="AK34:BP34" ca="1" si="11">-MIN(AK23,0)*CoInvestorEquityContributionPct</f>
        <v>7287.0918000000001</v>
      </c>
      <c r="AL34" s="395">
        <f t="shared" ca="1" si="11"/>
        <v>7287.0918000000001</v>
      </c>
      <c r="AM34" s="395">
        <f t="shared" ca="1" si="11"/>
        <v>7287.0918000000001</v>
      </c>
      <c r="AN34" s="395">
        <f t="shared" ca="1" si="11"/>
        <v>7287.0918000000001</v>
      </c>
      <c r="AO34" s="395">
        <f t="shared" ca="1" si="11"/>
        <v>0</v>
      </c>
      <c r="AP34" s="395">
        <f t="shared" ca="1" si="11"/>
        <v>0</v>
      </c>
      <c r="AQ34" s="395">
        <f t="shared" ca="1" si="11"/>
        <v>0</v>
      </c>
      <c r="AR34" s="395">
        <f t="shared" ca="1" si="11"/>
        <v>0</v>
      </c>
      <c r="AS34" s="395">
        <f t="shared" ca="1" si="11"/>
        <v>0</v>
      </c>
      <c r="AT34" s="395">
        <f t="shared" ca="1" si="11"/>
        <v>0</v>
      </c>
      <c r="AU34" s="395">
        <f t="shared" ca="1" si="11"/>
        <v>0</v>
      </c>
      <c r="AV34" s="395">
        <f t="shared" ca="1" si="11"/>
        <v>0</v>
      </c>
      <c r="AW34" s="395">
        <f t="shared" ca="1" si="11"/>
        <v>0</v>
      </c>
      <c r="AX34" s="395">
        <f t="shared" ca="1" si="11"/>
        <v>0</v>
      </c>
      <c r="AY34" s="395">
        <f t="shared" ca="1" si="11"/>
        <v>0</v>
      </c>
      <c r="AZ34" s="395">
        <f t="shared" ca="1" si="11"/>
        <v>0</v>
      </c>
      <c r="BA34" s="395">
        <f t="shared" ca="1" si="11"/>
        <v>0</v>
      </c>
      <c r="BB34" s="395">
        <f t="shared" ca="1" si="11"/>
        <v>0</v>
      </c>
      <c r="BC34" s="395">
        <f t="shared" ca="1" si="11"/>
        <v>0</v>
      </c>
      <c r="BD34" s="395">
        <f t="shared" ca="1" si="11"/>
        <v>0</v>
      </c>
      <c r="BE34" s="395">
        <f t="shared" ca="1" si="11"/>
        <v>0</v>
      </c>
      <c r="BF34" s="395">
        <f t="shared" ca="1" si="11"/>
        <v>0</v>
      </c>
      <c r="BG34" s="395">
        <f t="shared" ca="1" si="11"/>
        <v>0</v>
      </c>
      <c r="BH34" s="395">
        <f t="shared" ca="1" si="11"/>
        <v>0</v>
      </c>
      <c r="BI34" s="395">
        <f t="shared" ca="1" si="11"/>
        <v>0</v>
      </c>
      <c r="BJ34" s="395">
        <f t="shared" ca="1" si="11"/>
        <v>0</v>
      </c>
      <c r="BK34" s="395">
        <f t="shared" ca="1" si="11"/>
        <v>0</v>
      </c>
      <c r="BL34" s="395">
        <f t="shared" ca="1" si="11"/>
        <v>0</v>
      </c>
      <c r="BM34" s="395">
        <f t="shared" ca="1" si="11"/>
        <v>0</v>
      </c>
      <c r="BN34" s="395">
        <f t="shared" ca="1" si="11"/>
        <v>0</v>
      </c>
      <c r="BO34" s="395">
        <f t="shared" ca="1" si="11"/>
        <v>0</v>
      </c>
      <c r="BP34" s="395">
        <f t="shared" ca="1" si="11"/>
        <v>0</v>
      </c>
      <c r="BQ34" s="395">
        <f t="shared" ref="BQ34:CK34" ca="1" si="12">-MIN(BQ23,0)*CoInvestorEquityContributionPct</f>
        <v>0</v>
      </c>
      <c r="BR34" s="395">
        <f t="shared" ca="1" si="12"/>
        <v>0</v>
      </c>
      <c r="BS34" s="395">
        <f t="shared" ca="1" si="12"/>
        <v>0</v>
      </c>
      <c r="BT34" s="395">
        <f t="shared" ca="1" si="12"/>
        <v>0</v>
      </c>
      <c r="BU34" s="395">
        <f t="shared" ca="1" si="12"/>
        <v>0</v>
      </c>
      <c r="BV34" s="395">
        <f t="shared" ca="1" si="12"/>
        <v>0</v>
      </c>
      <c r="BW34" s="395">
        <f t="shared" ca="1" si="12"/>
        <v>0</v>
      </c>
      <c r="BX34" s="395">
        <f t="shared" ca="1" si="12"/>
        <v>0</v>
      </c>
      <c r="BY34" s="395">
        <f t="shared" ca="1" si="12"/>
        <v>0</v>
      </c>
      <c r="BZ34" s="395">
        <f t="shared" ca="1" si="12"/>
        <v>0</v>
      </c>
      <c r="CA34" s="395">
        <f t="shared" ca="1" si="12"/>
        <v>0</v>
      </c>
      <c r="CB34" s="395">
        <f t="shared" ca="1" si="12"/>
        <v>0</v>
      </c>
      <c r="CC34" s="395">
        <f t="shared" ca="1" si="12"/>
        <v>0</v>
      </c>
      <c r="CD34" s="395">
        <f t="shared" ca="1" si="12"/>
        <v>0</v>
      </c>
      <c r="CE34" s="395">
        <f t="shared" ca="1" si="12"/>
        <v>0</v>
      </c>
      <c r="CF34" s="395">
        <f t="shared" ca="1" si="12"/>
        <v>0</v>
      </c>
      <c r="CG34" s="395">
        <f t="shared" ca="1" si="12"/>
        <v>0</v>
      </c>
      <c r="CH34" s="395">
        <f t="shared" ca="1" si="12"/>
        <v>0</v>
      </c>
      <c r="CI34" s="395">
        <f t="shared" ca="1" si="12"/>
        <v>0</v>
      </c>
      <c r="CJ34" s="395">
        <f t="shared" ca="1" si="12"/>
        <v>0</v>
      </c>
      <c r="CK34" s="395">
        <f t="shared" ca="1" si="12"/>
        <v>0</v>
      </c>
      <c r="CL34" s="133" t="s">
        <v>15</v>
      </c>
    </row>
    <row r="35" spans="2:90" ht="15" customHeight="1" outlineLevel="1" x14ac:dyDescent="0.2">
      <c r="B35" s="133" t="s">
        <v>328</v>
      </c>
      <c r="C35" s="133"/>
      <c r="D35" s="133"/>
      <c r="E35" s="395">
        <f t="shared" ref="E35:AJ35" ca="1" si="13">E34*Tier1_Hurdle_Case1-E34</f>
        <v>1851901.6614066428</v>
      </c>
      <c r="F35" s="395">
        <f t="shared" ca="1" si="13"/>
        <v>71345.822693999973</v>
      </c>
      <c r="G35" s="395">
        <f t="shared" ca="1" si="13"/>
        <v>71392.537909928593</v>
      </c>
      <c r="H35" s="395">
        <f t="shared" ca="1" si="13"/>
        <v>76694.209095857106</v>
      </c>
      <c r="I35" s="395">
        <f t="shared" ca="1" si="13"/>
        <v>72803.208304285712</v>
      </c>
      <c r="J35" s="395">
        <f t="shared" ca="1" si="13"/>
        <v>61815.391225714266</v>
      </c>
      <c r="K35" s="395">
        <f t="shared" ca="1" si="13"/>
        <v>104046.13738714287</v>
      </c>
      <c r="L35" s="395">
        <f t="shared" ca="1" si="13"/>
        <v>158503.27836438722</v>
      </c>
      <c r="M35" s="395">
        <f t="shared" ca="1" si="13"/>
        <v>158607.86009163153</v>
      </c>
      <c r="N35" s="395">
        <f t="shared" ca="1" si="13"/>
        <v>131577.36031466117</v>
      </c>
      <c r="O35" s="395">
        <f t="shared" ca="1" si="13"/>
        <v>1821.7729500000005</v>
      </c>
      <c r="P35" s="395">
        <f t="shared" ca="1" si="13"/>
        <v>1821.7729500000005</v>
      </c>
      <c r="Q35" s="395">
        <f t="shared" ca="1" si="13"/>
        <v>1821.7729500000005</v>
      </c>
      <c r="R35" s="395">
        <f t="shared" ca="1" si="13"/>
        <v>1821.7729500000005</v>
      </c>
      <c r="S35" s="395">
        <f t="shared" ca="1" si="13"/>
        <v>1821.7729500000005</v>
      </c>
      <c r="T35" s="395">
        <f t="shared" ca="1" si="13"/>
        <v>1821.7729500000005</v>
      </c>
      <c r="U35" s="395">
        <f t="shared" ca="1" si="13"/>
        <v>1821.7729500000005</v>
      </c>
      <c r="V35" s="395">
        <f t="shared" ca="1" si="13"/>
        <v>1821.7729500000005</v>
      </c>
      <c r="W35" s="395">
        <f t="shared" ca="1" si="13"/>
        <v>1821.7729500000005</v>
      </c>
      <c r="X35" s="395">
        <f t="shared" ca="1" si="13"/>
        <v>1821.7729500000005</v>
      </c>
      <c r="Y35" s="395">
        <f t="shared" ca="1" si="13"/>
        <v>1821.7729500000005</v>
      </c>
      <c r="Z35" s="395">
        <f t="shared" ca="1" si="13"/>
        <v>1821.7729500000005</v>
      </c>
      <c r="AA35" s="395">
        <f t="shared" ca="1" si="13"/>
        <v>1821.7729500000005</v>
      </c>
      <c r="AB35" s="395">
        <f t="shared" ca="1" si="13"/>
        <v>1821.7729500000005</v>
      </c>
      <c r="AC35" s="395">
        <f t="shared" ca="1" si="13"/>
        <v>1821.7729500000005</v>
      </c>
      <c r="AD35" s="395">
        <f t="shared" ca="1" si="13"/>
        <v>1821.7729500000005</v>
      </c>
      <c r="AE35" s="395">
        <f t="shared" ca="1" si="13"/>
        <v>1821.7729500000005</v>
      </c>
      <c r="AF35" s="395">
        <f t="shared" ca="1" si="13"/>
        <v>1821.7729500000005</v>
      </c>
      <c r="AG35" s="395">
        <f t="shared" ca="1" si="13"/>
        <v>1821.7729500000005</v>
      </c>
      <c r="AH35" s="395">
        <f t="shared" ca="1" si="13"/>
        <v>1821.7729500000005</v>
      </c>
      <c r="AI35" s="395">
        <f t="shared" ca="1" si="13"/>
        <v>1821.7729500000005</v>
      </c>
      <c r="AJ35" s="395">
        <f t="shared" ca="1" si="13"/>
        <v>1821.7729500000005</v>
      </c>
      <c r="AK35" s="395">
        <f t="shared" ref="AK35:BP35" ca="1" si="14">AK34*Tier1_Hurdle_Case1-AK34</f>
        <v>1821.7729500000005</v>
      </c>
      <c r="AL35" s="395">
        <f t="shared" ca="1" si="14"/>
        <v>1821.7729500000005</v>
      </c>
      <c r="AM35" s="395">
        <f t="shared" ca="1" si="14"/>
        <v>1821.7729500000005</v>
      </c>
      <c r="AN35" s="395">
        <f t="shared" ca="1" si="14"/>
        <v>1821.7729500000005</v>
      </c>
      <c r="AO35" s="395">
        <f t="shared" ca="1" si="14"/>
        <v>0</v>
      </c>
      <c r="AP35" s="395">
        <f t="shared" ca="1" si="14"/>
        <v>0</v>
      </c>
      <c r="AQ35" s="395">
        <f t="shared" ca="1" si="14"/>
        <v>0</v>
      </c>
      <c r="AR35" s="395">
        <f t="shared" ca="1" si="14"/>
        <v>0</v>
      </c>
      <c r="AS35" s="395">
        <f t="shared" ca="1" si="14"/>
        <v>0</v>
      </c>
      <c r="AT35" s="395">
        <f t="shared" ca="1" si="14"/>
        <v>0</v>
      </c>
      <c r="AU35" s="395">
        <f t="shared" ca="1" si="14"/>
        <v>0</v>
      </c>
      <c r="AV35" s="395">
        <f t="shared" ca="1" si="14"/>
        <v>0</v>
      </c>
      <c r="AW35" s="395">
        <f t="shared" ca="1" si="14"/>
        <v>0</v>
      </c>
      <c r="AX35" s="395">
        <f t="shared" ca="1" si="14"/>
        <v>0</v>
      </c>
      <c r="AY35" s="395">
        <f t="shared" ca="1" si="14"/>
        <v>0</v>
      </c>
      <c r="AZ35" s="395">
        <f t="shared" ca="1" si="14"/>
        <v>0</v>
      </c>
      <c r="BA35" s="395">
        <f t="shared" ca="1" si="14"/>
        <v>0</v>
      </c>
      <c r="BB35" s="395">
        <f t="shared" ca="1" si="14"/>
        <v>0</v>
      </c>
      <c r="BC35" s="395">
        <f t="shared" ca="1" si="14"/>
        <v>0</v>
      </c>
      <c r="BD35" s="395">
        <f t="shared" ca="1" si="14"/>
        <v>0</v>
      </c>
      <c r="BE35" s="395">
        <f t="shared" ca="1" si="14"/>
        <v>0</v>
      </c>
      <c r="BF35" s="395">
        <f t="shared" ca="1" si="14"/>
        <v>0</v>
      </c>
      <c r="BG35" s="395">
        <f t="shared" ca="1" si="14"/>
        <v>0</v>
      </c>
      <c r="BH35" s="395">
        <f t="shared" ca="1" si="14"/>
        <v>0</v>
      </c>
      <c r="BI35" s="395">
        <f t="shared" ca="1" si="14"/>
        <v>0</v>
      </c>
      <c r="BJ35" s="395">
        <f t="shared" ca="1" si="14"/>
        <v>0</v>
      </c>
      <c r="BK35" s="395">
        <f t="shared" ca="1" si="14"/>
        <v>0</v>
      </c>
      <c r="BL35" s="395">
        <f t="shared" ca="1" si="14"/>
        <v>0</v>
      </c>
      <c r="BM35" s="395">
        <f t="shared" ca="1" si="14"/>
        <v>0</v>
      </c>
      <c r="BN35" s="395">
        <f t="shared" ca="1" si="14"/>
        <v>0</v>
      </c>
      <c r="BO35" s="395">
        <f t="shared" ca="1" si="14"/>
        <v>0</v>
      </c>
      <c r="BP35" s="395">
        <f t="shared" ca="1" si="14"/>
        <v>0</v>
      </c>
      <c r="BQ35" s="395">
        <f t="shared" ref="BQ35:CK35" ca="1" si="15">BQ34*Tier1_Hurdle_Case1-BQ34</f>
        <v>0</v>
      </c>
      <c r="BR35" s="395">
        <f t="shared" ca="1" si="15"/>
        <v>0</v>
      </c>
      <c r="BS35" s="395">
        <f t="shared" ca="1" si="15"/>
        <v>0</v>
      </c>
      <c r="BT35" s="395">
        <f t="shared" ca="1" si="15"/>
        <v>0</v>
      </c>
      <c r="BU35" s="395">
        <f t="shared" ca="1" si="15"/>
        <v>0</v>
      </c>
      <c r="BV35" s="395">
        <f t="shared" ca="1" si="15"/>
        <v>0</v>
      </c>
      <c r="BW35" s="395">
        <f t="shared" ca="1" si="15"/>
        <v>0</v>
      </c>
      <c r="BX35" s="395">
        <f t="shared" ca="1" si="15"/>
        <v>0</v>
      </c>
      <c r="BY35" s="395">
        <f t="shared" ca="1" si="15"/>
        <v>0</v>
      </c>
      <c r="BZ35" s="395">
        <f t="shared" ca="1" si="15"/>
        <v>0</v>
      </c>
      <c r="CA35" s="395">
        <f t="shared" ca="1" si="15"/>
        <v>0</v>
      </c>
      <c r="CB35" s="395">
        <f t="shared" ca="1" si="15"/>
        <v>0</v>
      </c>
      <c r="CC35" s="395">
        <f t="shared" ca="1" si="15"/>
        <v>0</v>
      </c>
      <c r="CD35" s="395">
        <f t="shared" ca="1" si="15"/>
        <v>0</v>
      </c>
      <c r="CE35" s="395">
        <f t="shared" ca="1" si="15"/>
        <v>0</v>
      </c>
      <c r="CF35" s="395">
        <f t="shared" ca="1" si="15"/>
        <v>0</v>
      </c>
      <c r="CG35" s="395">
        <f t="shared" ca="1" si="15"/>
        <v>0</v>
      </c>
      <c r="CH35" s="395">
        <f t="shared" ca="1" si="15"/>
        <v>0</v>
      </c>
      <c r="CI35" s="395">
        <f t="shared" ca="1" si="15"/>
        <v>0</v>
      </c>
      <c r="CJ35" s="395">
        <f t="shared" ca="1" si="15"/>
        <v>0</v>
      </c>
      <c r="CK35" s="395">
        <f t="shared" ca="1" si="15"/>
        <v>0</v>
      </c>
      <c r="CL35" s="133" t="s">
        <v>15</v>
      </c>
    </row>
    <row r="36" spans="2:90" ht="15" customHeight="1" outlineLevel="1" x14ac:dyDescent="0.2">
      <c r="B36" s="133" t="s">
        <v>263</v>
      </c>
      <c r="C36" s="133"/>
      <c r="D36" s="133"/>
      <c r="E36" s="395">
        <f t="shared" ref="E36:AJ36" ca="1" si="16">-MIN(SUM(E33:E35),E31*Tier1_CoInvestorPctCF_Case1)</f>
        <v>0</v>
      </c>
      <c r="F36" s="395">
        <f t="shared" ca="1" si="16"/>
        <v>0</v>
      </c>
      <c r="G36" s="395">
        <f t="shared" ca="1" si="16"/>
        <v>0</v>
      </c>
      <c r="H36" s="395">
        <f t="shared" ca="1" si="16"/>
        <v>0</v>
      </c>
      <c r="I36" s="395">
        <f t="shared" ca="1" si="16"/>
        <v>0</v>
      </c>
      <c r="J36" s="395">
        <f t="shared" ca="1" si="16"/>
        <v>0</v>
      </c>
      <c r="K36" s="395">
        <f t="shared" ca="1" si="16"/>
        <v>0</v>
      </c>
      <c r="L36" s="395">
        <f t="shared" ca="1" si="16"/>
        <v>0</v>
      </c>
      <c r="M36" s="395">
        <f t="shared" ca="1" si="16"/>
        <v>0</v>
      </c>
      <c r="N36" s="395">
        <f t="shared" ca="1" si="16"/>
        <v>0</v>
      </c>
      <c r="O36" s="395">
        <f t="shared" ca="1" si="16"/>
        <v>0</v>
      </c>
      <c r="P36" s="395">
        <f t="shared" ca="1" si="16"/>
        <v>0</v>
      </c>
      <c r="Q36" s="395">
        <f t="shared" ca="1" si="16"/>
        <v>0</v>
      </c>
      <c r="R36" s="395">
        <f t="shared" ca="1" si="16"/>
        <v>0</v>
      </c>
      <c r="S36" s="395">
        <f t="shared" ca="1" si="16"/>
        <v>0</v>
      </c>
      <c r="T36" s="395">
        <f t="shared" ca="1" si="16"/>
        <v>0</v>
      </c>
      <c r="U36" s="395">
        <f t="shared" ca="1" si="16"/>
        <v>0</v>
      </c>
      <c r="V36" s="395">
        <f t="shared" ca="1" si="16"/>
        <v>0</v>
      </c>
      <c r="W36" s="395">
        <f t="shared" ca="1" si="16"/>
        <v>0</v>
      </c>
      <c r="X36" s="395">
        <f t="shared" ca="1" si="16"/>
        <v>0</v>
      </c>
      <c r="Y36" s="395">
        <f t="shared" ca="1" si="16"/>
        <v>0</v>
      </c>
      <c r="Z36" s="395">
        <f t="shared" ca="1" si="16"/>
        <v>0</v>
      </c>
      <c r="AA36" s="395">
        <f t="shared" ca="1" si="16"/>
        <v>0</v>
      </c>
      <c r="AB36" s="395">
        <f t="shared" ca="1" si="16"/>
        <v>0</v>
      </c>
      <c r="AC36" s="395">
        <f t="shared" ca="1" si="16"/>
        <v>0</v>
      </c>
      <c r="AD36" s="395">
        <f t="shared" ca="1" si="16"/>
        <v>0</v>
      </c>
      <c r="AE36" s="395">
        <f t="shared" ca="1" si="16"/>
        <v>0</v>
      </c>
      <c r="AF36" s="395">
        <f t="shared" ca="1" si="16"/>
        <v>0</v>
      </c>
      <c r="AG36" s="395">
        <f t="shared" ca="1" si="16"/>
        <v>0</v>
      </c>
      <c r="AH36" s="395">
        <f t="shared" ca="1" si="16"/>
        <v>0</v>
      </c>
      <c r="AI36" s="395">
        <f t="shared" ca="1" si="16"/>
        <v>0</v>
      </c>
      <c r="AJ36" s="395">
        <f t="shared" ca="1" si="16"/>
        <v>0</v>
      </c>
      <c r="AK36" s="395">
        <f t="shared" ref="AK36:BP36" ca="1" si="17">-MIN(SUM(AK33:AK35),AK31*Tier1_CoInvestorPctCF_Case1)</f>
        <v>0</v>
      </c>
      <c r="AL36" s="395">
        <f t="shared" ca="1" si="17"/>
        <v>0</v>
      </c>
      <c r="AM36" s="395">
        <f t="shared" ca="1" si="17"/>
        <v>0</v>
      </c>
      <c r="AN36" s="395">
        <f t="shared" ca="1" si="17"/>
        <v>0</v>
      </c>
      <c r="AO36" s="395">
        <f t="shared" ca="1" si="17"/>
        <v>-14030267.817471253</v>
      </c>
      <c r="AP36" s="395">
        <f t="shared" ca="1" si="17"/>
        <v>0</v>
      </c>
      <c r="AQ36" s="395">
        <f t="shared" ca="1" si="17"/>
        <v>0</v>
      </c>
      <c r="AR36" s="395">
        <f t="shared" ca="1" si="17"/>
        <v>0</v>
      </c>
      <c r="AS36" s="395">
        <f t="shared" ca="1" si="17"/>
        <v>0</v>
      </c>
      <c r="AT36" s="395">
        <f t="shared" ca="1" si="17"/>
        <v>0</v>
      </c>
      <c r="AU36" s="395">
        <f t="shared" ca="1" si="17"/>
        <v>0</v>
      </c>
      <c r="AV36" s="395">
        <f t="shared" ca="1" si="17"/>
        <v>0</v>
      </c>
      <c r="AW36" s="395">
        <f t="shared" ca="1" si="17"/>
        <v>0</v>
      </c>
      <c r="AX36" s="395">
        <f t="shared" ca="1" si="17"/>
        <v>0</v>
      </c>
      <c r="AY36" s="395">
        <f t="shared" ca="1" si="17"/>
        <v>0</v>
      </c>
      <c r="AZ36" s="395">
        <f t="shared" ca="1" si="17"/>
        <v>0</v>
      </c>
      <c r="BA36" s="395">
        <f t="shared" ca="1" si="17"/>
        <v>0</v>
      </c>
      <c r="BB36" s="395">
        <f t="shared" ca="1" si="17"/>
        <v>0</v>
      </c>
      <c r="BC36" s="395">
        <f t="shared" ca="1" si="17"/>
        <v>0</v>
      </c>
      <c r="BD36" s="395">
        <f t="shared" ca="1" si="17"/>
        <v>0</v>
      </c>
      <c r="BE36" s="395">
        <f t="shared" ca="1" si="17"/>
        <v>0</v>
      </c>
      <c r="BF36" s="395">
        <f t="shared" ca="1" si="17"/>
        <v>0</v>
      </c>
      <c r="BG36" s="395">
        <f t="shared" ca="1" si="17"/>
        <v>0</v>
      </c>
      <c r="BH36" s="395">
        <f t="shared" ca="1" si="17"/>
        <v>0</v>
      </c>
      <c r="BI36" s="395">
        <f t="shared" ca="1" si="17"/>
        <v>0</v>
      </c>
      <c r="BJ36" s="395">
        <f t="shared" ca="1" si="17"/>
        <v>0</v>
      </c>
      <c r="BK36" s="395">
        <f t="shared" ca="1" si="17"/>
        <v>0</v>
      </c>
      <c r="BL36" s="395">
        <f t="shared" ca="1" si="17"/>
        <v>0</v>
      </c>
      <c r="BM36" s="395">
        <f t="shared" ca="1" si="17"/>
        <v>0</v>
      </c>
      <c r="BN36" s="395">
        <f t="shared" ca="1" si="17"/>
        <v>0</v>
      </c>
      <c r="BO36" s="395">
        <f t="shared" ca="1" si="17"/>
        <v>0</v>
      </c>
      <c r="BP36" s="395">
        <f t="shared" ca="1" si="17"/>
        <v>0</v>
      </c>
      <c r="BQ36" s="395">
        <f t="shared" ref="BQ36:CK36" ca="1" si="18">-MIN(SUM(BQ33:BQ35),BQ31*Tier1_CoInvestorPctCF_Case1)</f>
        <v>0</v>
      </c>
      <c r="BR36" s="395">
        <f t="shared" ca="1" si="18"/>
        <v>0</v>
      </c>
      <c r="BS36" s="395">
        <f t="shared" ca="1" si="18"/>
        <v>0</v>
      </c>
      <c r="BT36" s="395">
        <f t="shared" ca="1" si="18"/>
        <v>0</v>
      </c>
      <c r="BU36" s="395">
        <f t="shared" ca="1" si="18"/>
        <v>0</v>
      </c>
      <c r="BV36" s="395">
        <f t="shared" ca="1" si="18"/>
        <v>0</v>
      </c>
      <c r="BW36" s="395">
        <f t="shared" ca="1" si="18"/>
        <v>0</v>
      </c>
      <c r="BX36" s="395">
        <f t="shared" ca="1" si="18"/>
        <v>0</v>
      </c>
      <c r="BY36" s="395">
        <f t="shared" ca="1" si="18"/>
        <v>0</v>
      </c>
      <c r="BZ36" s="395">
        <f t="shared" ca="1" si="18"/>
        <v>0</v>
      </c>
      <c r="CA36" s="395">
        <f t="shared" ca="1" si="18"/>
        <v>0</v>
      </c>
      <c r="CB36" s="395">
        <f t="shared" ca="1" si="18"/>
        <v>0</v>
      </c>
      <c r="CC36" s="395">
        <f t="shared" ca="1" si="18"/>
        <v>0</v>
      </c>
      <c r="CD36" s="395">
        <f t="shared" ca="1" si="18"/>
        <v>0</v>
      </c>
      <c r="CE36" s="395">
        <f t="shared" ca="1" si="18"/>
        <v>0</v>
      </c>
      <c r="CF36" s="395">
        <f t="shared" ca="1" si="18"/>
        <v>0</v>
      </c>
      <c r="CG36" s="395">
        <f t="shared" ca="1" si="18"/>
        <v>0</v>
      </c>
      <c r="CH36" s="395">
        <f t="shared" ca="1" si="18"/>
        <v>0</v>
      </c>
      <c r="CI36" s="395">
        <f t="shared" ca="1" si="18"/>
        <v>0</v>
      </c>
      <c r="CJ36" s="395">
        <f t="shared" ca="1" si="18"/>
        <v>0</v>
      </c>
      <c r="CK36" s="395">
        <f t="shared" ca="1" si="18"/>
        <v>0</v>
      </c>
      <c r="CL36" s="133" t="s">
        <v>15</v>
      </c>
    </row>
    <row r="37" spans="2:90" ht="15" customHeight="1" outlineLevel="1" x14ac:dyDescent="0.2">
      <c r="B37" s="133" t="s">
        <v>264</v>
      </c>
      <c r="C37" s="133"/>
      <c r="D37" s="133"/>
      <c r="E37" s="395">
        <f ca="1">SUM(E33:E36)</f>
        <v>9259508.3070332147</v>
      </c>
      <c r="F37" s="395">
        <f t="shared" ref="F37:BQ37" ca="1" si="19">SUM(F33:F36)</f>
        <v>9616237.420503214</v>
      </c>
      <c r="G37" s="395">
        <f t="shared" ca="1" si="19"/>
        <v>9973200.1100528575</v>
      </c>
      <c r="H37" s="395">
        <f t="shared" ca="1" si="19"/>
        <v>10356671.155532144</v>
      </c>
      <c r="I37" s="395">
        <f t="shared" ca="1" si="19"/>
        <v>10720687.197053572</v>
      </c>
      <c r="J37" s="395">
        <f t="shared" ca="1" si="19"/>
        <v>11029764.153182143</v>
      </c>
      <c r="K37" s="395">
        <f t="shared" ca="1" si="19"/>
        <v>11549994.840117859</v>
      </c>
      <c r="L37" s="395">
        <f t="shared" ca="1" si="19"/>
        <v>12342511.231939794</v>
      </c>
      <c r="M37" s="395">
        <f t="shared" ca="1" si="19"/>
        <v>13135550.532397954</v>
      </c>
      <c r="N37" s="395">
        <f t="shared" ca="1" si="19"/>
        <v>13793437.33397126</v>
      </c>
      <c r="O37" s="395">
        <f t="shared" ca="1" si="19"/>
        <v>13802546.19872126</v>
      </c>
      <c r="P37" s="395">
        <f t="shared" ca="1" si="19"/>
        <v>13811655.06347126</v>
      </c>
      <c r="Q37" s="395">
        <f t="shared" ca="1" si="19"/>
        <v>13820763.928221259</v>
      </c>
      <c r="R37" s="395">
        <f t="shared" ca="1" si="19"/>
        <v>13829872.792971259</v>
      </c>
      <c r="S37" s="395">
        <f t="shared" ca="1" si="19"/>
        <v>13838981.657721259</v>
      </c>
      <c r="T37" s="395">
        <f t="shared" ca="1" si="19"/>
        <v>13848090.522471258</v>
      </c>
      <c r="U37" s="395">
        <f t="shared" ca="1" si="19"/>
        <v>13857199.387221258</v>
      </c>
      <c r="V37" s="395">
        <f t="shared" ca="1" si="19"/>
        <v>13866308.251971258</v>
      </c>
      <c r="W37" s="395">
        <f t="shared" ca="1" si="19"/>
        <v>13875417.116721258</v>
      </c>
      <c r="X37" s="395">
        <f t="shared" ca="1" si="19"/>
        <v>13884525.981471257</v>
      </c>
      <c r="Y37" s="395">
        <f t="shared" ca="1" si="19"/>
        <v>13893634.846221257</v>
      </c>
      <c r="Z37" s="395">
        <f t="shared" ca="1" si="19"/>
        <v>13902743.710971257</v>
      </c>
      <c r="AA37" s="395">
        <f t="shared" ca="1" si="19"/>
        <v>13911852.575721256</v>
      </c>
      <c r="AB37" s="395">
        <f t="shared" ca="1" si="19"/>
        <v>13920961.440471256</v>
      </c>
      <c r="AC37" s="395">
        <f t="shared" ca="1" si="19"/>
        <v>13930070.305221256</v>
      </c>
      <c r="AD37" s="395">
        <f t="shared" ca="1" si="19"/>
        <v>13939179.169971256</v>
      </c>
      <c r="AE37" s="395">
        <f t="shared" ca="1" si="19"/>
        <v>13948288.034721255</v>
      </c>
      <c r="AF37" s="395">
        <f t="shared" ca="1" si="19"/>
        <v>13957396.899471255</v>
      </c>
      <c r="AG37" s="395">
        <f t="shared" ca="1" si="19"/>
        <v>13966505.764221255</v>
      </c>
      <c r="AH37" s="395">
        <f t="shared" ca="1" si="19"/>
        <v>13975614.628971254</v>
      </c>
      <c r="AI37" s="395">
        <f t="shared" ca="1" si="19"/>
        <v>13984723.493721254</v>
      </c>
      <c r="AJ37" s="395">
        <f t="shared" ca="1" si="19"/>
        <v>13993832.358471254</v>
      </c>
      <c r="AK37" s="395">
        <f t="shared" ca="1" si="19"/>
        <v>14002941.223221254</v>
      </c>
      <c r="AL37" s="395">
        <f t="shared" ca="1" si="19"/>
        <v>14012050.087971253</v>
      </c>
      <c r="AM37" s="395">
        <f t="shared" ca="1" si="19"/>
        <v>14021158.952721253</v>
      </c>
      <c r="AN37" s="395">
        <f t="shared" ca="1" si="19"/>
        <v>14030267.817471253</v>
      </c>
      <c r="AO37" s="395">
        <f t="shared" ca="1" si="19"/>
        <v>0</v>
      </c>
      <c r="AP37" s="395">
        <f t="shared" ca="1" si="19"/>
        <v>0</v>
      </c>
      <c r="AQ37" s="395">
        <f t="shared" ca="1" si="19"/>
        <v>0</v>
      </c>
      <c r="AR37" s="395">
        <f t="shared" ca="1" si="19"/>
        <v>0</v>
      </c>
      <c r="AS37" s="395">
        <f t="shared" ca="1" si="19"/>
        <v>0</v>
      </c>
      <c r="AT37" s="395">
        <f t="shared" ca="1" si="19"/>
        <v>0</v>
      </c>
      <c r="AU37" s="395">
        <f t="shared" ca="1" si="19"/>
        <v>0</v>
      </c>
      <c r="AV37" s="395">
        <f t="shared" ca="1" si="19"/>
        <v>0</v>
      </c>
      <c r="AW37" s="395">
        <f t="shared" ca="1" si="19"/>
        <v>0</v>
      </c>
      <c r="AX37" s="395">
        <f t="shared" ca="1" si="19"/>
        <v>0</v>
      </c>
      <c r="AY37" s="395">
        <f t="shared" ca="1" si="19"/>
        <v>0</v>
      </c>
      <c r="AZ37" s="395">
        <f t="shared" ca="1" si="19"/>
        <v>0</v>
      </c>
      <c r="BA37" s="395">
        <f t="shared" ca="1" si="19"/>
        <v>0</v>
      </c>
      <c r="BB37" s="395">
        <f t="shared" ca="1" si="19"/>
        <v>0</v>
      </c>
      <c r="BC37" s="395">
        <f t="shared" ca="1" si="19"/>
        <v>0</v>
      </c>
      <c r="BD37" s="395">
        <f t="shared" ca="1" si="19"/>
        <v>0</v>
      </c>
      <c r="BE37" s="395">
        <f t="shared" ca="1" si="19"/>
        <v>0</v>
      </c>
      <c r="BF37" s="395">
        <f t="shared" ca="1" si="19"/>
        <v>0</v>
      </c>
      <c r="BG37" s="395">
        <f t="shared" ca="1" si="19"/>
        <v>0</v>
      </c>
      <c r="BH37" s="395">
        <f t="shared" ca="1" si="19"/>
        <v>0</v>
      </c>
      <c r="BI37" s="395">
        <f t="shared" ca="1" si="19"/>
        <v>0</v>
      </c>
      <c r="BJ37" s="395">
        <f t="shared" ca="1" si="19"/>
        <v>0</v>
      </c>
      <c r="BK37" s="395">
        <f t="shared" ca="1" si="19"/>
        <v>0</v>
      </c>
      <c r="BL37" s="395">
        <f t="shared" ca="1" si="19"/>
        <v>0</v>
      </c>
      <c r="BM37" s="395">
        <f t="shared" ca="1" si="19"/>
        <v>0</v>
      </c>
      <c r="BN37" s="395">
        <f t="shared" ca="1" si="19"/>
        <v>0</v>
      </c>
      <c r="BO37" s="395">
        <f t="shared" ca="1" si="19"/>
        <v>0</v>
      </c>
      <c r="BP37" s="395">
        <f t="shared" ca="1" si="19"/>
        <v>0</v>
      </c>
      <c r="BQ37" s="395">
        <f t="shared" ca="1" si="19"/>
        <v>0</v>
      </c>
      <c r="BR37" s="395">
        <f t="shared" ref="BR37:CK37" ca="1" si="20">SUM(BR33:BR36)</f>
        <v>0</v>
      </c>
      <c r="BS37" s="395">
        <f t="shared" ca="1" si="20"/>
        <v>0</v>
      </c>
      <c r="BT37" s="395">
        <f t="shared" ca="1" si="20"/>
        <v>0</v>
      </c>
      <c r="BU37" s="395">
        <f t="shared" ca="1" si="20"/>
        <v>0</v>
      </c>
      <c r="BV37" s="395">
        <f t="shared" ca="1" si="20"/>
        <v>0</v>
      </c>
      <c r="BW37" s="395">
        <f t="shared" ca="1" si="20"/>
        <v>0</v>
      </c>
      <c r="BX37" s="395">
        <f t="shared" ca="1" si="20"/>
        <v>0</v>
      </c>
      <c r="BY37" s="395">
        <f t="shared" ca="1" si="20"/>
        <v>0</v>
      </c>
      <c r="BZ37" s="395">
        <f t="shared" ca="1" si="20"/>
        <v>0</v>
      </c>
      <c r="CA37" s="395">
        <f t="shared" ca="1" si="20"/>
        <v>0</v>
      </c>
      <c r="CB37" s="395">
        <f t="shared" ca="1" si="20"/>
        <v>0</v>
      </c>
      <c r="CC37" s="395">
        <f t="shared" ca="1" si="20"/>
        <v>0</v>
      </c>
      <c r="CD37" s="395">
        <f t="shared" ca="1" si="20"/>
        <v>0</v>
      </c>
      <c r="CE37" s="395">
        <f t="shared" ca="1" si="20"/>
        <v>0</v>
      </c>
      <c r="CF37" s="395">
        <f t="shared" ca="1" si="20"/>
        <v>0</v>
      </c>
      <c r="CG37" s="395">
        <f t="shared" ca="1" si="20"/>
        <v>0</v>
      </c>
      <c r="CH37" s="395">
        <f t="shared" ca="1" si="20"/>
        <v>0</v>
      </c>
      <c r="CI37" s="395">
        <f t="shared" ca="1" si="20"/>
        <v>0</v>
      </c>
      <c r="CJ37" s="395">
        <f t="shared" ca="1" si="20"/>
        <v>0</v>
      </c>
      <c r="CK37" s="395">
        <f t="shared" ca="1" si="20"/>
        <v>0</v>
      </c>
      <c r="CL37" s="133" t="s">
        <v>15</v>
      </c>
    </row>
    <row r="38" spans="2:90" ht="15" customHeight="1" outlineLevel="1" x14ac:dyDescent="0.2">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row>
    <row r="39" spans="2:90" ht="15" customHeight="1" outlineLevel="1" x14ac:dyDescent="0.2">
      <c r="B39" s="133" t="s">
        <v>265</v>
      </c>
      <c r="C39" s="133"/>
      <c r="D39" s="133"/>
      <c r="E39" s="395">
        <f ca="1">-E36</f>
        <v>0</v>
      </c>
      <c r="F39" s="395">
        <f t="shared" ref="F39:BQ39" ca="1" si="21">-F36</f>
        <v>0</v>
      </c>
      <c r="G39" s="395">
        <f t="shared" ca="1" si="21"/>
        <v>0</v>
      </c>
      <c r="H39" s="395">
        <f t="shared" ca="1" si="21"/>
        <v>0</v>
      </c>
      <c r="I39" s="395">
        <f t="shared" ca="1" si="21"/>
        <v>0</v>
      </c>
      <c r="J39" s="395">
        <f t="shared" ca="1" si="21"/>
        <v>0</v>
      </c>
      <c r="K39" s="395">
        <f t="shared" ca="1" si="21"/>
        <v>0</v>
      </c>
      <c r="L39" s="395">
        <f t="shared" ca="1" si="21"/>
        <v>0</v>
      </c>
      <c r="M39" s="395">
        <f t="shared" ca="1" si="21"/>
        <v>0</v>
      </c>
      <c r="N39" s="395">
        <f t="shared" ca="1" si="21"/>
        <v>0</v>
      </c>
      <c r="O39" s="395">
        <f t="shared" ca="1" si="21"/>
        <v>0</v>
      </c>
      <c r="P39" s="395">
        <f t="shared" ca="1" si="21"/>
        <v>0</v>
      </c>
      <c r="Q39" s="395">
        <f t="shared" ca="1" si="21"/>
        <v>0</v>
      </c>
      <c r="R39" s="395">
        <f t="shared" ca="1" si="21"/>
        <v>0</v>
      </c>
      <c r="S39" s="395">
        <f t="shared" ca="1" si="21"/>
        <v>0</v>
      </c>
      <c r="T39" s="395">
        <f t="shared" ca="1" si="21"/>
        <v>0</v>
      </c>
      <c r="U39" s="395">
        <f t="shared" ca="1" si="21"/>
        <v>0</v>
      </c>
      <c r="V39" s="395">
        <f t="shared" ca="1" si="21"/>
        <v>0</v>
      </c>
      <c r="W39" s="395">
        <f t="shared" ca="1" si="21"/>
        <v>0</v>
      </c>
      <c r="X39" s="395">
        <f t="shared" ca="1" si="21"/>
        <v>0</v>
      </c>
      <c r="Y39" s="395">
        <f t="shared" ca="1" si="21"/>
        <v>0</v>
      </c>
      <c r="Z39" s="395">
        <f t="shared" ca="1" si="21"/>
        <v>0</v>
      </c>
      <c r="AA39" s="395">
        <f t="shared" ca="1" si="21"/>
        <v>0</v>
      </c>
      <c r="AB39" s="395">
        <f t="shared" ca="1" si="21"/>
        <v>0</v>
      </c>
      <c r="AC39" s="395">
        <f t="shared" ca="1" si="21"/>
        <v>0</v>
      </c>
      <c r="AD39" s="395">
        <f t="shared" ca="1" si="21"/>
        <v>0</v>
      </c>
      <c r="AE39" s="395">
        <f t="shared" ca="1" si="21"/>
        <v>0</v>
      </c>
      <c r="AF39" s="395">
        <f t="shared" ca="1" si="21"/>
        <v>0</v>
      </c>
      <c r="AG39" s="395">
        <f t="shared" ca="1" si="21"/>
        <v>0</v>
      </c>
      <c r="AH39" s="395">
        <f t="shared" ca="1" si="21"/>
        <v>0</v>
      </c>
      <c r="AI39" s="395">
        <f t="shared" ca="1" si="21"/>
        <v>0</v>
      </c>
      <c r="AJ39" s="395">
        <f t="shared" ca="1" si="21"/>
        <v>0</v>
      </c>
      <c r="AK39" s="395">
        <f t="shared" ca="1" si="21"/>
        <v>0</v>
      </c>
      <c r="AL39" s="395">
        <f t="shared" ca="1" si="21"/>
        <v>0</v>
      </c>
      <c r="AM39" s="395">
        <f t="shared" ca="1" si="21"/>
        <v>0</v>
      </c>
      <c r="AN39" s="395">
        <f t="shared" ca="1" si="21"/>
        <v>0</v>
      </c>
      <c r="AO39" s="395">
        <f t="shared" ca="1" si="21"/>
        <v>14030267.817471253</v>
      </c>
      <c r="AP39" s="395">
        <f t="shared" ca="1" si="21"/>
        <v>0</v>
      </c>
      <c r="AQ39" s="395">
        <f t="shared" ca="1" si="21"/>
        <v>0</v>
      </c>
      <c r="AR39" s="395">
        <f t="shared" ca="1" si="21"/>
        <v>0</v>
      </c>
      <c r="AS39" s="395">
        <f t="shared" ca="1" si="21"/>
        <v>0</v>
      </c>
      <c r="AT39" s="395">
        <f t="shared" ca="1" si="21"/>
        <v>0</v>
      </c>
      <c r="AU39" s="395">
        <f t="shared" ca="1" si="21"/>
        <v>0</v>
      </c>
      <c r="AV39" s="395">
        <f t="shared" ca="1" si="21"/>
        <v>0</v>
      </c>
      <c r="AW39" s="395">
        <f t="shared" ca="1" si="21"/>
        <v>0</v>
      </c>
      <c r="AX39" s="395">
        <f t="shared" ca="1" si="21"/>
        <v>0</v>
      </c>
      <c r="AY39" s="395">
        <f t="shared" ca="1" si="21"/>
        <v>0</v>
      </c>
      <c r="AZ39" s="395">
        <f t="shared" ca="1" si="21"/>
        <v>0</v>
      </c>
      <c r="BA39" s="395">
        <f t="shared" ca="1" si="21"/>
        <v>0</v>
      </c>
      <c r="BB39" s="395">
        <f t="shared" ca="1" si="21"/>
        <v>0</v>
      </c>
      <c r="BC39" s="395">
        <f t="shared" ca="1" si="21"/>
        <v>0</v>
      </c>
      <c r="BD39" s="395">
        <f t="shared" ca="1" si="21"/>
        <v>0</v>
      </c>
      <c r="BE39" s="395">
        <f t="shared" ca="1" si="21"/>
        <v>0</v>
      </c>
      <c r="BF39" s="395">
        <f t="shared" ca="1" si="21"/>
        <v>0</v>
      </c>
      <c r="BG39" s="395">
        <f t="shared" ca="1" si="21"/>
        <v>0</v>
      </c>
      <c r="BH39" s="395">
        <f t="shared" ca="1" si="21"/>
        <v>0</v>
      </c>
      <c r="BI39" s="395">
        <f t="shared" ca="1" si="21"/>
        <v>0</v>
      </c>
      <c r="BJ39" s="395">
        <f t="shared" ca="1" si="21"/>
        <v>0</v>
      </c>
      <c r="BK39" s="395">
        <f t="shared" ca="1" si="21"/>
        <v>0</v>
      </c>
      <c r="BL39" s="395">
        <f t="shared" ca="1" si="21"/>
        <v>0</v>
      </c>
      <c r="BM39" s="395">
        <f t="shared" ca="1" si="21"/>
        <v>0</v>
      </c>
      <c r="BN39" s="395">
        <f t="shared" ca="1" si="21"/>
        <v>0</v>
      </c>
      <c r="BO39" s="395">
        <f t="shared" ca="1" si="21"/>
        <v>0</v>
      </c>
      <c r="BP39" s="395">
        <f t="shared" ca="1" si="21"/>
        <v>0</v>
      </c>
      <c r="BQ39" s="395">
        <f t="shared" ca="1" si="21"/>
        <v>0</v>
      </c>
      <c r="BR39" s="395">
        <f t="shared" ref="BR39:CK39" ca="1" si="22">-BR36</f>
        <v>0</v>
      </c>
      <c r="BS39" s="395">
        <f t="shared" ca="1" si="22"/>
        <v>0</v>
      </c>
      <c r="BT39" s="395">
        <f t="shared" ca="1" si="22"/>
        <v>0</v>
      </c>
      <c r="BU39" s="395">
        <f t="shared" ca="1" si="22"/>
        <v>0</v>
      </c>
      <c r="BV39" s="395">
        <f t="shared" ca="1" si="22"/>
        <v>0</v>
      </c>
      <c r="BW39" s="395">
        <f t="shared" ca="1" si="22"/>
        <v>0</v>
      </c>
      <c r="BX39" s="395">
        <f t="shared" ca="1" si="22"/>
        <v>0</v>
      </c>
      <c r="BY39" s="395">
        <f t="shared" ca="1" si="22"/>
        <v>0</v>
      </c>
      <c r="BZ39" s="395">
        <f t="shared" ca="1" si="22"/>
        <v>0</v>
      </c>
      <c r="CA39" s="395">
        <f t="shared" ca="1" si="22"/>
        <v>0</v>
      </c>
      <c r="CB39" s="395">
        <f t="shared" ca="1" si="22"/>
        <v>0</v>
      </c>
      <c r="CC39" s="395">
        <f t="shared" ca="1" si="22"/>
        <v>0</v>
      </c>
      <c r="CD39" s="395">
        <f t="shared" ca="1" si="22"/>
        <v>0</v>
      </c>
      <c r="CE39" s="395">
        <f t="shared" ca="1" si="22"/>
        <v>0</v>
      </c>
      <c r="CF39" s="395">
        <f t="shared" ca="1" si="22"/>
        <v>0</v>
      </c>
      <c r="CG39" s="395">
        <f t="shared" ca="1" si="22"/>
        <v>0</v>
      </c>
      <c r="CH39" s="395">
        <f t="shared" ca="1" si="22"/>
        <v>0</v>
      </c>
      <c r="CI39" s="395">
        <f t="shared" ca="1" si="22"/>
        <v>0</v>
      </c>
      <c r="CJ39" s="395">
        <f t="shared" ca="1" si="22"/>
        <v>0</v>
      </c>
      <c r="CK39" s="395">
        <f t="shared" ca="1" si="22"/>
        <v>0</v>
      </c>
      <c r="CL39" s="133" t="s">
        <v>15</v>
      </c>
    </row>
    <row r="40" spans="2:90" ht="15" customHeight="1" outlineLevel="1" x14ac:dyDescent="0.2">
      <c r="B40" s="133" t="s">
        <v>266</v>
      </c>
      <c r="C40" s="133"/>
      <c r="D40" s="133"/>
      <c r="E40" s="395">
        <f t="shared" ref="E40:AJ40" ca="1" si="23">E39*Tier1_SponsorPctCF_Case1/Tier1_CoInvestorPctCF_Case1</f>
        <v>0</v>
      </c>
      <c r="F40" s="395">
        <f t="shared" ca="1" si="23"/>
        <v>0</v>
      </c>
      <c r="G40" s="395">
        <f t="shared" ca="1" si="23"/>
        <v>0</v>
      </c>
      <c r="H40" s="395">
        <f t="shared" ca="1" si="23"/>
        <v>0</v>
      </c>
      <c r="I40" s="395">
        <f t="shared" ca="1" si="23"/>
        <v>0</v>
      </c>
      <c r="J40" s="395">
        <f t="shared" ca="1" si="23"/>
        <v>0</v>
      </c>
      <c r="K40" s="395">
        <f t="shared" ca="1" si="23"/>
        <v>0</v>
      </c>
      <c r="L40" s="395">
        <f t="shared" ca="1" si="23"/>
        <v>0</v>
      </c>
      <c r="M40" s="395">
        <f t="shared" ca="1" si="23"/>
        <v>0</v>
      </c>
      <c r="N40" s="395">
        <f t="shared" ca="1" si="23"/>
        <v>0</v>
      </c>
      <c r="O40" s="395">
        <f t="shared" ca="1" si="23"/>
        <v>0</v>
      </c>
      <c r="P40" s="395">
        <f t="shared" ca="1" si="23"/>
        <v>0</v>
      </c>
      <c r="Q40" s="395">
        <f t="shared" ca="1" si="23"/>
        <v>0</v>
      </c>
      <c r="R40" s="395">
        <f t="shared" ca="1" si="23"/>
        <v>0</v>
      </c>
      <c r="S40" s="395">
        <f t="shared" ca="1" si="23"/>
        <v>0</v>
      </c>
      <c r="T40" s="395">
        <f t="shared" ca="1" si="23"/>
        <v>0</v>
      </c>
      <c r="U40" s="395">
        <f t="shared" ca="1" si="23"/>
        <v>0</v>
      </c>
      <c r="V40" s="395">
        <f t="shared" ca="1" si="23"/>
        <v>0</v>
      </c>
      <c r="W40" s="395">
        <f t="shared" ca="1" si="23"/>
        <v>0</v>
      </c>
      <c r="X40" s="395">
        <f t="shared" ca="1" si="23"/>
        <v>0</v>
      </c>
      <c r="Y40" s="395">
        <f t="shared" ca="1" si="23"/>
        <v>0</v>
      </c>
      <c r="Z40" s="395">
        <f t="shared" ca="1" si="23"/>
        <v>0</v>
      </c>
      <c r="AA40" s="395">
        <f t="shared" ca="1" si="23"/>
        <v>0</v>
      </c>
      <c r="AB40" s="395">
        <f t="shared" ca="1" si="23"/>
        <v>0</v>
      </c>
      <c r="AC40" s="395">
        <f t="shared" ca="1" si="23"/>
        <v>0</v>
      </c>
      <c r="AD40" s="395">
        <f t="shared" ca="1" si="23"/>
        <v>0</v>
      </c>
      <c r="AE40" s="395">
        <f t="shared" ca="1" si="23"/>
        <v>0</v>
      </c>
      <c r="AF40" s="395">
        <f t="shared" ca="1" si="23"/>
        <v>0</v>
      </c>
      <c r="AG40" s="395">
        <f t="shared" ca="1" si="23"/>
        <v>0</v>
      </c>
      <c r="AH40" s="395">
        <f t="shared" ca="1" si="23"/>
        <v>0</v>
      </c>
      <c r="AI40" s="395">
        <f t="shared" ca="1" si="23"/>
        <v>0</v>
      </c>
      <c r="AJ40" s="395">
        <f t="shared" ca="1" si="23"/>
        <v>0</v>
      </c>
      <c r="AK40" s="395">
        <f t="shared" ref="AK40:BP40" ca="1" si="24">AK39*Tier1_SponsorPctCF_Case1/Tier1_CoInvestorPctCF_Case1</f>
        <v>0</v>
      </c>
      <c r="AL40" s="395">
        <f t="shared" ca="1" si="24"/>
        <v>0</v>
      </c>
      <c r="AM40" s="395">
        <f t="shared" ca="1" si="24"/>
        <v>0</v>
      </c>
      <c r="AN40" s="395">
        <f t="shared" ca="1" si="24"/>
        <v>0</v>
      </c>
      <c r="AO40" s="395">
        <f t="shared" ca="1" si="24"/>
        <v>0</v>
      </c>
      <c r="AP40" s="395">
        <f t="shared" ca="1" si="24"/>
        <v>0</v>
      </c>
      <c r="AQ40" s="395">
        <f t="shared" ca="1" si="24"/>
        <v>0</v>
      </c>
      <c r="AR40" s="395">
        <f t="shared" ca="1" si="24"/>
        <v>0</v>
      </c>
      <c r="AS40" s="395">
        <f t="shared" ca="1" si="24"/>
        <v>0</v>
      </c>
      <c r="AT40" s="395">
        <f t="shared" ca="1" si="24"/>
        <v>0</v>
      </c>
      <c r="AU40" s="395">
        <f t="shared" ca="1" si="24"/>
        <v>0</v>
      </c>
      <c r="AV40" s="395">
        <f t="shared" ca="1" si="24"/>
        <v>0</v>
      </c>
      <c r="AW40" s="395">
        <f t="shared" ca="1" si="24"/>
        <v>0</v>
      </c>
      <c r="AX40" s="395">
        <f t="shared" ca="1" si="24"/>
        <v>0</v>
      </c>
      <c r="AY40" s="395">
        <f t="shared" ca="1" si="24"/>
        <v>0</v>
      </c>
      <c r="AZ40" s="395">
        <f t="shared" ca="1" si="24"/>
        <v>0</v>
      </c>
      <c r="BA40" s="395">
        <f t="shared" ca="1" si="24"/>
        <v>0</v>
      </c>
      <c r="BB40" s="395">
        <f t="shared" ca="1" si="24"/>
        <v>0</v>
      </c>
      <c r="BC40" s="395">
        <f t="shared" ca="1" si="24"/>
        <v>0</v>
      </c>
      <c r="BD40" s="395">
        <f t="shared" ca="1" si="24"/>
        <v>0</v>
      </c>
      <c r="BE40" s="395">
        <f t="shared" ca="1" si="24"/>
        <v>0</v>
      </c>
      <c r="BF40" s="395">
        <f t="shared" ca="1" si="24"/>
        <v>0</v>
      </c>
      <c r="BG40" s="395">
        <f t="shared" ca="1" si="24"/>
        <v>0</v>
      </c>
      <c r="BH40" s="395">
        <f t="shared" ca="1" si="24"/>
        <v>0</v>
      </c>
      <c r="BI40" s="395">
        <f t="shared" ca="1" si="24"/>
        <v>0</v>
      </c>
      <c r="BJ40" s="395">
        <f t="shared" ca="1" si="24"/>
        <v>0</v>
      </c>
      <c r="BK40" s="395">
        <f t="shared" ca="1" si="24"/>
        <v>0</v>
      </c>
      <c r="BL40" s="395">
        <f t="shared" ca="1" si="24"/>
        <v>0</v>
      </c>
      <c r="BM40" s="395">
        <f t="shared" ca="1" si="24"/>
        <v>0</v>
      </c>
      <c r="BN40" s="395">
        <f t="shared" ca="1" si="24"/>
        <v>0</v>
      </c>
      <c r="BO40" s="395">
        <f t="shared" ca="1" si="24"/>
        <v>0</v>
      </c>
      <c r="BP40" s="395">
        <f t="shared" ca="1" si="24"/>
        <v>0</v>
      </c>
      <c r="BQ40" s="395">
        <f t="shared" ref="BQ40:CK40" ca="1" si="25">BQ39*Tier1_SponsorPctCF_Case1/Tier1_CoInvestorPctCF_Case1</f>
        <v>0</v>
      </c>
      <c r="BR40" s="395">
        <f t="shared" ca="1" si="25"/>
        <v>0</v>
      </c>
      <c r="BS40" s="395">
        <f t="shared" ca="1" si="25"/>
        <v>0</v>
      </c>
      <c r="BT40" s="395">
        <f t="shared" ca="1" si="25"/>
        <v>0</v>
      </c>
      <c r="BU40" s="395">
        <f t="shared" ca="1" si="25"/>
        <v>0</v>
      </c>
      <c r="BV40" s="395">
        <f t="shared" ca="1" si="25"/>
        <v>0</v>
      </c>
      <c r="BW40" s="395">
        <f t="shared" ca="1" si="25"/>
        <v>0</v>
      </c>
      <c r="BX40" s="395">
        <f t="shared" ca="1" si="25"/>
        <v>0</v>
      </c>
      <c r="BY40" s="395">
        <f t="shared" ca="1" si="25"/>
        <v>0</v>
      </c>
      <c r="BZ40" s="395">
        <f t="shared" ca="1" si="25"/>
        <v>0</v>
      </c>
      <c r="CA40" s="395">
        <f t="shared" ca="1" si="25"/>
        <v>0</v>
      </c>
      <c r="CB40" s="395">
        <f t="shared" ca="1" si="25"/>
        <v>0</v>
      </c>
      <c r="CC40" s="395">
        <f t="shared" ca="1" si="25"/>
        <v>0</v>
      </c>
      <c r="CD40" s="395">
        <f t="shared" ca="1" si="25"/>
        <v>0</v>
      </c>
      <c r="CE40" s="395">
        <f t="shared" ca="1" si="25"/>
        <v>0</v>
      </c>
      <c r="CF40" s="395">
        <f t="shared" ca="1" si="25"/>
        <v>0</v>
      </c>
      <c r="CG40" s="395">
        <f t="shared" ca="1" si="25"/>
        <v>0</v>
      </c>
      <c r="CH40" s="395">
        <f t="shared" ca="1" si="25"/>
        <v>0</v>
      </c>
      <c r="CI40" s="395">
        <f t="shared" ca="1" si="25"/>
        <v>0</v>
      </c>
      <c r="CJ40" s="395">
        <f t="shared" ca="1" si="25"/>
        <v>0</v>
      </c>
      <c r="CK40" s="395">
        <f t="shared" ca="1" si="25"/>
        <v>0</v>
      </c>
      <c r="CL40" s="133" t="s">
        <v>15</v>
      </c>
    </row>
    <row r="41" spans="2:90" ht="15" customHeight="1" outlineLevel="1" x14ac:dyDescent="0.2">
      <c r="B41" s="133" t="s">
        <v>30</v>
      </c>
      <c r="C41" s="133"/>
      <c r="D41" s="133"/>
      <c r="E41" s="395">
        <f ca="1">SUM(E39:E40)</f>
        <v>0</v>
      </c>
      <c r="F41" s="395">
        <f t="shared" ref="F41:BQ41" ca="1" si="26">SUM(F39:F40)</f>
        <v>0</v>
      </c>
      <c r="G41" s="395">
        <f t="shared" ca="1" si="26"/>
        <v>0</v>
      </c>
      <c r="H41" s="395">
        <f t="shared" ca="1" si="26"/>
        <v>0</v>
      </c>
      <c r="I41" s="395">
        <f t="shared" ca="1" si="26"/>
        <v>0</v>
      </c>
      <c r="J41" s="395">
        <f t="shared" ca="1" si="26"/>
        <v>0</v>
      </c>
      <c r="K41" s="395">
        <f t="shared" ca="1" si="26"/>
        <v>0</v>
      </c>
      <c r="L41" s="395">
        <f t="shared" ca="1" si="26"/>
        <v>0</v>
      </c>
      <c r="M41" s="395">
        <f t="shared" ca="1" si="26"/>
        <v>0</v>
      </c>
      <c r="N41" s="395">
        <f t="shared" ca="1" si="26"/>
        <v>0</v>
      </c>
      <c r="O41" s="395">
        <f t="shared" ca="1" si="26"/>
        <v>0</v>
      </c>
      <c r="P41" s="395">
        <f t="shared" ca="1" si="26"/>
        <v>0</v>
      </c>
      <c r="Q41" s="395">
        <f t="shared" ca="1" si="26"/>
        <v>0</v>
      </c>
      <c r="R41" s="395">
        <f t="shared" ca="1" si="26"/>
        <v>0</v>
      </c>
      <c r="S41" s="395">
        <f t="shared" ca="1" si="26"/>
        <v>0</v>
      </c>
      <c r="T41" s="395">
        <f t="shared" ca="1" si="26"/>
        <v>0</v>
      </c>
      <c r="U41" s="395">
        <f t="shared" ca="1" si="26"/>
        <v>0</v>
      </c>
      <c r="V41" s="395">
        <f t="shared" ca="1" si="26"/>
        <v>0</v>
      </c>
      <c r="W41" s="395">
        <f t="shared" ca="1" si="26"/>
        <v>0</v>
      </c>
      <c r="X41" s="395">
        <f t="shared" ca="1" si="26"/>
        <v>0</v>
      </c>
      <c r="Y41" s="395">
        <f t="shared" ca="1" si="26"/>
        <v>0</v>
      </c>
      <c r="Z41" s="395">
        <f t="shared" ca="1" si="26"/>
        <v>0</v>
      </c>
      <c r="AA41" s="395">
        <f t="shared" ca="1" si="26"/>
        <v>0</v>
      </c>
      <c r="AB41" s="395">
        <f t="shared" ca="1" si="26"/>
        <v>0</v>
      </c>
      <c r="AC41" s="395">
        <f t="shared" ca="1" si="26"/>
        <v>0</v>
      </c>
      <c r="AD41" s="395">
        <f t="shared" ca="1" si="26"/>
        <v>0</v>
      </c>
      <c r="AE41" s="395">
        <f t="shared" ca="1" si="26"/>
        <v>0</v>
      </c>
      <c r="AF41" s="395">
        <f t="shared" ca="1" si="26"/>
        <v>0</v>
      </c>
      <c r="AG41" s="395">
        <f t="shared" ca="1" si="26"/>
        <v>0</v>
      </c>
      <c r="AH41" s="395">
        <f t="shared" ca="1" si="26"/>
        <v>0</v>
      </c>
      <c r="AI41" s="395">
        <f t="shared" ca="1" si="26"/>
        <v>0</v>
      </c>
      <c r="AJ41" s="395">
        <f t="shared" ca="1" si="26"/>
        <v>0</v>
      </c>
      <c r="AK41" s="395">
        <f t="shared" ca="1" si="26"/>
        <v>0</v>
      </c>
      <c r="AL41" s="395">
        <f t="shared" ca="1" si="26"/>
        <v>0</v>
      </c>
      <c r="AM41" s="395">
        <f t="shared" ca="1" si="26"/>
        <v>0</v>
      </c>
      <c r="AN41" s="395">
        <f t="shared" ca="1" si="26"/>
        <v>0</v>
      </c>
      <c r="AO41" s="395">
        <f t="shared" ca="1" si="26"/>
        <v>14030267.817471253</v>
      </c>
      <c r="AP41" s="395">
        <f t="shared" ca="1" si="26"/>
        <v>0</v>
      </c>
      <c r="AQ41" s="395">
        <f t="shared" ca="1" si="26"/>
        <v>0</v>
      </c>
      <c r="AR41" s="395">
        <f t="shared" ca="1" si="26"/>
        <v>0</v>
      </c>
      <c r="AS41" s="395">
        <f t="shared" ca="1" si="26"/>
        <v>0</v>
      </c>
      <c r="AT41" s="395">
        <f t="shared" ca="1" si="26"/>
        <v>0</v>
      </c>
      <c r="AU41" s="395">
        <f t="shared" ca="1" si="26"/>
        <v>0</v>
      </c>
      <c r="AV41" s="395">
        <f t="shared" ca="1" si="26"/>
        <v>0</v>
      </c>
      <c r="AW41" s="395">
        <f t="shared" ca="1" si="26"/>
        <v>0</v>
      </c>
      <c r="AX41" s="395">
        <f t="shared" ca="1" si="26"/>
        <v>0</v>
      </c>
      <c r="AY41" s="395">
        <f t="shared" ca="1" si="26"/>
        <v>0</v>
      </c>
      <c r="AZ41" s="395">
        <f t="shared" ca="1" si="26"/>
        <v>0</v>
      </c>
      <c r="BA41" s="395">
        <f t="shared" ca="1" si="26"/>
        <v>0</v>
      </c>
      <c r="BB41" s="395">
        <f t="shared" ca="1" si="26"/>
        <v>0</v>
      </c>
      <c r="BC41" s="395">
        <f t="shared" ca="1" si="26"/>
        <v>0</v>
      </c>
      <c r="BD41" s="395">
        <f t="shared" ca="1" si="26"/>
        <v>0</v>
      </c>
      <c r="BE41" s="395">
        <f t="shared" ca="1" si="26"/>
        <v>0</v>
      </c>
      <c r="BF41" s="395">
        <f t="shared" ca="1" si="26"/>
        <v>0</v>
      </c>
      <c r="BG41" s="395">
        <f t="shared" ca="1" si="26"/>
        <v>0</v>
      </c>
      <c r="BH41" s="395">
        <f t="shared" ca="1" si="26"/>
        <v>0</v>
      </c>
      <c r="BI41" s="395">
        <f t="shared" ca="1" si="26"/>
        <v>0</v>
      </c>
      <c r="BJ41" s="395">
        <f t="shared" ca="1" si="26"/>
        <v>0</v>
      </c>
      <c r="BK41" s="395">
        <f t="shared" ca="1" si="26"/>
        <v>0</v>
      </c>
      <c r="BL41" s="395">
        <f t="shared" ca="1" si="26"/>
        <v>0</v>
      </c>
      <c r="BM41" s="395">
        <f t="shared" ca="1" si="26"/>
        <v>0</v>
      </c>
      <c r="BN41" s="395">
        <f t="shared" ca="1" si="26"/>
        <v>0</v>
      </c>
      <c r="BO41" s="395">
        <f t="shared" ca="1" si="26"/>
        <v>0</v>
      </c>
      <c r="BP41" s="395">
        <f t="shared" ca="1" si="26"/>
        <v>0</v>
      </c>
      <c r="BQ41" s="395">
        <f t="shared" ca="1" si="26"/>
        <v>0</v>
      </c>
      <c r="BR41" s="395">
        <f t="shared" ref="BR41:CK41" ca="1" si="27">SUM(BR39:BR40)</f>
        <v>0</v>
      </c>
      <c r="BS41" s="395">
        <f t="shared" ca="1" si="27"/>
        <v>0</v>
      </c>
      <c r="BT41" s="395">
        <f t="shared" ca="1" si="27"/>
        <v>0</v>
      </c>
      <c r="BU41" s="395">
        <f t="shared" ca="1" si="27"/>
        <v>0</v>
      </c>
      <c r="BV41" s="395">
        <f t="shared" ca="1" si="27"/>
        <v>0</v>
      </c>
      <c r="BW41" s="395">
        <f t="shared" ca="1" si="27"/>
        <v>0</v>
      </c>
      <c r="BX41" s="395">
        <f t="shared" ca="1" si="27"/>
        <v>0</v>
      </c>
      <c r="BY41" s="395">
        <f t="shared" ca="1" si="27"/>
        <v>0</v>
      </c>
      <c r="BZ41" s="395">
        <f t="shared" ca="1" si="27"/>
        <v>0</v>
      </c>
      <c r="CA41" s="395">
        <f t="shared" ca="1" si="27"/>
        <v>0</v>
      </c>
      <c r="CB41" s="395">
        <f t="shared" ca="1" si="27"/>
        <v>0</v>
      </c>
      <c r="CC41" s="395">
        <f t="shared" ca="1" si="27"/>
        <v>0</v>
      </c>
      <c r="CD41" s="395">
        <f t="shared" ca="1" si="27"/>
        <v>0</v>
      </c>
      <c r="CE41" s="395">
        <f t="shared" ca="1" si="27"/>
        <v>0</v>
      </c>
      <c r="CF41" s="395">
        <f t="shared" ca="1" si="27"/>
        <v>0</v>
      </c>
      <c r="CG41" s="395">
        <f t="shared" ca="1" si="27"/>
        <v>0</v>
      </c>
      <c r="CH41" s="395">
        <f t="shared" ca="1" si="27"/>
        <v>0</v>
      </c>
      <c r="CI41" s="395">
        <f t="shared" ca="1" si="27"/>
        <v>0</v>
      </c>
      <c r="CJ41" s="395">
        <f t="shared" ca="1" si="27"/>
        <v>0</v>
      </c>
      <c r="CK41" s="395">
        <f t="shared" ca="1" si="27"/>
        <v>0</v>
      </c>
      <c r="CL41" s="133" t="s">
        <v>15</v>
      </c>
    </row>
    <row r="42" spans="2:90" ht="15" customHeight="1" outlineLevel="1" x14ac:dyDescent="0.2">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row>
    <row r="43" spans="2:90" ht="15" customHeight="1" x14ac:dyDescent="0.2">
      <c r="B43" s="133" t="s">
        <v>267</v>
      </c>
      <c r="C43" s="133"/>
      <c r="D43" s="133"/>
      <c r="E43" s="395">
        <f ca="1">-E34+E39</f>
        <v>-7407606.645626572</v>
      </c>
      <c r="F43" s="395">
        <f t="shared" ref="F43:BQ43" ca="1" si="28">-F34+F39</f>
        <v>-285383.29077599995</v>
      </c>
      <c r="G43" s="395">
        <f t="shared" ca="1" si="28"/>
        <v>-285570.15163971425</v>
      </c>
      <c r="H43" s="395">
        <f t="shared" ca="1" si="28"/>
        <v>-306776.83638342854</v>
      </c>
      <c r="I43" s="395">
        <f t="shared" ca="1" si="28"/>
        <v>-291212.83321714279</v>
      </c>
      <c r="J43" s="395">
        <f t="shared" ca="1" si="28"/>
        <v>-247261.56490285715</v>
      </c>
      <c r="K43" s="395">
        <f t="shared" ca="1" si="28"/>
        <v>-416184.54954857141</v>
      </c>
      <c r="L43" s="395">
        <f t="shared" ca="1" si="28"/>
        <v>-634013.1134575489</v>
      </c>
      <c r="M43" s="395">
        <f t="shared" ca="1" si="28"/>
        <v>-634431.44036652625</v>
      </c>
      <c r="N43" s="395">
        <f t="shared" ca="1" si="28"/>
        <v>-526309.4412586448</v>
      </c>
      <c r="O43" s="395">
        <f t="shared" ca="1" si="28"/>
        <v>-7287.0918000000001</v>
      </c>
      <c r="P43" s="395">
        <f t="shared" ca="1" si="28"/>
        <v>-7287.0918000000001</v>
      </c>
      <c r="Q43" s="395">
        <f t="shared" ca="1" si="28"/>
        <v>-7287.0918000000001</v>
      </c>
      <c r="R43" s="395">
        <f t="shared" ca="1" si="28"/>
        <v>-7287.0918000000001</v>
      </c>
      <c r="S43" s="395">
        <f t="shared" ca="1" si="28"/>
        <v>-7287.0918000000001</v>
      </c>
      <c r="T43" s="395">
        <f t="shared" ca="1" si="28"/>
        <v>-7287.0918000000001</v>
      </c>
      <c r="U43" s="395">
        <f t="shared" ca="1" si="28"/>
        <v>-7287.0918000000001</v>
      </c>
      <c r="V43" s="395">
        <f t="shared" ca="1" si="28"/>
        <v>-7287.0918000000001</v>
      </c>
      <c r="W43" s="395">
        <f t="shared" ca="1" si="28"/>
        <v>-7287.0918000000001</v>
      </c>
      <c r="X43" s="395">
        <f t="shared" ca="1" si="28"/>
        <v>-7287.0918000000001</v>
      </c>
      <c r="Y43" s="395">
        <f t="shared" ca="1" si="28"/>
        <v>-7287.0918000000001</v>
      </c>
      <c r="Z43" s="395">
        <f t="shared" ca="1" si="28"/>
        <v>-7287.0918000000001</v>
      </c>
      <c r="AA43" s="395">
        <f t="shared" ca="1" si="28"/>
        <v>-7287.0918000000001</v>
      </c>
      <c r="AB43" s="395">
        <f t="shared" ca="1" si="28"/>
        <v>-7287.0918000000001</v>
      </c>
      <c r="AC43" s="395">
        <f t="shared" ca="1" si="28"/>
        <v>-7287.0918000000001</v>
      </c>
      <c r="AD43" s="395">
        <f t="shared" ca="1" si="28"/>
        <v>-7287.0918000000001</v>
      </c>
      <c r="AE43" s="395">
        <f t="shared" ca="1" si="28"/>
        <v>-7287.0918000000001</v>
      </c>
      <c r="AF43" s="395">
        <f t="shared" ca="1" si="28"/>
        <v>-7287.0918000000001</v>
      </c>
      <c r="AG43" s="395">
        <f t="shared" ca="1" si="28"/>
        <v>-7287.0918000000001</v>
      </c>
      <c r="AH43" s="395">
        <f t="shared" ca="1" si="28"/>
        <v>-7287.0918000000001</v>
      </c>
      <c r="AI43" s="395">
        <f t="shared" ca="1" si="28"/>
        <v>-7287.0918000000001</v>
      </c>
      <c r="AJ43" s="395">
        <f t="shared" ca="1" si="28"/>
        <v>-7287.0918000000001</v>
      </c>
      <c r="AK43" s="395">
        <f t="shared" ca="1" si="28"/>
        <v>-7287.0918000000001</v>
      </c>
      <c r="AL43" s="395">
        <f t="shared" ca="1" si="28"/>
        <v>-7287.0918000000001</v>
      </c>
      <c r="AM43" s="395">
        <f t="shared" ca="1" si="28"/>
        <v>-7287.0918000000001</v>
      </c>
      <c r="AN43" s="395">
        <f t="shared" ca="1" si="28"/>
        <v>-7287.0918000000001</v>
      </c>
      <c r="AO43" s="395">
        <f t="shared" ca="1" si="28"/>
        <v>14030267.817471253</v>
      </c>
      <c r="AP43" s="395">
        <f t="shared" ca="1" si="28"/>
        <v>0</v>
      </c>
      <c r="AQ43" s="395">
        <f t="shared" ca="1" si="28"/>
        <v>0</v>
      </c>
      <c r="AR43" s="395">
        <f t="shared" ca="1" si="28"/>
        <v>0</v>
      </c>
      <c r="AS43" s="395">
        <f t="shared" ca="1" si="28"/>
        <v>0</v>
      </c>
      <c r="AT43" s="395">
        <f t="shared" ca="1" si="28"/>
        <v>0</v>
      </c>
      <c r="AU43" s="395">
        <f t="shared" ca="1" si="28"/>
        <v>0</v>
      </c>
      <c r="AV43" s="395">
        <f t="shared" ca="1" si="28"/>
        <v>0</v>
      </c>
      <c r="AW43" s="395">
        <f t="shared" ca="1" si="28"/>
        <v>0</v>
      </c>
      <c r="AX43" s="395">
        <f t="shared" ca="1" si="28"/>
        <v>0</v>
      </c>
      <c r="AY43" s="395">
        <f t="shared" ca="1" si="28"/>
        <v>0</v>
      </c>
      <c r="AZ43" s="395">
        <f t="shared" ca="1" si="28"/>
        <v>0</v>
      </c>
      <c r="BA43" s="395">
        <f t="shared" ca="1" si="28"/>
        <v>0</v>
      </c>
      <c r="BB43" s="395">
        <f t="shared" ca="1" si="28"/>
        <v>0</v>
      </c>
      <c r="BC43" s="395">
        <f t="shared" ca="1" si="28"/>
        <v>0</v>
      </c>
      <c r="BD43" s="395">
        <f t="shared" ca="1" si="28"/>
        <v>0</v>
      </c>
      <c r="BE43" s="395">
        <f t="shared" ca="1" si="28"/>
        <v>0</v>
      </c>
      <c r="BF43" s="395">
        <f t="shared" ca="1" si="28"/>
        <v>0</v>
      </c>
      <c r="BG43" s="395">
        <f t="shared" ca="1" si="28"/>
        <v>0</v>
      </c>
      <c r="BH43" s="395">
        <f t="shared" ca="1" si="28"/>
        <v>0</v>
      </c>
      <c r="BI43" s="395">
        <f t="shared" ca="1" si="28"/>
        <v>0</v>
      </c>
      <c r="BJ43" s="395">
        <f t="shared" ca="1" si="28"/>
        <v>0</v>
      </c>
      <c r="BK43" s="395">
        <f t="shared" ca="1" si="28"/>
        <v>0</v>
      </c>
      <c r="BL43" s="395">
        <f t="shared" ca="1" si="28"/>
        <v>0</v>
      </c>
      <c r="BM43" s="395">
        <f t="shared" ca="1" si="28"/>
        <v>0</v>
      </c>
      <c r="BN43" s="395">
        <f t="shared" ca="1" si="28"/>
        <v>0</v>
      </c>
      <c r="BO43" s="395">
        <f t="shared" ca="1" si="28"/>
        <v>0</v>
      </c>
      <c r="BP43" s="395">
        <f t="shared" ca="1" si="28"/>
        <v>0</v>
      </c>
      <c r="BQ43" s="395">
        <f t="shared" ca="1" si="28"/>
        <v>0</v>
      </c>
      <c r="BR43" s="395">
        <f t="shared" ref="BR43:CK43" ca="1" si="29">-BR34+BR39</f>
        <v>0</v>
      </c>
      <c r="BS43" s="395">
        <f t="shared" ca="1" si="29"/>
        <v>0</v>
      </c>
      <c r="BT43" s="395">
        <f t="shared" ca="1" si="29"/>
        <v>0</v>
      </c>
      <c r="BU43" s="395">
        <f t="shared" ca="1" si="29"/>
        <v>0</v>
      </c>
      <c r="BV43" s="395">
        <f t="shared" ca="1" si="29"/>
        <v>0</v>
      </c>
      <c r="BW43" s="395">
        <f t="shared" ca="1" si="29"/>
        <v>0</v>
      </c>
      <c r="BX43" s="395">
        <f t="shared" ca="1" si="29"/>
        <v>0</v>
      </c>
      <c r="BY43" s="395">
        <f t="shared" ca="1" si="29"/>
        <v>0</v>
      </c>
      <c r="BZ43" s="395">
        <f t="shared" ca="1" si="29"/>
        <v>0</v>
      </c>
      <c r="CA43" s="395">
        <f t="shared" ca="1" si="29"/>
        <v>0</v>
      </c>
      <c r="CB43" s="395">
        <f t="shared" ca="1" si="29"/>
        <v>0</v>
      </c>
      <c r="CC43" s="395">
        <f t="shared" ca="1" si="29"/>
        <v>0</v>
      </c>
      <c r="CD43" s="395">
        <f t="shared" ca="1" si="29"/>
        <v>0</v>
      </c>
      <c r="CE43" s="395">
        <f t="shared" ca="1" si="29"/>
        <v>0</v>
      </c>
      <c r="CF43" s="395">
        <f t="shared" ca="1" si="29"/>
        <v>0</v>
      </c>
      <c r="CG43" s="395">
        <f t="shared" ca="1" si="29"/>
        <v>0</v>
      </c>
      <c r="CH43" s="395">
        <f t="shared" ca="1" si="29"/>
        <v>0</v>
      </c>
      <c r="CI43" s="395">
        <f t="shared" ca="1" si="29"/>
        <v>0</v>
      </c>
      <c r="CJ43" s="395">
        <f t="shared" ca="1" si="29"/>
        <v>0</v>
      </c>
      <c r="CK43" s="395">
        <f t="shared" ca="1" si="29"/>
        <v>0</v>
      </c>
      <c r="CL43" s="133" t="s">
        <v>15</v>
      </c>
    </row>
    <row r="44" spans="2:90" ht="15" customHeight="1" x14ac:dyDescent="0.2">
      <c r="B44" s="133" t="s">
        <v>268</v>
      </c>
      <c r="C44" s="133"/>
      <c r="D44" s="133"/>
      <c r="E44" s="395">
        <f t="shared" ref="E44:AJ44" ca="1" si="30">MIN(E23,0)*SponsorEquityContributionPct</f>
        <v>-823067.40506961918</v>
      </c>
      <c r="F44" s="395">
        <f t="shared" ca="1" si="30"/>
        <v>-31709.254530666658</v>
      </c>
      <c r="G44" s="395">
        <f t="shared" ca="1" si="30"/>
        <v>-31730.016848857136</v>
      </c>
      <c r="H44" s="395">
        <f t="shared" ca="1" si="30"/>
        <v>-34086.315153714284</v>
      </c>
      <c r="I44" s="395">
        <f t="shared" ca="1" si="30"/>
        <v>-32356.981468571423</v>
      </c>
      <c r="J44" s="395">
        <f t="shared" ca="1" si="30"/>
        <v>-27473.507211428572</v>
      </c>
      <c r="K44" s="395">
        <f t="shared" ca="1" si="30"/>
        <v>-46242.727727619051</v>
      </c>
      <c r="L44" s="395">
        <f t="shared" ca="1" si="30"/>
        <v>-70445.901495283222</v>
      </c>
      <c r="M44" s="395">
        <f t="shared" ca="1" si="30"/>
        <v>-70492.382262947373</v>
      </c>
      <c r="N44" s="395">
        <f t="shared" ca="1" si="30"/>
        <v>-58478.826806516088</v>
      </c>
      <c r="O44" s="395">
        <f t="shared" ca="1" si="30"/>
        <v>-809.67686666666668</v>
      </c>
      <c r="P44" s="395">
        <f t="shared" ca="1" si="30"/>
        <v>-809.67686666666668</v>
      </c>
      <c r="Q44" s="395">
        <f t="shared" ca="1" si="30"/>
        <v>-809.67686666666668</v>
      </c>
      <c r="R44" s="395">
        <f t="shared" ca="1" si="30"/>
        <v>-809.67686666666668</v>
      </c>
      <c r="S44" s="395">
        <f t="shared" ca="1" si="30"/>
        <v>-809.67686666666668</v>
      </c>
      <c r="T44" s="395">
        <f t="shared" ca="1" si="30"/>
        <v>-809.67686666666668</v>
      </c>
      <c r="U44" s="395">
        <f t="shared" ca="1" si="30"/>
        <v>-809.67686666666668</v>
      </c>
      <c r="V44" s="395">
        <f t="shared" ca="1" si="30"/>
        <v>-809.67686666666668</v>
      </c>
      <c r="W44" s="395">
        <f t="shared" ca="1" si="30"/>
        <v>-809.67686666666668</v>
      </c>
      <c r="X44" s="395">
        <f t="shared" ca="1" si="30"/>
        <v>-809.67686666666668</v>
      </c>
      <c r="Y44" s="395">
        <f t="shared" ca="1" si="30"/>
        <v>-809.67686666666668</v>
      </c>
      <c r="Z44" s="395">
        <f t="shared" ca="1" si="30"/>
        <v>-809.67686666666668</v>
      </c>
      <c r="AA44" s="395">
        <f t="shared" ca="1" si="30"/>
        <v>-809.67686666666668</v>
      </c>
      <c r="AB44" s="395">
        <f t="shared" ca="1" si="30"/>
        <v>-809.67686666666668</v>
      </c>
      <c r="AC44" s="395">
        <f t="shared" ca="1" si="30"/>
        <v>-809.67686666666668</v>
      </c>
      <c r="AD44" s="395">
        <f t="shared" ca="1" si="30"/>
        <v>-809.67686666666668</v>
      </c>
      <c r="AE44" s="395">
        <f t="shared" ca="1" si="30"/>
        <v>-809.67686666666668</v>
      </c>
      <c r="AF44" s="395">
        <f t="shared" ca="1" si="30"/>
        <v>-809.67686666666668</v>
      </c>
      <c r="AG44" s="395">
        <f t="shared" ca="1" si="30"/>
        <v>-809.67686666666668</v>
      </c>
      <c r="AH44" s="395">
        <f t="shared" ca="1" si="30"/>
        <v>-809.67686666666668</v>
      </c>
      <c r="AI44" s="395">
        <f t="shared" ca="1" si="30"/>
        <v>-809.67686666666668</v>
      </c>
      <c r="AJ44" s="395">
        <f t="shared" ca="1" si="30"/>
        <v>-809.67686666666668</v>
      </c>
      <c r="AK44" s="395">
        <f t="shared" ref="AK44:BP44" ca="1" si="31">MIN(AK23,0)*SponsorEquityContributionPct</f>
        <v>-809.67686666666668</v>
      </c>
      <c r="AL44" s="395">
        <f t="shared" ca="1" si="31"/>
        <v>-809.67686666666668</v>
      </c>
      <c r="AM44" s="395">
        <f t="shared" ca="1" si="31"/>
        <v>-809.67686666666668</v>
      </c>
      <c r="AN44" s="395">
        <f t="shared" ca="1" si="31"/>
        <v>-809.67686666666668</v>
      </c>
      <c r="AO44" s="395">
        <f t="shared" ca="1" si="31"/>
        <v>0</v>
      </c>
      <c r="AP44" s="395">
        <f t="shared" ca="1" si="31"/>
        <v>0</v>
      </c>
      <c r="AQ44" s="395">
        <f t="shared" ca="1" si="31"/>
        <v>0</v>
      </c>
      <c r="AR44" s="395">
        <f t="shared" ca="1" si="31"/>
        <v>0</v>
      </c>
      <c r="AS44" s="395">
        <f t="shared" ca="1" si="31"/>
        <v>0</v>
      </c>
      <c r="AT44" s="395">
        <f t="shared" ca="1" si="31"/>
        <v>0</v>
      </c>
      <c r="AU44" s="395">
        <f t="shared" ca="1" si="31"/>
        <v>0</v>
      </c>
      <c r="AV44" s="395">
        <f t="shared" ca="1" si="31"/>
        <v>0</v>
      </c>
      <c r="AW44" s="395">
        <f t="shared" ca="1" si="31"/>
        <v>0</v>
      </c>
      <c r="AX44" s="395">
        <f t="shared" ca="1" si="31"/>
        <v>0</v>
      </c>
      <c r="AY44" s="395">
        <f t="shared" ca="1" si="31"/>
        <v>0</v>
      </c>
      <c r="AZ44" s="395">
        <f t="shared" ca="1" si="31"/>
        <v>0</v>
      </c>
      <c r="BA44" s="395">
        <f t="shared" ca="1" si="31"/>
        <v>0</v>
      </c>
      <c r="BB44" s="395">
        <f t="shared" ca="1" si="31"/>
        <v>0</v>
      </c>
      <c r="BC44" s="395">
        <f t="shared" ca="1" si="31"/>
        <v>0</v>
      </c>
      <c r="BD44" s="395">
        <f t="shared" ca="1" si="31"/>
        <v>0</v>
      </c>
      <c r="BE44" s="395">
        <f t="shared" ca="1" si="31"/>
        <v>0</v>
      </c>
      <c r="BF44" s="395">
        <f t="shared" ca="1" si="31"/>
        <v>0</v>
      </c>
      <c r="BG44" s="395">
        <f t="shared" ca="1" si="31"/>
        <v>0</v>
      </c>
      <c r="BH44" s="395">
        <f t="shared" ca="1" si="31"/>
        <v>0</v>
      </c>
      <c r="BI44" s="395">
        <f t="shared" ca="1" si="31"/>
        <v>0</v>
      </c>
      <c r="BJ44" s="395">
        <f t="shared" ca="1" si="31"/>
        <v>0</v>
      </c>
      <c r="BK44" s="395">
        <f t="shared" ca="1" si="31"/>
        <v>0</v>
      </c>
      <c r="BL44" s="395">
        <f t="shared" ca="1" si="31"/>
        <v>0</v>
      </c>
      <c r="BM44" s="395">
        <f t="shared" ca="1" si="31"/>
        <v>0</v>
      </c>
      <c r="BN44" s="395">
        <f t="shared" ca="1" si="31"/>
        <v>0</v>
      </c>
      <c r="BO44" s="395">
        <f t="shared" ca="1" si="31"/>
        <v>0</v>
      </c>
      <c r="BP44" s="395">
        <f t="shared" ca="1" si="31"/>
        <v>0</v>
      </c>
      <c r="BQ44" s="395">
        <f t="shared" ref="BQ44:CK44" ca="1" si="32">MIN(BQ23,0)*SponsorEquityContributionPct</f>
        <v>0</v>
      </c>
      <c r="BR44" s="395">
        <f t="shared" ca="1" si="32"/>
        <v>0</v>
      </c>
      <c r="BS44" s="395">
        <f t="shared" ca="1" si="32"/>
        <v>0</v>
      </c>
      <c r="BT44" s="395">
        <f t="shared" ca="1" si="32"/>
        <v>0</v>
      </c>
      <c r="BU44" s="395">
        <f t="shared" ca="1" si="32"/>
        <v>0</v>
      </c>
      <c r="BV44" s="395">
        <f t="shared" ca="1" si="32"/>
        <v>0</v>
      </c>
      <c r="BW44" s="395">
        <f t="shared" ca="1" si="32"/>
        <v>0</v>
      </c>
      <c r="BX44" s="395">
        <f t="shared" ca="1" si="32"/>
        <v>0</v>
      </c>
      <c r="BY44" s="395">
        <f t="shared" ca="1" si="32"/>
        <v>0</v>
      </c>
      <c r="BZ44" s="395">
        <f t="shared" ca="1" si="32"/>
        <v>0</v>
      </c>
      <c r="CA44" s="395">
        <f t="shared" ca="1" si="32"/>
        <v>0</v>
      </c>
      <c r="CB44" s="395">
        <f t="shared" ca="1" si="32"/>
        <v>0</v>
      </c>
      <c r="CC44" s="395">
        <f t="shared" ca="1" si="32"/>
        <v>0</v>
      </c>
      <c r="CD44" s="395">
        <f t="shared" ca="1" si="32"/>
        <v>0</v>
      </c>
      <c r="CE44" s="395">
        <f t="shared" ca="1" si="32"/>
        <v>0</v>
      </c>
      <c r="CF44" s="395">
        <f t="shared" ca="1" si="32"/>
        <v>0</v>
      </c>
      <c r="CG44" s="395">
        <f t="shared" ca="1" si="32"/>
        <v>0</v>
      </c>
      <c r="CH44" s="395">
        <f t="shared" ca="1" si="32"/>
        <v>0</v>
      </c>
      <c r="CI44" s="395">
        <f t="shared" ca="1" si="32"/>
        <v>0</v>
      </c>
      <c r="CJ44" s="395">
        <f t="shared" ca="1" si="32"/>
        <v>0</v>
      </c>
      <c r="CK44" s="395">
        <f t="shared" ca="1" si="32"/>
        <v>0</v>
      </c>
      <c r="CL44" s="133" t="s">
        <v>15</v>
      </c>
    </row>
    <row r="45" spans="2:90" ht="15" customHeight="1" x14ac:dyDescent="0.2">
      <c r="B45" s="133" t="s">
        <v>30</v>
      </c>
      <c r="C45" s="133"/>
      <c r="D45" s="133"/>
      <c r="E45" s="395">
        <f ca="1">SUM(E43:E44)</f>
        <v>-8230674.0506961914</v>
      </c>
      <c r="F45" s="395">
        <f t="shared" ref="F45:BQ45" ca="1" si="33">SUM(F43:F44)</f>
        <v>-317092.54530666664</v>
      </c>
      <c r="G45" s="395">
        <f t="shared" ca="1" si="33"/>
        <v>-317300.16848857142</v>
      </c>
      <c r="H45" s="395">
        <f t="shared" ca="1" si="33"/>
        <v>-340863.15153714281</v>
      </c>
      <c r="I45" s="395">
        <f t="shared" ca="1" si="33"/>
        <v>-323569.8146857142</v>
      </c>
      <c r="J45" s="395">
        <f t="shared" ca="1" si="33"/>
        <v>-274735.07211428572</v>
      </c>
      <c r="K45" s="395">
        <f t="shared" ca="1" si="33"/>
        <v>-462427.27727619046</v>
      </c>
      <c r="L45" s="395">
        <f t="shared" ca="1" si="33"/>
        <v>-704459.01495283213</v>
      </c>
      <c r="M45" s="395">
        <f t="shared" ca="1" si="33"/>
        <v>-704923.82262947364</v>
      </c>
      <c r="N45" s="395">
        <f t="shared" ca="1" si="33"/>
        <v>-584788.26806516084</v>
      </c>
      <c r="O45" s="395">
        <f t="shared" ca="1" si="33"/>
        <v>-8096.7686666666668</v>
      </c>
      <c r="P45" s="395">
        <f t="shared" ca="1" si="33"/>
        <v>-8096.7686666666668</v>
      </c>
      <c r="Q45" s="395">
        <f t="shared" ca="1" si="33"/>
        <v>-8096.7686666666668</v>
      </c>
      <c r="R45" s="395">
        <f t="shared" ca="1" si="33"/>
        <v>-8096.7686666666668</v>
      </c>
      <c r="S45" s="395">
        <f t="shared" ca="1" si="33"/>
        <v>-8096.7686666666668</v>
      </c>
      <c r="T45" s="395">
        <f t="shared" ca="1" si="33"/>
        <v>-8096.7686666666668</v>
      </c>
      <c r="U45" s="395">
        <f t="shared" ca="1" si="33"/>
        <v>-8096.7686666666668</v>
      </c>
      <c r="V45" s="395">
        <f t="shared" ca="1" si="33"/>
        <v>-8096.7686666666668</v>
      </c>
      <c r="W45" s="395">
        <f t="shared" ca="1" si="33"/>
        <v>-8096.7686666666668</v>
      </c>
      <c r="X45" s="395">
        <f t="shared" ca="1" si="33"/>
        <v>-8096.7686666666668</v>
      </c>
      <c r="Y45" s="395">
        <f t="shared" ca="1" si="33"/>
        <v>-8096.7686666666668</v>
      </c>
      <c r="Z45" s="395">
        <f t="shared" ca="1" si="33"/>
        <v>-8096.7686666666668</v>
      </c>
      <c r="AA45" s="395">
        <f t="shared" ca="1" si="33"/>
        <v>-8096.7686666666668</v>
      </c>
      <c r="AB45" s="395">
        <f t="shared" ca="1" si="33"/>
        <v>-8096.7686666666668</v>
      </c>
      <c r="AC45" s="395">
        <f t="shared" ca="1" si="33"/>
        <v>-8096.7686666666668</v>
      </c>
      <c r="AD45" s="395">
        <f t="shared" ca="1" si="33"/>
        <v>-8096.7686666666668</v>
      </c>
      <c r="AE45" s="395">
        <f t="shared" ca="1" si="33"/>
        <v>-8096.7686666666668</v>
      </c>
      <c r="AF45" s="395">
        <f t="shared" ca="1" si="33"/>
        <v>-8096.7686666666668</v>
      </c>
      <c r="AG45" s="395">
        <f t="shared" ca="1" si="33"/>
        <v>-8096.7686666666668</v>
      </c>
      <c r="AH45" s="395">
        <f t="shared" ca="1" si="33"/>
        <v>-8096.7686666666668</v>
      </c>
      <c r="AI45" s="395">
        <f t="shared" ca="1" si="33"/>
        <v>-8096.7686666666668</v>
      </c>
      <c r="AJ45" s="395">
        <f t="shared" ca="1" si="33"/>
        <v>-8096.7686666666668</v>
      </c>
      <c r="AK45" s="395">
        <f t="shared" ca="1" si="33"/>
        <v>-8096.7686666666668</v>
      </c>
      <c r="AL45" s="395">
        <f t="shared" ca="1" si="33"/>
        <v>-8096.7686666666668</v>
      </c>
      <c r="AM45" s="395">
        <f t="shared" ca="1" si="33"/>
        <v>-8096.7686666666668</v>
      </c>
      <c r="AN45" s="395">
        <f t="shared" ca="1" si="33"/>
        <v>-8096.7686666666668</v>
      </c>
      <c r="AO45" s="395">
        <f t="shared" ca="1" si="33"/>
        <v>14030267.817471253</v>
      </c>
      <c r="AP45" s="395">
        <f t="shared" ca="1" si="33"/>
        <v>0</v>
      </c>
      <c r="AQ45" s="395">
        <f t="shared" ca="1" si="33"/>
        <v>0</v>
      </c>
      <c r="AR45" s="395">
        <f t="shared" ca="1" si="33"/>
        <v>0</v>
      </c>
      <c r="AS45" s="395">
        <f t="shared" ca="1" si="33"/>
        <v>0</v>
      </c>
      <c r="AT45" s="395">
        <f t="shared" ca="1" si="33"/>
        <v>0</v>
      </c>
      <c r="AU45" s="395">
        <f t="shared" ca="1" si="33"/>
        <v>0</v>
      </c>
      <c r="AV45" s="395">
        <f t="shared" ca="1" si="33"/>
        <v>0</v>
      </c>
      <c r="AW45" s="395">
        <f t="shared" ca="1" si="33"/>
        <v>0</v>
      </c>
      <c r="AX45" s="395">
        <f t="shared" ca="1" si="33"/>
        <v>0</v>
      </c>
      <c r="AY45" s="395">
        <f t="shared" ca="1" si="33"/>
        <v>0</v>
      </c>
      <c r="AZ45" s="395">
        <f t="shared" ca="1" si="33"/>
        <v>0</v>
      </c>
      <c r="BA45" s="395">
        <f t="shared" ca="1" si="33"/>
        <v>0</v>
      </c>
      <c r="BB45" s="395">
        <f t="shared" ca="1" si="33"/>
        <v>0</v>
      </c>
      <c r="BC45" s="395">
        <f t="shared" ca="1" si="33"/>
        <v>0</v>
      </c>
      <c r="BD45" s="395">
        <f t="shared" ca="1" si="33"/>
        <v>0</v>
      </c>
      <c r="BE45" s="395">
        <f t="shared" ca="1" si="33"/>
        <v>0</v>
      </c>
      <c r="BF45" s="395">
        <f t="shared" ca="1" si="33"/>
        <v>0</v>
      </c>
      <c r="BG45" s="395">
        <f t="shared" ca="1" si="33"/>
        <v>0</v>
      </c>
      <c r="BH45" s="395">
        <f t="shared" ca="1" si="33"/>
        <v>0</v>
      </c>
      <c r="BI45" s="395">
        <f t="shared" ca="1" si="33"/>
        <v>0</v>
      </c>
      <c r="BJ45" s="395">
        <f t="shared" ca="1" si="33"/>
        <v>0</v>
      </c>
      <c r="BK45" s="395">
        <f t="shared" ca="1" si="33"/>
        <v>0</v>
      </c>
      <c r="BL45" s="395">
        <f t="shared" ca="1" si="33"/>
        <v>0</v>
      </c>
      <c r="BM45" s="395">
        <f t="shared" ca="1" si="33"/>
        <v>0</v>
      </c>
      <c r="BN45" s="395">
        <f t="shared" ca="1" si="33"/>
        <v>0</v>
      </c>
      <c r="BO45" s="395">
        <f t="shared" ca="1" si="33"/>
        <v>0</v>
      </c>
      <c r="BP45" s="395">
        <f t="shared" ca="1" si="33"/>
        <v>0</v>
      </c>
      <c r="BQ45" s="395">
        <f t="shared" ca="1" si="33"/>
        <v>0</v>
      </c>
      <c r="BR45" s="395">
        <f t="shared" ref="BR45:CK45" ca="1" si="34">SUM(BR43:BR44)</f>
        <v>0</v>
      </c>
      <c r="BS45" s="395">
        <f t="shared" ca="1" si="34"/>
        <v>0</v>
      </c>
      <c r="BT45" s="395">
        <f t="shared" ca="1" si="34"/>
        <v>0</v>
      </c>
      <c r="BU45" s="395">
        <f t="shared" ca="1" si="34"/>
        <v>0</v>
      </c>
      <c r="BV45" s="395">
        <f t="shared" ca="1" si="34"/>
        <v>0</v>
      </c>
      <c r="BW45" s="395">
        <f t="shared" ca="1" si="34"/>
        <v>0</v>
      </c>
      <c r="BX45" s="395">
        <f t="shared" ca="1" si="34"/>
        <v>0</v>
      </c>
      <c r="BY45" s="395">
        <f t="shared" ca="1" si="34"/>
        <v>0</v>
      </c>
      <c r="BZ45" s="395">
        <f t="shared" ca="1" si="34"/>
        <v>0</v>
      </c>
      <c r="CA45" s="395">
        <f t="shared" ca="1" si="34"/>
        <v>0</v>
      </c>
      <c r="CB45" s="395">
        <f t="shared" ca="1" si="34"/>
        <v>0</v>
      </c>
      <c r="CC45" s="395">
        <f t="shared" ca="1" si="34"/>
        <v>0</v>
      </c>
      <c r="CD45" s="395">
        <f t="shared" ca="1" si="34"/>
        <v>0</v>
      </c>
      <c r="CE45" s="395">
        <f t="shared" ca="1" si="34"/>
        <v>0</v>
      </c>
      <c r="CF45" s="395">
        <f t="shared" ca="1" si="34"/>
        <v>0</v>
      </c>
      <c r="CG45" s="395">
        <f t="shared" ca="1" si="34"/>
        <v>0</v>
      </c>
      <c r="CH45" s="395">
        <f t="shared" ca="1" si="34"/>
        <v>0</v>
      </c>
      <c r="CI45" s="395">
        <f t="shared" ca="1" si="34"/>
        <v>0</v>
      </c>
      <c r="CJ45" s="395">
        <f t="shared" ca="1" si="34"/>
        <v>0</v>
      </c>
      <c r="CK45" s="395">
        <f t="shared" ca="1" si="34"/>
        <v>0</v>
      </c>
      <c r="CL45" s="133" t="s">
        <v>15</v>
      </c>
    </row>
    <row r="46" spans="2:90" ht="15" customHeight="1" x14ac:dyDescent="0.2">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row>
    <row r="47" spans="2:90" ht="15" customHeight="1" x14ac:dyDescent="0.25">
      <c r="B47" s="146" t="s">
        <v>269</v>
      </c>
      <c r="C47" s="146"/>
      <c r="D47" s="146"/>
      <c r="E47" s="134" t="s">
        <v>164</v>
      </c>
      <c r="F47" s="134" t="s">
        <v>161</v>
      </c>
      <c r="G47" s="134" t="s">
        <v>30</v>
      </c>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row>
    <row r="48" spans="2:90" ht="15" customHeight="1" x14ac:dyDescent="0.2">
      <c r="B48" s="306" t="s">
        <v>217</v>
      </c>
      <c r="C48" s="307"/>
      <c r="D48" s="307"/>
      <c r="E48" s="398">
        <f ca="1">XIRR(E43:CK43,HoldingDates)</f>
        <v>8.2391265034675601E-2</v>
      </c>
      <c r="F48" s="398" t="e">
        <f ca="1">XIRR(E44:CK44,HoldingDates)</f>
        <v>#NUM!</v>
      </c>
      <c r="G48" s="399">
        <f ca="1">XIRR(E45:CK45,HoldingDates)</f>
        <v>4.2708787322044361E-2</v>
      </c>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row>
    <row r="49" spans="2:90" ht="15" customHeight="1" x14ac:dyDescent="0.2">
      <c r="B49" s="308" t="s">
        <v>218</v>
      </c>
      <c r="C49" s="133"/>
      <c r="D49" s="133"/>
      <c r="E49" s="400">
        <f ca="1">-SUMIF(E43:CK43,"&gt;"&amp;0)/SUMIF(E43:CK43,"&lt;"&amp;0)</f>
        <v>1.2499999999999978</v>
      </c>
      <c r="F49" s="400">
        <f ca="1">-SUMIF(E44:CK44,"&gt;"&amp;0)/SUMIF(E44:CK44,"&lt;"&amp;0)</f>
        <v>0</v>
      </c>
      <c r="G49" s="401">
        <f ca="1">-SUMIF(E45:CK45,"&gt;"&amp;0)/SUMIF(E45:CK45,"&lt;"&amp;0)</f>
        <v>1.1250000000000013</v>
      </c>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row>
    <row r="50" spans="2:90" ht="15" customHeight="1" x14ac:dyDescent="0.2">
      <c r="B50" s="301" t="s">
        <v>220</v>
      </c>
      <c r="C50" s="142"/>
      <c r="D50" s="142"/>
      <c r="E50" s="402">
        <f ca="1">SUM(E43:CK43)</f>
        <v>2806053.5634942316</v>
      </c>
      <c r="F50" s="402">
        <f ca="1">SUM(E44:CK44)</f>
        <v>-1247134.9171085558</v>
      </c>
      <c r="G50" s="403">
        <f ca="1">SUM(E45:CK45)</f>
        <v>1558918.6463857088</v>
      </c>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row>
    <row r="51" spans="2:90" ht="15" customHeight="1" x14ac:dyDescent="0.2">
      <c r="CL51" s="133"/>
    </row>
    <row r="52" spans="2:90" ht="15" customHeight="1" x14ac:dyDescent="0.25">
      <c r="B52" s="132" t="s">
        <v>257</v>
      </c>
      <c r="CL52" s="133"/>
    </row>
    <row r="53" spans="2:90" s="21" customFormat="1" ht="10.15" customHeight="1" x14ac:dyDescent="0.25">
      <c r="B53" s="22"/>
      <c r="C53" s="23"/>
      <c r="D53" s="23"/>
      <c r="E53" s="23"/>
      <c r="O53" s="13"/>
      <c r="P53" s="13"/>
      <c r="Q53" s="13"/>
      <c r="R53" s="13"/>
      <c r="S53" s="13"/>
      <c r="T53" s="13"/>
      <c r="U53" s="13"/>
      <c r="V53" s="13"/>
      <c r="W53" s="13"/>
      <c r="X53" s="13"/>
      <c r="Y53" s="13"/>
      <c r="Z53" s="13"/>
      <c r="AA53" s="13"/>
      <c r="AB53" s="13"/>
      <c r="AC53" s="13"/>
      <c r="AD53" s="13"/>
      <c r="AE53" s="13"/>
      <c r="AF53" s="13"/>
      <c r="AG53" s="13"/>
    </row>
    <row r="54" spans="2:90" s="133" customFormat="1" ht="15" customHeight="1" outlineLevel="1" x14ac:dyDescent="0.2">
      <c r="B54" s="133" t="s">
        <v>270</v>
      </c>
      <c r="E54" s="395">
        <f ca="1">E31-E41</f>
        <v>0</v>
      </c>
      <c r="F54" s="395">
        <f t="shared" ref="F54:BQ54" ca="1" si="35">F31-F41</f>
        <v>0</v>
      </c>
      <c r="G54" s="395">
        <f t="shared" ca="1" si="35"/>
        <v>0</v>
      </c>
      <c r="H54" s="395">
        <f t="shared" ca="1" si="35"/>
        <v>0</v>
      </c>
      <c r="I54" s="395">
        <f t="shared" ca="1" si="35"/>
        <v>0</v>
      </c>
      <c r="J54" s="395">
        <f t="shared" ca="1" si="35"/>
        <v>0</v>
      </c>
      <c r="K54" s="395">
        <f t="shared" ca="1" si="35"/>
        <v>0</v>
      </c>
      <c r="L54" s="395">
        <f t="shared" ca="1" si="35"/>
        <v>0</v>
      </c>
      <c r="M54" s="395">
        <f t="shared" ca="1" si="35"/>
        <v>0</v>
      </c>
      <c r="N54" s="395">
        <f t="shared" ca="1" si="35"/>
        <v>0</v>
      </c>
      <c r="O54" s="395">
        <f t="shared" ca="1" si="35"/>
        <v>0</v>
      </c>
      <c r="P54" s="395">
        <f t="shared" ca="1" si="35"/>
        <v>0</v>
      </c>
      <c r="Q54" s="395">
        <f t="shared" ca="1" si="35"/>
        <v>0</v>
      </c>
      <c r="R54" s="395">
        <f t="shared" ca="1" si="35"/>
        <v>0</v>
      </c>
      <c r="S54" s="395">
        <f t="shared" ca="1" si="35"/>
        <v>0</v>
      </c>
      <c r="T54" s="395">
        <f t="shared" ca="1" si="35"/>
        <v>0</v>
      </c>
      <c r="U54" s="395">
        <f t="shared" ca="1" si="35"/>
        <v>0</v>
      </c>
      <c r="V54" s="395">
        <f t="shared" ca="1" si="35"/>
        <v>0</v>
      </c>
      <c r="W54" s="395">
        <f t="shared" ca="1" si="35"/>
        <v>0</v>
      </c>
      <c r="X54" s="395">
        <f t="shared" ca="1" si="35"/>
        <v>0</v>
      </c>
      <c r="Y54" s="395">
        <f t="shared" ca="1" si="35"/>
        <v>0</v>
      </c>
      <c r="Z54" s="395">
        <f t="shared" ca="1" si="35"/>
        <v>0</v>
      </c>
      <c r="AA54" s="395">
        <f t="shared" ca="1" si="35"/>
        <v>0</v>
      </c>
      <c r="AB54" s="395">
        <f t="shared" ca="1" si="35"/>
        <v>0</v>
      </c>
      <c r="AC54" s="395">
        <f t="shared" ca="1" si="35"/>
        <v>0</v>
      </c>
      <c r="AD54" s="395">
        <f t="shared" ca="1" si="35"/>
        <v>0</v>
      </c>
      <c r="AE54" s="395">
        <f t="shared" ca="1" si="35"/>
        <v>0</v>
      </c>
      <c r="AF54" s="395">
        <f t="shared" ca="1" si="35"/>
        <v>0</v>
      </c>
      <c r="AG54" s="395">
        <f t="shared" ca="1" si="35"/>
        <v>0</v>
      </c>
      <c r="AH54" s="395">
        <f t="shared" ca="1" si="35"/>
        <v>0</v>
      </c>
      <c r="AI54" s="395">
        <f t="shared" ca="1" si="35"/>
        <v>0</v>
      </c>
      <c r="AJ54" s="395">
        <f t="shared" ca="1" si="35"/>
        <v>0</v>
      </c>
      <c r="AK54" s="395">
        <f t="shared" ca="1" si="35"/>
        <v>0</v>
      </c>
      <c r="AL54" s="395">
        <f t="shared" ca="1" si="35"/>
        <v>0</v>
      </c>
      <c r="AM54" s="395">
        <f t="shared" ca="1" si="35"/>
        <v>0</v>
      </c>
      <c r="AN54" s="395">
        <f t="shared" ca="1" si="35"/>
        <v>0</v>
      </c>
      <c r="AO54" s="395">
        <f t="shared" ca="1" si="35"/>
        <v>6347186.5377109107</v>
      </c>
      <c r="AP54" s="395">
        <f t="shared" ca="1" si="35"/>
        <v>110073.79706883527</v>
      </c>
      <c r="AQ54" s="395">
        <f t="shared" ca="1" si="35"/>
        <v>110073.79706883527</v>
      </c>
      <c r="AR54" s="395">
        <f t="shared" ca="1" si="35"/>
        <v>110073.79706883527</v>
      </c>
      <c r="AS54" s="395">
        <f t="shared" ca="1" si="35"/>
        <v>110073.79706883527</v>
      </c>
      <c r="AT54" s="395">
        <f t="shared" ca="1" si="35"/>
        <v>110073.79706883527</v>
      </c>
      <c r="AU54" s="395">
        <f t="shared" ca="1" si="35"/>
        <v>110073.79706883527</v>
      </c>
      <c r="AV54" s="395">
        <f t="shared" ca="1" si="35"/>
        <v>110073.79706883527</v>
      </c>
      <c r="AW54" s="395">
        <f t="shared" ca="1" si="35"/>
        <v>110073.79706883527</v>
      </c>
      <c r="AX54" s="395">
        <f t="shared" ca="1" si="35"/>
        <v>110073.79706883527</v>
      </c>
      <c r="AY54" s="395">
        <f t="shared" ca="1" si="35"/>
        <v>110073.79706883527</v>
      </c>
      <c r="AZ54" s="395">
        <f t="shared" ca="1" si="35"/>
        <v>110073.79706883527</v>
      </c>
      <c r="BA54" s="395">
        <f t="shared" ca="1" si="35"/>
        <v>110073.79706883527</v>
      </c>
      <c r="BB54" s="395">
        <f t="shared" ca="1" si="35"/>
        <v>92276.448121092428</v>
      </c>
      <c r="BC54" s="395">
        <f t="shared" ca="1" si="35"/>
        <v>92276.448121092428</v>
      </c>
      <c r="BD54" s="395">
        <f t="shared" ca="1" si="35"/>
        <v>92276.448121092428</v>
      </c>
      <c r="BE54" s="395">
        <f t="shared" ca="1" si="35"/>
        <v>92276.448121092428</v>
      </c>
      <c r="BF54" s="395">
        <f t="shared" ca="1" si="35"/>
        <v>92276.448121092428</v>
      </c>
      <c r="BG54" s="395">
        <f t="shared" ca="1" si="35"/>
        <v>92276.448121092428</v>
      </c>
      <c r="BH54" s="395">
        <f t="shared" ca="1" si="35"/>
        <v>92276.448121092428</v>
      </c>
      <c r="BI54" s="395">
        <f t="shared" ca="1" si="35"/>
        <v>92276.448121092428</v>
      </c>
      <c r="BJ54" s="395">
        <f t="shared" ca="1" si="35"/>
        <v>92276.448121092428</v>
      </c>
      <c r="BK54" s="395">
        <f t="shared" ca="1" si="35"/>
        <v>92276.448121092428</v>
      </c>
      <c r="BL54" s="395">
        <f t="shared" ca="1" si="35"/>
        <v>92276.448121092428</v>
      </c>
      <c r="BM54" s="395">
        <f t="shared" ca="1" si="35"/>
        <v>92276.448121092428</v>
      </c>
      <c r="BN54" s="395">
        <f t="shared" ca="1" si="35"/>
        <v>106921.35986988785</v>
      </c>
      <c r="BO54" s="395">
        <f t="shared" ca="1" si="35"/>
        <v>106921.35986988785</v>
      </c>
      <c r="BP54" s="395">
        <f t="shared" ca="1" si="35"/>
        <v>106921.35986988785</v>
      </c>
      <c r="BQ54" s="395">
        <f t="shared" ca="1" si="35"/>
        <v>106921.35986988785</v>
      </c>
      <c r="BR54" s="395">
        <f t="shared" ref="BR54:CK54" ca="1" si="36">BR31-BR41</f>
        <v>106921.35986988785</v>
      </c>
      <c r="BS54" s="395">
        <f t="shared" ca="1" si="36"/>
        <v>106921.35986988785</v>
      </c>
      <c r="BT54" s="395">
        <f t="shared" ca="1" si="36"/>
        <v>106921.35986988785</v>
      </c>
      <c r="BU54" s="395">
        <f t="shared" ca="1" si="36"/>
        <v>106921.35986988785</v>
      </c>
      <c r="BV54" s="395">
        <f t="shared" ca="1" si="36"/>
        <v>106921.35986988785</v>
      </c>
      <c r="BW54" s="395">
        <f t="shared" ca="1" si="36"/>
        <v>106921.35986988785</v>
      </c>
      <c r="BX54" s="395">
        <f t="shared" ca="1" si="36"/>
        <v>106921.35986988785</v>
      </c>
      <c r="BY54" s="395">
        <f t="shared" ca="1" si="36"/>
        <v>12719474.3621164</v>
      </c>
      <c r="BZ54" s="395">
        <f t="shared" ca="1" si="36"/>
        <v>0</v>
      </c>
      <c r="CA54" s="395">
        <f t="shared" ca="1" si="36"/>
        <v>0</v>
      </c>
      <c r="CB54" s="395">
        <f t="shared" ca="1" si="36"/>
        <v>0</v>
      </c>
      <c r="CC54" s="395">
        <f t="shared" ca="1" si="36"/>
        <v>0</v>
      </c>
      <c r="CD54" s="395">
        <f t="shared" ca="1" si="36"/>
        <v>0</v>
      </c>
      <c r="CE54" s="395">
        <f t="shared" ca="1" si="36"/>
        <v>0</v>
      </c>
      <c r="CF54" s="395">
        <f t="shared" ca="1" si="36"/>
        <v>0</v>
      </c>
      <c r="CG54" s="395">
        <f t="shared" ca="1" si="36"/>
        <v>0</v>
      </c>
      <c r="CH54" s="395">
        <f t="shared" ca="1" si="36"/>
        <v>0</v>
      </c>
      <c r="CI54" s="395">
        <f t="shared" ca="1" si="36"/>
        <v>0</v>
      </c>
      <c r="CJ54" s="395">
        <f t="shared" ca="1" si="36"/>
        <v>0</v>
      </c>
      <c r="CK54" s="395">
        <f t="shared" ca="1" si="36"/>
        <v>0</v>
      </c>
      <c r="CL54" s="133" t="s">
        <v>15</v>
      </c>
    </row>
    <row r="55" spans="2:90" s="133" customFormat="1" ht="15" customHeight="1" outlineLevel="1" x14ac:dyDescent="0.2"/>
    <row r="56" spans="2:90" s="133" customFormat="1" ht="15" customHeight="1" outlineLevel="1" x14ac:dyDescent="0.2">
      <c r="B56" s="133" t="s">
        <v>329</v>
      </c>
      <c r="E56" s="395">
        <f>D61</f>
        <v>0</v>
      </c>
      <c r="F56" s="395">
        <f t="shared" ref="F56:BQ56" ca="1" si="37">E61</f>
        <v>1028834.256337024</v>
      </c>
      <c r="G56" s="395">
        <f t="shared" ca="1" si="37"/>
        <v>1068470.8245003573</v>
      </c>
      <c r="H56" s="395">
        <f t="shared" ca="1" si="37"/>
        <v>1108133.3455614287</v>
      </c>
      <c r="I56" s="395">
        <f t="shared" ca="1" si="37"/>
        <v>1150741.2395035715</v>
      </c>
      <c r="J56" s="395">
        <f t="shared" ca="1" si="37"/>
        <v>1191187.4663392857</v>
      </c>
      <c r="K56" s="395">
        <f t="shared" ca="1" si="37"/>
        <v>1225529.3503535714</v>
      </c>
      <c r="L56" s="395">
        <f t="shared" ca="1" si="37"/>
        <v>1283332.7600130951</v>
      </c>
      <c r="M56" s="395">
        <f t="shared" ca="1" si="37"/>
        <v>1371390.1368821992</v>
      </c>
      <c r="N56" s="395">
        <f t="shared" ca="1" si="37"/>
        <v>1459505.6147108832</v>
      </c>
      <c r="O56" s="395">
        <f t="shared" ca="1" si="37"/>
        <v>1532604.1482190285</v>
      </c>
      <c r="P56" s="395">
        <f t="shared" ca="1" si="37"/>
        <v>1533616.2443023617</v>
      </c>
      <c r="Q56" s="395">
        <f t="shared" ca="1" si="37"/>
        <v>1534628.340385695</v>
      </c>
      <c r="R56" s="395">
        <f t="shared" ca="1" si="37"/>
        <v>1535640.4364690282</v>
      </c>
      <c r="S56" s="395">
        <f t="shared" ca="1" si="37"/>
        <v>1536652.5325523615</v>
      </c>
      <c r="T56" s="395">
        <f t="shared" ca="1" si="37"/>
        <v>1537664.6286356947</v>
      </c>
      <c r="U56" s="395">
        <f t="shared" ca="1" si="37"/>
        <v>1538676.724719028</v>
      </c>
      <c r="V56" s="395">
        <f t="shared" ca="1" si="37"/>
        <v>1539688.8208023612</v>
      </c>
      <c r="W56" s="395">
        <f t="shared" ca="1" si="37"/>
        <v>1540700.9168856945</v>
      </c>
      <c r="X56" s="395">
        <f t="shared" ca="1" si="37"/>
        <v>1541713.0129690277</v>
      </c>
      <c r="Y56" s="395">
        <f t="shared" ca="1" si="37"/>
        <v>1542725.109052361</v>
      </c>
      <c r="Z56" s="395">
        <f t="shared" ca="1" si="37"/>
        <v>1543737.2051356942</v>
      </c>
      <c r="AA56" s="395">
        <f t="shared" ca="1" si="37"/>
        <v>1544749.3012190275</v>
      </c>
      <c r="AB56" s="395">
        <f t="shared" ca="1" si="37"/>
        <v>1545761.3973023607</v>
      </c>
      <c r="AC56" s="395">
        <f t="shared" ca="1" si="37"/>
        <v>1546773.493385694</v>
      </c>
      <c r="AD56" s="395">
        <f t="shared" ca="1" si="37"/>
        <v>1547785.5894690272</v>
      </c>
      <c r="AE56" s="395">
        <f t="shared" ca="1" si="37"/>
        <v>1548797.6855523605</v>
      </c>
      <c r="AF56" s="395">
        <f t="shared" ca="1" si="37"/>
        <v>1549809.7816356937</v>
      </c>
      <c r="AG56" s="395">
        <f t="shared" ca="1" si="37"/>
        <v>1550821.877719027</v>
      </c>
      <c r="AH56" s="395">
        <f t="shared" ca="1" si="37"/>
        <v>1551833.9738023602</v>
      </c>
      <c r="AI56" s="395">
        <f t="shared" ca="1" si="37"/>
        <v>1552846.0698856935</v>
      </c>
      <c r="AJ56" s="395">
        <f t="shared" ca="1" si="37"/>
        <v>1553858.1659690267</v>
      </c>
      <c r="AK56" s="395">
        <f t="shared" ca="1" si="37"/>
        <v>1554870.26205236</v>
      </c>
      <c r="AL56" s="395">
        <f t="shared" ca="1" si="37"/>
        <v>1555882.3581356932</v>
      </c>
      <c r="AM56" s="395">
        <f t="shared" ca="1" si="37"/>
        <v>1556894.4542190265</v>
      </c>
      <c r="AN56" s="395">
        <f t="shared" ca="1" si="37"/>
        <v>1557906.5503023597</v>
      </c>
      <c r="AO56" s="395">
        <f t="shared" ca="1" si="37"/>
        <v>1558918.646385693</v>
      </c>
      <c r="AP56" s="395">
        <f t="shared" ca="1" si="37"/>
        <v>0</v>
      </c>
      <c r="AQ56" s="395">
        <f t="shared" ca="1" si="37"/>
        <v>0</v>
      </c>
      <c r="AR56" s="395">
        <f t="shared" ca="1" si="37"/>
        <v>0</v>
      </c>
      <c r="AS56" s="395">
        <f t="shared" ca="1" si="37"/>
        <v>0</v>
      </c>
      <c r="AT56" s="395">
        <f t="shared" ca="1" si="37"/>
        <v>0</v>
      </c>
      <c r="AU56" s="395">
        <f t="shared" ca="1" si="37"/>
        <v>0</v>
      </c>
      <c r="AV56" s="395">
        <f t="shared" ca="1" si="37"/>
        <v>0</v>
      </c>
      <c r="AW56" s="395">
        <f t="shared" ca="1" si="37"/>
        <v>0</v>
      </c>
      <c r="AX56" s="395">
        <f t="shared" ca="1" si="37"/>
        <v>0</v>
      </c>
      <c r="AY56" s="395">
        <f t="shared" ca="1" si="37"/>
        <v>0</v>
      </c>
      <c r="AZ56" s="395">
        <f t="shared" ca="1" si="37"/>
        <v>0</v>
      </c>
      <c r="BA56" s="395">
        <f t="shared" ca="1" si="37"/>
        <v>0</v>
      </c>
      <c r="BB56" s="395">
        <f t="shared" ca="1" si="37"/>
        <v>0</v>
      </c>
      <c r="BC56" s="395">
        <f t="shared" ca="1" si="37"/>
        <v>0</v>
      </c>
      <c r="BD56" s="395">
        <f t="shared" ca="1" si="37"/>
        <v>0</v>
      </c>
      <c r="BE56" s="395">
        <f t="shared" ca="1" si="37"/>
        <v>0</v>
      </c>
      <c r="BF56" s="395">
        <f t="shared" ca="1" si="37"/>
        <v>0</v>
      </c>
      <c r="BG56" s="395">
        <f t="shared" ca="1" si="37"/>
        <v>0</v>
      </c>
      <c r="BH56" s="395">
        <f t="shared" ca="1" si="37"/>
        <v>0</v>
      </c>
      <c r="BI56" s="395">
        <f t="shared" ca="1" si="37"/>
        <v>0</v>
      </c>
      <c r="BJ56" s="395">
        <f t="shared" ca="1" si="37"/>
        <v>0</v>
      </c>
      <c r="BK56" s="395">
        <f t="shared" ca="1" si="37"/>
        <v>0</v>
      </c>
      <c r="BL56" s="395">
        <f t="shared" ca="1" si="37"/>
        <v>0</v>
      </c>
      <c r="BM56" s="395">
        <f t="shared" ca="1" si="37"/>
        <v>0</v>
      </c>
      <c r="BN56" s="395">
        <f t="shared" ca="1" si="37"/>
        <v>0</v>
      </c>
      <c r="BO56" s="395">
        <f t="shared" ca="1" si="37"/>
        <v>0</v>
      </c>
      <c r="BP56" s="395">
        <f t="shared" ca="1" si="37"/>
        <v>0</v>
      </c>
      <c r="BQ56" s="395">
        <f t="shared" ca="1" si="37"/>
        <v>0</v>
      </c>
      <c r="BR56" s="395">
        <f t="shared" ref="BR56:CK56" ca="1" si="38">BQ61</f>
        <v>0</v>
      </c>
      <c r="BS56" s="395">
        <f t="shared" ca="1" si="38"/>
        <v>0</v>
      </c>
      <c r="BT56" s="395">
        <f t="shared" ca="1" si="38"/>
        <v>0</v>
      </c>
      <c r="BU56" s="395">
        <f t="shared" ca="1" si="38"/>
        <v>0</v>
      </c>
      <c r="BV56" s="395">
        <f t="shared" ca="1" si="38"/>
        <v>0</v>
      </c>
      <c r="BW56" s="395">
        <f t="shared" ca="1" si="38"/>
        <v>0</v>
      </c>
      <c r="BX56" s="395">
        <f t="shared" ca="1" si="38"/>
        <v>0</v>
      </c>
      <c r="BY56" s="395">
        <f t="shared" ca="1" si="38"/>
        <v>0</v>
      </c>
      <c r="BZ56" s="395">
        <f t="shared" ca="1" si="38"/>
        <v>0</v>
      </c>
      <c r="CA56" s="395">
        <f t="shared" ca="1" si="38"/>
        <v>0</v>
      </c>
      <c r="CB56" s="395">
        <f t="shared" ca="1" si="38"/>
        <v>0</v>
      </c>
      <c r="CC56" s="395">
        <f t="shared" ca="1" si="38"/>
        <v>0</v>
      </c>
      <c r="CD56" s="395">
        <f t="shared" ca="1" si="38"/>
        <v>0</v>
      </c>
      <c r="CE56" s="395">
        <f t="shared" ca="1" si="38"/>
        <v>0</v>
      </c>
      <c r="CF56" s="395">
        <f t="shared" ca="1" si="38"/>
        <v>0</v>
      </c>
      <c r="CG56" s="395">
        <f t="shared" ca="1" si="38"/>
        <v>0</v>
      </c>
      <c r="CH56" s="395">
        <f t="shared" ca="1" si="38"/>
        <v>0</v>
      </c>
      <c r="CI56" s="395">
        <f t="shared" ca="1" si="38"/>
        <v>0</v>
      </c>
      <c r="CJ56" s="395">
        <f t="shared" ca="1" si="38"/>
        <v>0</v>
      </c>
      <c r="CK56" s="395">
        <f t="shared" ca="1" si="38"/>
        <v>0</v>
      </c>
      <c r="CL56" s="133" t="s">
        <v>15</v>
      </c>
    </row>
    <row r="57" spans="2:90" s="133" customFormat="1" ht="15" customHeight="1" outlineLevel="1" x14ac:dyDescent="0.2">
      <c r="B57" s="133" t="s">
        <v>262</v>
      </c>
      <c r="E57" s="395">
        <f t="shared" ref="E57:AJ57" ca="1" si="39">-MIN(E23,0)*SponsorEquityContributionPct</f>
        <v>823067.40506961918</v>
      </c>
      <c r="F57" s="395">
        <f t="shared" ca="1" si="39"/>
        <v>31709.254530666658</v>
      </c>
      <c r="G57" s="395">
        <f t="shared" ca="1" si="39"/>
        <v>31730.016848857136</v>
      </c>
      <c r="H57" s="395">
        <f t="shared" ca="1" si="39"/>
        <v>34086.315153714284</v>
      </c>
      <c r="I57" s="395">
        <f t="shared" ca="1" si="39"/>
        <v>32356.981468571423</v>
      </c>
      <c r="J57" s="395">
        <f t="shared" ca="1" si="39"/>
        <v>27473.507211428572</v>
      </c>
      <c r="K57" s="395">
        <f t="shared" ca="1" si="39"/>
        <v>46242.727727619051</v>
      </c>
      <c r="L57" s="395">
        <f t="shared" ca="1" si="39"/>
        <v>70445.901495283222</v>
      </c>
      <c r="M57" s="395">
        <f t="shared" ca="1" si="39"/>
        <v>70492.382262947373</v>
      </c>
      <c r="N57" s="395">
        <f t="shared" ca="1" si="39"/>
        <v>58478.826806516088</v>
      </c>
      <c r="O57" s="395">
        <f t="shared" ca="1" si="39"/>
        <v>809.67686666666668</v>
      </c>
      <c r="P57" s="395">
        <f t="shared" ca="1" si="39"/>
        <v>809.67686666666668</v>
      </c>
      <c r="Q57" s="395">
        <f t="shared" ca="1" si="39"/>
        <v>809.67686666666668</v>
      </c>
      <c r="R57" s="395">
        <f t="shared" ca="1" si="39"/>
        <v>809.67686666666668</v>
      </c>
      <c r="S57" s="395">
        <f t="shared" ca="1" si="39"/>
        <v>809.67686666666668</v>
      </c>
      <c r="T57" s="395">
        <f t="shared" ca="1" si="39"/>
        <v>809.67686666666668</v>
      </c>
      <c r="U57" s="395">
        <f t="shared" ca="1" si="39"/>
        <v>809.67686666666668</v>
      </c>
      <c r="V57" s="395">
        <f t="shared" ca="1" si="39"/>
        <v>809.67686666666668</v>
      </c>
      <c r="W57" s="395">
        <f t="shared" ca="1" si="39"/>
        <v>809.67686666666668</v>
      </c>
      <c r="X57" s="395">
        <f t="shared" ca="1" si="39"/>
        <v>809.67686666666668</v>
      </c>
      <c r="Y57" s="395">
        <f t="shared" ca="1" si="39"/>
        <v>809.67686666666668</v>
      </c>
      <c r="Z57" s="395">
        <f t="shared" ca="1" si="39"/>
        <v>809.67686666666668</v>
      </c>
      <c r="AA57" s="395">
        <f t="shared" ca="1" si="39"/>
        <v>809.67686666666668</v>
      </c>
      <c r="AB57" s="395">
        <f t="shared" ca="1" si="39"/>
        <v>809.67686666666668</v>
      </c>
      <c r="AC57" s="395">
        <f t="shared" ca="1" si="39"/>
        <v>809.67686666666668</v>
      </c>
      <c r="AD57" s="395">
        <f t="shared" ca="1" si="39"/>
        <v>809.67686666666668</v>
      </c>
      <c r="AE57" s="395">
        <f t="shared" ca="1" si="39"/>
        <v>809.67686666666668</v>
      </c>
      <c r="AF57" s="395">
        <f t="shared" ca="1" si="39"/>
        <v>809.67686666666668</v>
      </c>
      <c r="AG57" s="395">
        <f t="shared" ca="1" si="39"/>
        <v>809.67686666666668</v>
      </c>
      <c r="AH57" s="395">
        <f t="shared" ca="1" si="39"/>
        <v>809.67686666666668</v>
      </c>
      <c r="AI57" s="395">
        <f t="shared" ca="1" si="39"/>
        <v>809.67686666666668</v>
      </c>
      <c r="AJ57" s="395">
        <f t="shared" ca="1" si="39"/>
        <v>809.67686666666668</v>
      </c>
      <c r="AK57" s="395">
        <f t="shared" ref="AK57:BP57" ca="1" si="40">-MIN(AK23,0)*SponsorEquityContributionPct</f>
        <v>809.67686666666668</v>
      </c>
      <c r="AL57" s="395">
        <f t="shared" ca="1" si="40"/>
        <v>809.67686666666668</v>
      </c>
      <c r="AM57" s="395">
        <f t="shared" ca="1" si="40"/>
        <v>809.67686666666668</v>
      </c>
      <c r="AN57" s="395">
        <f t="shared" ca="1" si="40"/>
        <v>809.67686666666668</v>
      </c>
      <c r="AO57" s="395">
        <f t="shared" ca="1" si="40"/>
        <v>0</v>
      </c>
      <c r="AP57" s="395">
        <f t="shared" ca="1" si="40"/>
        <v>0</v>
      </c>
      <c r="AQ57" s="395">
        <f t="shared" ca="1" si="40"/>
        <v>0</v>
      </c>
      <c r="AR57" s="395">
        <f t="shared" ca="1" si="40"/>
        <v>0</v>
      </c>
      <c r="AS57" s="395">
        <f t="shared" ca="1" si="40"/>
        <v>0</v>
      </c>
      <c r="AT57" s="395">
        <f t="shared" ca="1" si="40"/>
        <v>0</v>
      </c>
      <c r="AU57" s="395">
        <f t="shared" ca="1" si="40"/>
        <v>0</v>
      </c>
      <c r="AV57" s="395">
        <f t="shared" ca="1" si="40"/>
        <v>0</v>
      </c>
      <c r="AW57" s="395">
        <f t="shared" ca="1" si="40"/>
        <v>0</v>
      </c>
      <c r="AX57" s="395">
        <f t="shared" ca="1" si="40"/>
        <v>0</v>
      </c>
      <c r="AY57" s="395">
        <f t="shared" ca="1" si="40"/>
        <v>0</v>
      </c>
      <c r="AZ57" s="395">
        <f t="shared" ca="1" si="40"/>
        <v>0</v>
      </c>
      <c r="BA57" s="395">
        <f t="shared" ca="1" si="40"/>
        <v>0</v>
      </c>
      <c r="BB57" s="395">
        <f t="shared" ca="1" si="40"/>
        <v>0</v>
      </c>
      <c r="BC57" s="395">
        <f t="shared" ca="1" si="40"/>
        <v>0</v>
      </c>
      <c r="BD57" s="395">
        <f t="shared" ca="1" si="40"/>
        <v>0</v>
      </c>
      <c r="BE57" s="395">
        <f t="shared" ca="1" si="40"/>
        <v>0</v>
      </c>
      <c r="BF57" s="395">
        <f t="shared" ca="1" si="40"/>
        <v>0</v>
      </c>
      <c r="BG57" s="395">
        <f t="shared" ca="1" si="40"/>
        <v>0</v>
      </c>
      <c r="BH57" s="395">
        <f t="shared" ca="1" si="40"/>
        <v>0</v>
      </c>
      <c r="BI57" s="395">
        <f t="shared" ca="1" si="40"/>
        <v>0</v>
      </c>
      <c r="BJ57" s="395">
        <f t="shared" ca="1" si="40"/>
        <v>0</v>
      </c>
      <c r="BK57" s="395">
        <f t="shared" ca="1" si="40"/>
        <v>0</v>
      </c>
      <c r="BL57" s="395">
        <f t="shared" ca="1" si="40"/>
        <v>0</v>
      </c>
      <c r="BM57" s="395">
        <f t="shared" ca="1" si="40"/>
        <v>0</v>
      </c>
      <c r="BN57" s="395">
        <f t="shared" ca="1" si="40"/>
        <v>0</v>
      </c>
      <c r="BO57" s="395">
        <f t="shared" ca="1" si="40"/>
        <v>0</v>
      </c>
      <c r="BP57" s="395">
        <f t="shared" ca="1" si="40"/>
        <v>0</v>
      </c>
      <c r="BQ57" s="395">
        <f t="shared" ref="BQ57:CK57" ca="1" si="41">-MIN(BQ23,0)*SponsorEquityContributionPct</f>
        <v>0</v>
      </c>
      <c r="BR57" s="395">
        <f t="shared" ca="1" si="41"/>
        <v>0</v>
      </c>
      <c r="BS57" s="395">
        <f t="shared" ca="1" si="41"/>
        <v>0</v>
      </c>
      <c r="BT57" s="395">
        <f t="shared" ca="1" si="41"/>
        <v>0</v>
      </c>
      <c r="BU57" s="395">
        <f t="shared" ca="1" si="41"/>
        <v>0</v>
      </c>
      <c r="BV57" s="395">
        <f t="shared" ca="1" si="41"/>
        <v>0</v>
      </c>
      <c r="BW57" s="395">
        <f t="shared" ca="1" si="41"/>
        <v>0</v>
      </c>
      <c r="BX57" s="395">
        <f t="shared" ca="1" si="41"/>
        <v>0</v>
      </c>
      <c r="BY57" s="395">
        <f t="shared" ca="1" si="41"/>
        <v>0</v>
      </c>
      <c r="BZ57" s="395">
        <f t="shared" ca="1" si="41"/>
        <v>0</v>
      </c>
      <c r="CA57" s="395">
        <f t="shared" ca="1" si="41"/>
        <v>0</v>
      </c>
      <c r="CB57" s="395">
        <f t="shared" ca="1" si="41"/>
        <v>0</v>
      </c>
      <c r="CC57" s="395">
        <f t="shared" ca="1" si="41"/>
        <v>0</v>
      </c>
      <c r="CD57" s="395">
        <f t="shared" ca="1" si="41"/>
        <v>0</v>
      </c>
      <c r="CE57" s="395">
        <f t="shared" ca="1" si="41"/>
        <v>0</v>
      </c>
      <c r="CF57" s="395">
        <f t="shared" ca="1" si="41"/>
        <v>0</v>
      </c>
      <c r="CG57" s="395">
        <f t="shared" ca="1" si="41"/>
        <v>0</v>
      </c>
      <c r="CH57" s="395">
        <f t="shared" ca="1" si="41"/>
        <v>0</v>
      </c>
      <c r="CI57" s="395">
        <f t="shared" ca="1" si="41"/>
        <v>0</v>
      </c>
      <c r="CJ57" s="395">
        <f t="shared" ca="1" si="41"/>
        <v>0</v>
      </c>
      <c r="CK57" s="395">
        <f t="shared" ca="1" si="41"/>
        <v>0</v>
      </c>
      <c r="CL57" s="133" t="s">
        <v>15</v>
      </c>
    </row>
    <row r="58" spans="2:90" s="133" customFormat="1" ht="15" customHeight="1" outlineLevel="1" x14ac:dyDescent="0.2">
      <c r="B58" s="133" t="s">
        <v>328</v>
      </c>
      <c r="E58" s="395">
        <f t="shared" ref="E58:AJ58" ca="1" si="42">E57*(Tier2_Hurdle_Case1-1)</f>
        <v>205766.8512674048</v>
      </c>
      <c r="F58" s="395">
        <f t="shared" ca="1" si="42"/>
        <v>7927.3136326666645</v>
      </c>
      <c r="G58" s="395">
        <f t="shared" ca="1" si="42"/>
        <v>7932.5042122142841</v>
      </c>
      <c r="H58" s="395">
        <f t="shared" ca="1" si="42"/>
        <v>8521.578788428571</v>
      </c>
      <c r="I58" s="395">
        <f t="shared" ca="1" si="42"/>
        <v>8089.2453671428557</v>
      </c>
      <c r="J58" s="395">
        <f t="shared" ca="1" si="42"/>
        <v>6868.376802857143</v>
      </c>
      <c r="K58" s="395">
        <f t="shared" ca="1" si="42"/>
        <v>11560.681931904763</v>
      </c>
      <c r="L58" s="395">
        <f t="shared" ca="1" si="42"/>
        <v>17611.475373820806</v>
      </c>
      <c r="M58" s="395">
        <f t="shared" ca="1" si="42"/>
        <v>17623.095565736843</v>
      </c>
      <c r="N58" s="395">
        <f t="shared" ca="1" si="42"/>
        <v>14619.706701629022</v>
      </c>
      <c r="O58" s="395">
        <f t="shared" ca="1" si="42"/>
        <v>202.41921666666667</v>
      </c>
      <c r="P58" s="395">
        <f t="shared" ca="1" si="42"/>
        <v>202.41921666666667</v>
      </c>
      <c r="Q58" s="395">
        <f t="shared" ca="1" si="42"/>
        <v>202.41921666666667</v>
      </c>
      <c r="R58" s="395">
        <f t="shared" ca="1" si="42"/>
        <v>202.41921666666667</v>
      </c>
      <c r="S58" s="395">
        <f t="shared" ca="1" si="42"/>
        <v>202.41921666666667</v>
      </c>
      <c r="T58" s="395">
        <f t="shared" ca="1" si="42"/>
        <v>202.41921666666667</v>
      </c>
      <c r="U58" s="395">
        <f t="shared" ca="1" si="42"/>
        <v>202.41921666666667</v>
      </c>
      <c r="V58" s="395">
        <f t="shared" ca="1" si="42"/>
        <v>202.41921666666667</v>
      </c>
      <c r="W58" s="395">
        <f t="shared" ca="1" si="42"/>
        <v>202.41921666666667</v>
      </c>
      <c r="X58" s="395">
        <f t="shared" ca="1" si="42"/>
        <v>202.41921666666667</v>
      </c>
      <c r="Y58" s="395">
        <f t="shared" ca="1" si="42"/>
        <v>202.41921666666667</v>
      </c>
      <c r="Z58" s="395">
        <f t="shared" ca="1" si="42"/>
        <v>202.41921666666667</v>
      </c>
      <c r="AA58" s="395">
        <f t="shared" ca="1" si="42"/>
        <v>202.41921666666667</v>
      </c>
      <c r="AB58" s="395">
        <f t="shared" ca="1" si="42"/>
        <v>202.41921666666667</v>
      </c>
      <c r="AC58" s="395">
        <f t="shared" ca="1" si="42"/>
        <v>202.41921666666667</v>
      </c>
      <c r="AD58" s="395">
        <f t="shared" ca="1" si="42"/>
        <v>202.41921666666667</v>
      </c>
      <c r="AE58" s="395">
        <f t="shared" ca="1" si="42"/>
        <v>202.41921666666667</v>
      </c>
      <c r="AF58" s="395">
        <f t="shared" ca="1" si="42"/>
        <v>202.41921666666667</v>
      </c>
      <c r="AG58" s="395">
        <f t="shared" ca="1" si="42"/>
        <v>202.41921666666667</v>
      </c>
      <c r="AH58" s="395">
        <f t="shared" ca="1" si="42"/>
        <v>202.41921666666667</v>
      </c>
      <c r="AI58" s="395">
        <f t="shared" ca="1" si="42"/>
        <v>202.41921666666667</v>
      </c>
      <c r="AJ58" s="395">
        <f t="shared" ca="1" si="42"/>
        <v>202.41921666666667</v>
      </c>
      <c r="AK58" s="395">
        <f t="shared" ref="AK58:BP58" ca="1" si="43">AK57*(Tier2_Hurdle_Case1-1)</f>
        <v>202.41921666666667</v>
      </c>
      <c r="AL58" s="395">
        <f t="shared" ca="1" si="43"/>
        <v>202.41921666666667</v>
      </c>
      <c r="AM58" s="395">
        <f t="shared" ca="1" si="43"/>
        <v>202.41921666666667</v>
      </c>
      <c r="AN58" s="395">
        <f t="shared" ca="1" si="43"/>
        <v>202.41921666666667</v>
      </c>
      <c r="AO58" s="395">
        <f t="shared" ca="1" si="43"/>
        <v>0</v>
      </c>
      <c r="AP58" s="395">
        <f t="shared" ca="1" si="43"/>
        <v>0</v>
      </c>
      <c r="AQ58" s="395">
        <f t="shared" ca="1" si="43"/>
        <v>0</v>
      </c>
      <c r="AR58" s="395">
        <f t="shared" ca="1" si="43"/>
        <v>0</v>
      </c>
      <c r="AS58" s="395">
        <f t="shared" ca="1" si="43"/>
        <v>0</v>
      </c>
      <c r="AT58" s="395">
        <f t="shared" ca="1" si="43"/>
        <v>0</v>
      </c>
      <c r="AU58" s="395">
        <f t="shared" ca="1" si="43"/>
        <v>0</v>
      </c>
      <c r="AV58" s="395">
        <f t="shared" ca="1" si="43"/>
        <v>0</v>
      </c>
      <c r="AW58" s="395">
        <f t="shared" ca="1" si="43"/>
        <v>0</v>
      </c>
      <c r="AX58" s="395">
        <f t="shared" ca="1" si="43"/>
        <v>0</v>
      </c>
      <c r="AY58" s="395">
        <f t="shared" ca="1" si="43"/>
        <v>0</v>
      </c>
      <c r="AZ58" s="395">
        <f t="shared" ca="1" si="43"/>
        <v>0</v>
      </c>
      <c r="BA58" s="395">
        <f t="shared" ca="1" si="43"/>
        <v>0</v>
      </c>
      <c r="BB58" s="395">
        <f t="shared" ca="1" si="43"/>
        <v>0</v>
      </c>
      <c r="BC58" s="395">
        <f t="shared" ca="1" si="43"/>
        <v>0</v>
      </c>
      <c r="BD58" s="395">
        <f t="shared" ca="1" si="43"/>
        <v>0</v>
      </c>
      <c r="BE58" s="395">
        <f t="shared" ca="1" si="43"/>
        <v>0</v>
      </c>
      <c r="BF58" s="395">
        <f t="shared" ca="1" si="43"/>
        <v>0</v>
      </c>
      <c r="BG58" s="395">
        <f t="shared" ca="1" si="43"/>
        <v>0</v>
      </c>
      <c r="BH58" s="395">
        <f t="shared" ca="1" si="43"/>
        <v>0</v>
      </c>
      <c r="BI58" s="395">
        <f t="shared" ca="1" si="43"/>
        <v>0</v>
      </c>
      <c r="BJ58" s="395">
        <f t="shared" ca="1" si="43"/>
        <v>0</v>
      </c>
      <c r="BK58" s="395">
        <f t="shared" ca="1" si="43"/>
        <v>0</v>
      </c>
      <c r="BL58" s="395">
        <f t="shared" ca="1" si="43"/>
        <v>0</v>
      </c>
      <c r="BM58" s="395">
        <f t="shared" ca="1" si="43"/>
        <v>0</v>
      </c>
      <c r="BN58" s="395">
        <f t="shared" ca="1" si="43"/>
        <v>0</v>
      </c>
      <c r="BO58" s="395">
        <f t="shared" ca="1" si="43"/>
        <v>0</v>
      </c>
      <c r="BP58" s="395">
        <f t="shared" ca="1" si="43"/>
        <v>0</v>
      </c>
      <c r="BQ58" s="395">
        <f t="shared" ref="BQ58:CK58" ca="1" si="44">BQ57*(Tier2_Hurdle_Case1-1)</f>
        <v>0</v>
      </c>
      <c r="BR58" s="395">
        <f t="shared" ca="1" si="44"/>
        <v>0</v>
      </c>
      <c r="BS58" s="395">
        <f t="shared" ca="1" si="44"/>
        <v>0</v>
      </c>
      <c r="BT58" s="395">
        <f t="shared" ca="1" si="44"/>
        <v>0</v>
      </c>
      <c r="BU58" s="395">
        <f t="shared" ca="1" si="44"/>
        <v>0</v>
      </c>
      <c r="BV58" s="395">
        <f t="shared" ca="1" si="44"/>
        <v>0</v>
      </c>
      <c r="BW58" s="395">
        <f t="shared" ca="1" si="44"/>
        <v>0</v>
      </c>
      <c r="BX58" s="395">
        <f t="shared" ca="1" si="44"/>
        <v>0</v>
      </c>
      <c r="BY58" s="395">
        <f t="shared" ca="1" si="44"/>
        <v>0</v>
      </c>
      <c r="BZ58" s="395">
        <f t="shared" ca="1" si="44"/>
        <v>0</v>
      </c>
      <c r="CA58" s="395">
        <f t="shared" ca="1" si="44"/>
        <v>0</v>
      </c>
      <c r="CB58" s="395">
        <f t="shared" ca="1" si="44"/>
        <v>0</v>
      </c>
      <c r="CC58" s="395">
        <f t="shared" ca="1" si="44"/>
        <v>0</v>
      </c>
      <c r="CD58" s="395">
        <f t="shared" ca="1" si="44"/>
        <v>0</v>
      </c>
      <c r="CE58" s="395">
        <f t="shared" ca="1" si="44"/>
        <v>0</v>
      </c>
      <c r="CF58" s="395">
        <f t="shared" ca="1" si="44"/>
        <v>0</v>
      </c>
      <c r="CG58" s="395">
        <f t="shared" ca="1" si="44"/>
        <v>0</v>
      </c>
      <c r="CH58" s="395">
        <f t="shared" ca="1" si="44"/>
        <v>0</v>
      </c>
      <c r="CI58" s="395">
        <f t="shared" ca="1" si="44"/>
        <v>0</v>
      </c>
      <c r="CJ58" s="395">
        <f t="shared" ca="1" si="44"/>
        <v>0</v>
      </c>
      <c r="CK58" s="395">
        <f t="shared" ca="1" si="44"/>
        <v>0</v>
      </c>
      <c r="CL58" s="133" t="s">
        <v>15</v>
      </c>
    </row>
    <row r="59" spans="2:90" s="133" customFormat="1" ht="15" customHeight="1" outlineLevel="1" x14ac:dyDescent="0.2">
      <c r="B59" s="133" t="s">
        <v>263</v>
      </c>
      <c r="E59" s="395">
        <f ca="1">-E40</f>
        <v>0</v>
      </c>
      <c r="F59" s="395">
        <f t="shared" ref="F59:BQ59" ca="1" si="45">-F40</f>
        <v>0</v>
      </c>
      <c r="G59" s="395">
        <f t="shared" ca="1" si="45"/>
        <v>0</v>
      </c>
      <c r="H59" s="395">
        <f t="shared" ca="1" si="45"/>
        <v>0</v>
      </c>
      <c r="I59" s="395">
        <f t="shared" ca="1" si="45"/>
        <v>0</v>
      </c>
      <c r="J59" s="395">
        <f t="shared" ca="1" si="45"/>
        <v>0</v>
      </c>
      <c r="K59" s="395">
        <f t="shared" ca="1" si="45"/>
        <v>0</v>
      </c>
      <c r="L59" s="395">
        <f t="shared" ca="1" si="45"/>
        <v>0</v>
      </c>
      <c r="M59" s="395">
        <f t="shared" ca="1" si="45"/>
        <v>0</v>
      </c>
      <c r="N59" s="395">
        <f t="shared" ca="1" si="45"/>
        <v>0</v>
      </c>
      <c r="O59" s="395">
        <f t="shared" ca="1" si="45"/>
        <v>0</v>
      </c>
      <c r="P59" s="395">
        <f t="shared" ca="1" si="45"/>
        <v>0</v>
      </c>
      <c r="Q59" s="395">
        <f t="shared" ca="1" si="45"/>
        <v>0</v>
      </c>
      <c r="R59" s="395">
        <f t="shared" ca="1" si="45"/>
        <v>0</v>
      </c>
      <c r="S59" s="395">
        <f t="shared" ca="1" si="45"/>
        <v>0</v>
      </c>
      <c r="T59" s="395">
        <f t="shared" ca="1" si="45"/>
        <v>0</v>
      </c>
      <c r="U59" s="395">
        <f t="shared" ca="1" si="45"/>
        <v>0</v>
      </c>
      <c r="V59" s="395">
        <f t="shared" ca="1" si="45"/>
        <v>0</v>
      </c>
      <c r="W59" s="395">
        <f t="shared" ca="1" si="45"/>
        <v>0</v>
      </c>
      <c r="X59" s="395">
        <f t="shared" ca="1" si="45"/>
        <v>0</v>
      </c>
      <c r="Y59" s="395">
        <f t="shared" ca="1" si="45"/>
        <v>0</v>
      </c>
      <c r="Z59" s="395">
        <f t="shared" ca="1" si="45"/>
        <v>0</v>
      </c>
      <c r="AA59" s="395">
        <f t="shared" ca="1" si="45"/>
        <v>0</v>
      </c>
      <c r="AB59" s="395">
        <f t="shared" ca="1" si="45"/>
        <v>0</v>
      </c>
      <c r="AC59" s="395">
        <f t="shared" ca="1" si="45"/>
        <v>0</v>
      </c>
      <c r="AD59" s="395">
        <f t="shared" ca="1" si="45"/>
        <v>0</v>
      </c>
      <c r="AE59" s="395">
        <f t="shared" ca="1" si="45"/>
        <v>0</v>
      </c>
      <c r="AF59" s="395">
        <f t="shared" ca="1" si="45"/>
        <v>0</v>
      </c>
      <c r="AG59" s="395">
        <f t="shared" ca="1" si="45"/>
        <v>0</v>
      </c>
      <c r="AH59" s="395">
        <f t="shared" ca="1" si="45"/>
        <v>0</v>
      </c>
      <c r="AI59" s="395">
        <f t="shared" ca="1" si="45"/>
        <v>0</v>
      </c>
      <c r="AJ59" s="395">
        <f t="shared" ca="1" si="45"/>
        <v>0</v>
      </c>
      <c r="AK59" s="395">
        <f t="shared" ca="1" si="45"/>
        <v>0</v>
      </c>
      <c r="AL59" s="395">
        <f t="shared" ca="1" si="45"/>
        <v>0</v>
      </c>
      <c r="AM59" s="395">
        <f t="shared" ca="1" si="45"/>
        <v>0</v>
      </c>
      <c r="AN59" s="395">
        <f t="shared" ca="1" si="45"/>
        <v>0</v>
      </c>
      <c r="AO59" s="395">
        <f t="shared" ca="1" si="45"/>
        <v>0</v>
      </c>
      <c r="AP59" s="395">
        <f t="shared" ca="1" si="45"/>
        <v>0</v>
      </c>
      <c r="AQ59" s="395">
        <f t="shared" ca="1" si="45"/>
        <v>0</v>
      </c>
      <c r="AR59" s="395">
        <f t="shared" ca="1" si="45"/>
        <v>0</v>
      </c>
      <c r="AS59" s="395">
        <f t="shared" ca="1" si="45"/>
        <v>0</v>
      </c>
      <c r="AT59" s="395">
        <f t="shared" ca="1" si="45"/>
        <v>0</v>
      </c>
      <c r="AU59" s="395">
        <f t="shared" ca="1" si="45"/>
        <v>0</v>
      </c>
      <c r="AV59" s="395">
        <f t="shared" ca="1" si="45"/>
        <v>0</v>
      </c>
      <c r="AW59" s="395">
        <f t="shared" ca="1" si="45"/>
        <v>0</v>
      </c>
      <c r="AX59" s="395">
        <f t="shared" ca="1" si="45"/>
        <v>0</v>
      </c>
      <c r="AY59" s="395">
        <f t="shared" ca="1" si="45"/>
        <v>0</v>
      </c>
      <c r="AZ59" s="395">
        <f t="shared" ca="1" si="45"/>
        <v>0</v>
      </c>
      <c r="BA59" s="395">
        <f t="shared" ca="1" si="45"/>
        <v>0</v>
      </c>
      <c r="BB59" s="395">
        <f t="shared" ca="1" si="45"/>
        <v>0</v>
      </c>
      <c r="BC59" s="395">
        <f t="shared" ca="1" si="45"/>
        <v>0</v>
      </c>
      <c r="BD59" s="395">
        <f t="shared" ca="1" si="45"/>
        <v>0</v>
      </c>
      <c r="BE59" s="395">
        <f t="shared" ca="1" si="45"/>
        <v>0</v>
      </c>
      <c r="BF59" s="395">
        <f t="shared" ca="1" si="45"/>
        <v>0</v>
      </c>
      <c r="BG59" s="395">
        <f t="shared" ca="1" si="45"/>
        <v>0</v>
      </c>
      <c r="BH59" s="395">
        <f t="shared" ca="1" si="45"/>
        <v>0</v>
      </c>
      <c r="BI59" s="395">
        <f t="shared" ca="1" si="45"/>
        <v>0</v>
      </c>
      <c r="BJ59" s="395">
        <f t="shared" ca="1" si="45"/>
        <v>0</v>
      </c>
      <c r="BK59" s="395">
        <f t="shared" ca="1" si="45"/>
        <v>0</v>
      </c>
      <c r="BL59" s="395">
        <f t="shared" ca="1" si="45"/>
        <v>0</v>
      </c>
      <c r="BM59" s="395">
        <f t="shared" ca="1" si="45"/>
        <v>0</v>
      </c>
      <c r="BN59" s="395">
        <f t="shared" ca="1" si="45"/>
        <v>0</v>
      </c>
      <c r="BO59" s="395">
        <f t="shared" ca="1" si="45"/>
        <v>0</v>
      </c>
      <c r="BP59" s="395">
        <f t="shared" ca="1" si="45"/>
        <v>0</v>
      </c>
      <c r="BQ59" s="395">
        <f t="shared" ca="1" si="45"/>
        <v>0</v>
      </c>
      <c r="BR59" s="395">
        <f t="shared" ref="BR59:CK59" ca="1" si="46">-BR40</f>
        <v>0</v>
      </c>
      <c r="BS59" s="395">
        <f t="shared" ca="1" si="46"/>
        <v>0</v>
      </c>
      <c r="BT59" s="395">
        <f t="shared" ca="1" si="46"/>
        <v>0</v>
      </c>
      <c r="BU59" s="395">
        <f t="shared" ca="1" si="46"/>
        <v>0</v>
      </c>
      <c r="BV59" s="395">
        <f t="shared" ca="1" si="46"/>
        <v>0</v>
      </c>
      <c r="BW59" s="395">
        <f t="shared" ca="1" si="46"/>
        <v>0</v>
      </c>
      <c r="BX59" s="395">
        <f t="shared" ca="1" si="46"/>
        <v>0</v>
      </c>
      <c r="BY59" s="395">
        <f t="shared" ca="1" si="46"/>
        <v>0</v>
      </c>
      <c r="BZ59" s="395">
        <f t="shared" ca="1" si="46"/>
        <v>0</v>
      </c>
      <c r="CA59" s="395">
        <f t="shared" ca="1" si="46"/>
        <v>0</v>
      </c>
      <c r="CB59" s="395">
        <f t="shared" ca="1" si="46"/>
        <v>0</v>
      </c>
      <c r="CC59" s="395">
        <f t="shared" ca="1" si="46"/>
        <v>0</v>
      </c>
      <c r="CD59" s="395">
        <f t="shared" ca="1" si="46"/>
        <v>0</v>
      </c>
      <c r="CE59" s="395">
        <f t="shared" ca="1" si="46"/>
        <v>0</v>
      </c>
      <c r="CF59" s="395">
        <f t="shared" ca="1" si="46"/>
        <v>0</v>
      </c>
      <c r="CG59" s="395">
        <f t="shared" ca="1" si="46"/>
        <v>0</v>
      </c>
      <c r="CH59" s="395">
        <f t="shared" ca="1" si="46"/>
        <v>0</v>
      </c>
      <c r="CI59" s="395">
        <f t="shared" ca="1" si="46"/>
        <v>0</v>
      </c>
      <c r="CJ59" s="395">
        <f t="shared" ca="1" si="46"/>
        <v>0</v>
      </c>
      <c r="CK59" s="395">
        <f t="shared" ca="1" si="46"/>
        <v>0</v>
      </c>
      <c r="CL59" s="133" t="s">
        <v>15</v>
      </c>
    </row>
    <row r="60" spans="2:90" s="133" customFormat="1" ht="15" customHeight="1" outlineLevel="1" x14ac:dyDescent="0.2">
      <c r="B60" s="133" t="s">
        <v>271</v>
      </c>
      <c r="E60" s="395">
        <f t="shared" ref="E60:AJ60" ca="1" si="47">-MIN(SUM(E56:E59),E54*Tier2_SponsorPctCF_Case1)</f>
        <v>0</v>
      </c>
      <c r="F60" s="395">
        <f t="shared" ca="1" si="47"/>
        <v>0</v>
      </c>
      <c r="G60" s="395">
        <f t="shared" ca="1" si="47"/>
        <v>0</v>
      </c>
      <c r="H60" s="395">
        <f t="shared" ca="1" si="47"/>
        <v>0</v>
      </c>
      <c r="I60" s="395">
        <f t="shared" ca="1" si="47"/>
        <v>0</v>
      </c>
      <c r="J60" s="395">
        <f t="shared" ca="1" si="47"/>
        <v>0</v>
      </c>
      <c r="K60" s="395">
        <f t="shared" ca="1" si="47"/>
        <v>0</v>
      </c>
      <c r="L60" s="395">
        <f t="shared" ca="1" si="47"/>
        <v>0</v>
      </c>
      <c r="M60" s="395">
        <f t="shared" ca="1" si="47"/>
        <v>0</v>
      </c>
      <c r="N60" s="395">
        <f t="shared" ca="1" si="47"/>
        <v>0</v>
      </c>
      <c r="O60" s="395">
        <f t="shared" ca="1" si="47"/>
        <v>0</v>
      </c>
      <c r="P60" s="395">
        <f t="shared" ca="1" si="47"/>
        <v>0</v>
      </c>
      <c r="Q60" s="395">
        <f t="shared" ca="1" si="47"/>
        <v>0</v>
      </c>
      <c r="R60" s="395">
        <f t="shared" ca="1" si="47"/>
        <v>0</v>
      </c>
      <c r="S60" s="395">
        <f t="shared" ca="1" si="47"/>
        <v>0</v>
      </c>
      <c r="T60" s="395">
        <f t="shared" ca="1" si="47"/>
        <v>0</v>
      </c>
      <c r="U60" s="395">
        <f t="shared" ca="1" si="47"/>
        <v>0</v>
      </c>
      <c r="V60" s="395">
        <f t="shared" ca="1" si="47"/>
        <v>0</v>
      </c>
      <c r="W60" s="395">
        <f t="shared" ca="1" si="47"/>
        <v>0</v>
      </c>
      <c r="X60" s="395">
        <f t="shared" ca="1" si="47"/>
        <v>0</v>
      </c>
      <c r="Y60" s="395">
        <f t="shared" ca="1" si="47"/>
        <v>0</v>
      </c>
      <c r="Z60" s="395">
        <f t="shared" ca="1" si="47"/>
        <v>0</v>
      </c>
      <c r="AA60" s="395">
        <f t="shared" ca="1" si="47"/>
        <v>0</v>
      </c>
      <c r="AB60" s="395">
        <f t="shared" ca="1" si="47"/>
        <v>0</v>
      </c>
      <c r="AC60" s="395">
        <f t="shared" ca="1" si="47"/>
        <v>0</v>
      </c>
      <c r="AD60" s="395">
        <f t="shared" ca="1" si="47"/>
        <v>0</v>
      </c>
      <c r="AE60" s="395">
        <f t="shared" ca="1" si="47"/>
        <v>0</v>
      </c>
      <c r="AF60" s="395">
        <f t="shared" ca="1" si="47"/>
        <v>0</v>
      </c>
      <c r="AG60" s="395">
        <f t="shared" ca="1" si="47"/>
        <v>0</v>
      </c>
      <c r="AH60" s="395">
        <f t="shared" ca="1" si="47"/>
        <v>0</v>
      </c>
      <c r="AI60" s="395">
        <f t="shared" ca="1" si="47"/>
        <v>0</v>
      </c>
      <c r="AJ60" s="395">
        <f t="shared" ca="1" si="47"/>
        <v>0</v>
      </c>
      <c r="AK60" s="395">
        <f t="shared" ref="AK60:BP60" ca="1" si="48">-MIN(SUM(AK56:AK59),AK54*Tier2_SponsorPctCF_Case1)</f>
        <v>0</v>
      </c>
      <c r="AL60" s="395">
        <f t="shared" ca="1" si="48"/>
        <v>0</v>
      </c>
      <c r="AM60" s="395">
        <f t="shared" ca="1" si="48"/>
        <v>0</v>
      </c>
      <c r="AN60" s="395">
        <f t="shared" ca="1" si="48"/>
        <v>0</v>
      </c>
      <c r="AO60" s="395">
        <f t="shared" ca="1" si="48"/>
        <v>-1558918.646385693</v>
      </c>
      <c r="AP60" s="395">
        <f t="shared" ca="1" si="48"/>
        <v>0</v>
      </c>
      <c r="AQ60" s="395">
        <f t="shared" ca="1" si="48"/>
        <v>0</v>
      </c>
      <c r="AR60" s="395">
        <f t="shared" ca="1" si="48"/>
        <v>0</v>
      </c>
      <c r="AS60" s="395">
        <f t="shared" ca="1" si="48"/>
        <v>0</v>
      </c>
      <c r="AT60" s="395">
        <f t="shared" ca="1" si="48"/>
        <v>0</v>
      </c>
      <c r="AU60" s="395">
        <f t="shared" ca="1" si="48"/>
        <v>0</v>
      </c>
      <c r="AV60" s="395">
        <f t="shared" ca="1" si="48"/>
        <v>0</v>
      </c>
      <c r="AW60" s="395">
        <f t="shared" ca="1" si="48"/>
        <v>0</v>
      </c>
      <c r="AX60" s="395">
        <f t="shared" ca="1" si="48"/>
        <v>0</v>
      </c>
      <c r="AY60" s="395">
        <f t="shared" ca="1" si="48"/>
        <v>0</v>
      </c>
      <c r="AZ60" s="395">
        <f t="shared" ca="1" si="48"/>
        <v>0</v>
      </c>
      <c r="BA60" s="395">
        <f t="shared" ca="1" si="48"/>
        <v>0</v>
      </c>
      <c r="BB60" s="395">
        <f t="shared" ca="1" si="48"/>
        <v>0</v>
      </c>
      <c r="BC60" s="395">
        <f t="shared" ca="1" si="48"/>
        <v>0</v>
      </c>
      <c r="BD60" s="395">
        <f t="shared" ca="1" si="48"/>
        <v>0</v>
      </c>
      <c r="BE60" s="395">
        <f t="shared" ca="1" si="48"/>
        <v>0</v>
      </c>
      <c r="BF60" s="395">
        <f t="shared" ca="1" si="48"/>
        <v>0</v>
      </c>
      <c r="BG60" s="395">
        <f t="shared" ca="1" si="48"/>
        <v>0</v>
      </c>
      <c r="BH60" s="395">
        <f t="shared" ca="1" si="48"/>
        <v>0</v>
      </c>
      <c r="BI60" s="395">
        <f t="shared" ca="1" si="48"/>
        <v>0</v>
      </c>
      <c r="BJ60" s="395">
        <f t="shared" ca="1" si="48"/>
        <v>0</v>
      </c>
      <c r="BK60" s="395">
        <f t="shared" ca="1" si="48"/>
        <v>0</v>
      </c>
      <c r="BL60" s="395">
        <f t="shared" ca="1" si="48"/>
        <v>0</v>
      </c>
      <c r="BM60" s="395">
        <f t="shared" ca="1" si="48"/>
        <v>0</v>
      </c>
      <c r="BN60" s="395">
        <f t="shared" ca="1" si="48"/>
        <v>0</v>
      </c>
      <c r="BO60" s="395">
        <f t="shared" ca="1" si="48"/>
        <v>0</v>
      </c>
      <c r="BP60" s="395">
        <f t="shared" ca="1" si="48"/>
        <v>0</v>
      </c>
      <c r="BQ60" s="395">
        <f t="shared" ref="BQ60:CK60" ca="1" si="49">-MIN(SUM(BQ56:BQ59),BQ54*Tier2_SponsorPctCF_Case1)</f>
        <v>0</v>
      </c>
      <c r="BR60" s="395">
        <f t="shared" ca="1" si="49"/>
        <v>0</v>
      </c>
      <c r="BS60" s="395">
        <f t="shared" ca="1" si="49"/>
        <v>0</v>
      </c>
      <c r="BT60" s="395">
        <f t="shared" ca="1" si="49"/>
        <v>0</v>
      </c>
      <c r="BU60" s="395">
        <f t="shared" ca="1" si="49"/>
        <v>0</v>
      </c>
      <c r="BV60" s="395">
        <f t="shared" ca="1" si="49"/>
        <v>0</v>
      </c>
      <c r="BW60" s="395">
        <f t="shared" ca="1" si="49"/>
        <v>0</v>
      </c>
      <c r="BX60" s="395">
        <f t="shared" ca="1" si="49"/>
        <v>0</v>
      </c>
      <c r="BY60" s="395">
        <f t="shared" ca="1" si="49"/>
        <v>0</v>
      </c>
      <c r="BZ60" s="395">
        <f t="shared" ca="1" si="49"/>
        <v>0</v>
      </c>
      <c r="CA60" s="395">
        <f t="shared" ca="1" si="49"/>
        <v>0</v>
      </c>
      <c r="CB60" s="395">
        <f t="shared" ca="1" si="49"/>
        <v>0</v>
      </c>
      <c r="CC60" s="395">
        <f t="shared" ca="1" si="49"/>
        <v>0</v>
      </c>
      <c r="CD60" s="395">
        <f t="shared" ca="1" si="49"/>
        <v>0</v>
      </c>
      <c r="CE60" s="395">
        <f t="shared" ca="1" si="49"/>
        <v>0</v>
      </c>
      <c r="CF60" s="395">
        <f t="shared" ca="1" si="49"/>
        <v>0</v>
      </c>
      <c r="CG60" s="395">
        <f t="shared" ca="1" si="49"/>
        <v>0</v>
      </c>
      <c r="CH60" s="395">
        <f t="shared" ca="1" si="49"/>
        <v>0</v>
      </c>
      <c r="CI60" s="395">
        <f t="shared" ca="1" si="49"/>
        <v>0</v>
      </c>
      <c r="CJ60" s="395">
        <f t="shared" ca="1" si="49"/>
        <v>0</v>
      </c>
      <c r="CK60" s="395">
        <f t="shared" ca="1" si="49"/>
        <v>0</v>
      </c>
      <c r="CL60" s="133" t="s">
        <v>15</v>
      </c>
    </row>
    <row r="61" spans="2:90" s="133" customFormat="1" ht="15" customHeight="1" outlineLevel="1" x14ac:dyDescent="0.2">
      <c r="B61" s="133" t="s">
        <v>264</v>
      </c>
      <c r="E61" s="395">
        <f ca="1">SUM(E56:E60)</f>
        <v>1028834.256337024</v>
      </c>
      <c r="F61" s="395">
        <f t="shared" ref="F61:BQ61" ca="1" si="50">SUM(F56:F60)</f>
        <v>1068470.8245003573</v>
      </c>
      <c r="G61" s="395">
        <f t="shared" ca="1" si="50"/>
        <v>1108133.3455614287</v>
      </c>
      <c r="H61" s="395">
        <f t="shared" ca="1" si="50"/>
        <v>1150741.2395035715</v>
      </c>
      <c r="I61" s="395">
        <f t="shared" ca="1" si="50"/>
        <v>1191187.4663392857</v>
      </c>
      <c r="J61" s="395">
        <f t="shared" ca="1" si="50"/>
        <v>1225529.3503535714</v>
      </c>
      <c r="K61" s="395">
        <f t="shared" ca="1" si="50"/>
        <v>1283332.7600130951</v>
      </c>
      <c r="L61" s="395">
        <f t="shared" ca="1" si="50"/>
        <v>1371390.1368821992</v>
      </c>
      <c r="M61" s="395">
        <f t="shared" ca="1" si="50"/>
        <v>1459505.6147108832</v>
      </c>
      <c r="N61" s="395">
        <f t="shared" ca="1" si="50"/>
        <v>1532604.1482190285</v>
      </c>
      <c r="O61" s="395">
        <f t="shared" ca="1" si="50"/>
        <v>1533616.2443023617</v>
      </c>
      <c r="P61" s="395">
        <f t="shared" ca="1" si="50"/>
        <v>1534628.340385695</v>
      </c>
      <c r="Q61" s="395">
        <f t="shared" ca="1" si="50"/>
        <v>1535640.4364690282</v>
      </c>
      <c r="R61" s="395">
        <f t="shared" ca="1" si="50"/>
        <v>1536652.5325523615</v>
      </c>
      <c r="S61" s="395">
        <f t="shared" ca="1" si="50"/>
        <v>1537664.6286356947</v>
      </c>
      <c r="T61" s="395">
        <f t="shared" ca="1" si="50"/>
        <v>1538676.724719028</v>
      </c>
      <c r="U61" s="395">
        <f t="shared" ca="1" si="50"/>
        <v>1539688.8208023612</v>
      </c>
      <c r="V61" s="395">
        <f t="shared" ca="1" si="50"/>
        <v>1540700.9168856945</v>
      </c>
      <c r="W61" s="395">
        <f t="shared" ca="1" si="50"/>
        <v>1541713.0129690277</v>
      </c>
      <c r="X61" s="395">
        <f t="shared" ca="1" si="50"/>
        <v>1542725.109052361</v>
      </c>
      <c r="Y61" s="395">
        <f t="shared" ca="1" si="50"/>
        <v>1543737.2051356942</v>
      </c>
      <c r="Z61" s="395">
        <f t="shared" ca="1" si="50"/>
        <v>1544749.3012190275</v>
      </c>
      <c r="AA61" s="395">
        <f t="shared" ca="1" si="50"/>
        <v>1545761.3973023607</v>
      </c>
      <c r="AB61" s="395">
        <f t="shared" ca="1" si="50"/>
        <v>1546773.493385694</v>
      </c>
      <c r="AC61" s="395">
        <f t="shared" ca="1" si="50"/>
        <v>1547785.5894690272</v>
      </c>
      <c r="AD61" s="395">
        <f t="shared" ca="1" si="50"/>
        <v>1548797.6855523605</v>
      </c>
      <c r="AE61" s="395">
        <f t="shared" ca="1" si="50"/>
        <v>1549809.7816356937</v>
      </c>
      <c r="AF61" s="395">
        <f t="shared" ca="1" si="50"/>
        <v>1550821.877719027</v>
      </c>
      <c r="AG61" s="395">
        <f t="shared" ca="1" si="50"/>
        <v>1551833.9738023602</v>
      </c>
      <c r="AH61" s="395">
        <f t="shared" ca="1" si="50"/>
        <v>1552846.0698856935</v>
      </c>
      <c r="AI61" s="395">
        <f t="shared" ca="1" si="50"/>
        <v>1553858.1659690267</v>
      </c>
      <c r="AJ61" s="395">
        <f t="shared" ca="1" si="50"/>
        <v>1554870.26205236</v>
      </c>
      <c r="AK61" s="395">
        <f t="shared" ca="1" si="50"/>
        <v>1555882.3581356932</v>
      </c>
      <c r="AL61" s="395">
        <f t="shared" ca="1" si="50"/>
        <v>1556894.4542190265</v>
      </c>
      <c r="AM61" s="395">
        <f t="shared" ca="1" si="50"/>
        <v>1557906.5503023597</v>
      </c>
      <c r="AN61" s="395">
        <f t="shared" ca="1" si="50"/>
        <v>1558918.646385693</v>
      </c>
      <c r="AO61" s="395">
        <f t="shared" ca="1" si="50"/>
        <v>0</v>
      </c>
      <c r="AP61" s="395">
        <f t="shared" ca="1" si="50"/>
        <v>0</v>
      </c>
      <c r="AQ61" s="395">
        <f t="shared" ca="1" si="50"/>
        <v>0</v>
      </c>
      <c r="AR61" s="395">
        <f t="shared" ca="1" si="50"/>
        <v>0</v>
      </c>
      <c r="AS61" s="395">
        <f t="shared" ca="1" si="50"/>
        <v>0</v>
      </c>
      <c r="AT61" s="395">
        <f t="shared" ca="1" si="50"/>
        <v>0</v>
      </c>
      <c r="AU61" s="395">
        <f t="shared" ca="1" si="50"/>
        <v>0</v>
      </c>
      <c r="AV61" s="395">
        <f t="shared" ca="1" si="50"/>
        <v>0</v>
      </c>
      <c r="AW61" s="395">
        <f t="shared" ca="1" si="50"/>
        <v>0</v>
      </c>
      <c r="AX61" s="395">
        <f t="shared" ca="1" si="50"/>
        <v>0</v>
      </c>
      <c r="AY61" s="395">
        <f t="shared" ca="1" si="50"/>
        <v>0</v>
      </c>
      <c r="AZ61" s="395">
        <f t="shared" ca="1" si="50"/>
        <v>0</v>
      </c>
      <c r="BA61" s="395">
        <f t="shared" ca="1" si="50"/>
        <v>0</v>
      </c>
      <c r="BB61" s="395">
        <f t="shared" ca="1" si="50"/>
        <v>0</v>
      </c>
      <c r="BC61" s="395">
        <f t="shared" ca="1" si="50"/>
        <v>0</v>
      </c>
      <c r="BD61" s="395">
        <f t="shared" ca="1" si="50"/>
        <v>0</v>
      </c>
      <c r="BE61" s="395">
        <f t="shared" ca="1" si="50"/>
        <v>0</v>
      </c>
      <c r="BF61" s="395">
        <f t="shared" ca="1" si="50"/>
        <v>0</v>
      </c>
      <c r="BG61" s="395">
        <f t="shared" ca="1" si="50"/>
        <v>0</v>
      </c>
      <c r="BH61" s="395">
        <f t="shared" ca="1" si="50"/>
        <v>0</v>
      </c>
      <c r="BI61" s="395">
        <f t="shared" ca="1" si="50"/>
        <v>0</v>
      </c>
      <c r="BJ61" s="395">
        <f t="shared" ca="1" si="50"/>
        <v>0</v>
      </c>
      <c r="BK61" s="395">
        <f t="shared" ca="1" si="50"/>
        <v>0</v>
      </c>
      <c r="BL61" s="395">
        <f t="shared" ca="1" si="50"/>
        <v>0</v>
      </c>
      <c r="BM61" s="395">
        <f t="shared" ca="1" si="50"/>
        <v>0</v>
      </c>
      <c r="BN61" s="395">
        <f t="shared" ca="1" si="50"/>
        <v>0</v>
      </c>
      <c r="BO61" s="395">
        <f t="shared" ca="1" si="50"/>
        <v>0</v>
      </c>
      <c r="BP61" s="395">
        <f t="shared" ca="1" si="50"/>
        <v>0</v>
      </c>
      <c r="BQ61" s="395">
        <f t="shared" ca="1" si="50"/>
        <v>0</v>
      </c>
      <c r="BR61" s="395">
        <f t="shared" ref="BR61:CK61" ca="1" si="51">SUM(BR56:BR60)</f>
        <v>0</v>
      </c>
      <c r="BS61" s="395">
        <f t="shared" ca="1" si="51"/>
        <v>0</v>
      </c>
      <c r="BT61" s="395">
        <f t="shared" ca="1" si="51"/>
        <v>0</v>
      </c>
      <c r="BU61" s="395">
        <f t="shared" ca="1" si="51"/>
        <v>0</v>
      </c>
      <c r="BV61" s="395">
        <f t="shared" ca="1" si="51"/>
        <v>0</v>
      </c>
      <c r="BW61" s="395">
        <f t="shared" ca="1" si="51"/>
        <v>0</v>
      </c>
      <c r="BX61" s="395">
        <f t="shared" ca="1" si="51"/>
        <v>0</v>
      </c>
      <c r="BY61" s="395">
        <f t="shared" ca="1" si="51"/>
        <v>0</v>
      </c>
      <c r="BZ61" s="395">
        <f t="shared" ca="1" si="51"/>
        <v>0</v>
      </c>
      <c r="CA61" s="395">
        <f t="shared" ca="1" si="51"/>
        <v>0</v>
      </c>
      <c r="CB61" s="395">
        <f t="shared" ca="1" si="51"/>
        <v>0</v>
      </c>
      <c r="CC61" s="395">
        <f t="shared" ca="1" si="51"/>
        <v>0</v>
      </c>
      <c r="CD61" s="395">
        <f t="shared" ca="1" si="51"/>
        <v>0</v>
      </c>
      <c r="CE61" s="395">
        <f t="shared" ca="1" si="51"/>
        <v>0</v>
      </c>
      <c r="CF61" s="395">
        <f t="shared" ca="1" si="51"/>
        <v>0</v>
      </c>
      <c r="CG61" s="395">
        <f t="shared" ca="1" si="51"/>
        <v>0</v>
      </c>
      <c r="CH61" s="395">
        <f t="shared" ca="1" si="51"/>
        <v>0</v>
      </c>
      <c r="CI61" s="395">
        <f t="shared" ca="1" si="51"/>
        <v>0</v>
      </c>
      <c r="CJ61" s="395">
        <f t="shared" ca="1" si="51"/>
        <v>0</v>
      </c>
      <c r="CK61" s="395">
        <f t="shared" ca="1" si="51"/>
        <v>0</v>
      </c>
      <c r="CL61" s="133" t="s">
        <v>15</v>
      </c>
    </row>
    <row r="62" spans="2:90" s="133" customFormat="1" ht="15" customHeight="1" outlineLevel="1" x14ac:dyDescent="0.2"/>
    <row r="63" spans="2:90" s="133" customFormat="1" ht="15" customHeight="1" outlineLevel="1" x14ac:dyDescent="0.2">
      <c r="B63" s="417" t="s">
        <v>272</v>
      </c>
      <c r="E63" s="395">
        <f t="shared" ref="E63:AJ63" ca="1" si="52">E64*Tier2_CoInvestorPctCF_Case1/Tier2_SponsorPctCF_Case1</f>
        <v>0</v>
      </c>
      <c r="F63" s="395">
        <f t="shared" ca="1" si="52"/>
        <v>0</v>
      </c>
      <c r="G63" s="395">
        <f t="shared" ca="1" si="52"/>
        <v>0</v>
      </c>
      <c r="H63" s="395">
        <f t="shared" ca="1" si="52"/>
        <v>0</v>
      </c>
      <c r="I63" s="395">
        <f t="shared" ca="1" si="52"/>
        <v>0</v>
      </c>
      <c r="J63" s="395">
        <f t="shared" ca="1" si="52"/>
        <v>0</v>
      </c>
      <c r="K63" s="395">
        <f t="shared" ca="1" si="52"/>
        <v>0</v>
      </c>
      <c r="L63" s="395">
        <f t="shared" ca="1" si="52"/>
        <v>0</v>
      </c>
      <c r="M63" s="395">
        <f t="shared" ca="1" si="52"/>
        <v>0</v>
      </c>
      <c r="N63" s="395">
        <f t="shared" ca="1" si="52"/>
        <v>0</v>
      </c>
      <c r="O63" s="395">
        <f t="shared" ca="1" si="52"/>
        <v>0</v>
      </c>
      <c r="P63" s="395">
        <f t="shared" ca="1" si="52"/>
        <v>0</v>
      </c>
      <c r="Q63" s="395">
        <f t="shared" ca="1" si="52"/>
        <v>0</v>
      </c>
      <c r="R63" s="395">
        <f t="shared" ca="1" si="52"/>
        <v>0</v>
      </c>
      <c r="S63" s="395">
        <f t="shared" ca="1" si="52"/>
        <v>0</v>
      </c>
      <c r="T63" s="395">
        <f t="shared" ca="1" si="52"/>
        <v>0</v>
      </c>
      <c r="U63" s="395">
        <f t="shared" ca="1" si="52"/>
        <v>0</v>
      </c>
      <c r="V63" s="395">
        <f t="shared" ca="1" si="52"/>
        <v>0</v>
      </c>
      <c r="W63" s="395">
        <f t="shared" ca="1" si="52"/>
        <v>0</v>
      </c>
      <c r="X63" s="395">
        <f t="shared" ca="1" si="52"/>
        <v>0</v>
      </c>
      <c r="Y63" s="395">
        <f t="shared" ca="1" si="52"/>
        <v>0</v>
      </c>
      <c r="Z63" s="395">
        <f t="shared" ca="1" si="52"/>
        <v>0</v>
      </c>
      <c r="AA63" s="395">
        <f t="shared" ca="1" si="52"/>
        <v>0</v>
      </c>
      <c r="AB63" s="395">
        <f t="shared" ca="1" si="52"/>
        <v>0</v>
      </c>
      <c r="AC63" s="395">
        <f t="shared" ca="1" si="52"/>
        <v>0</v>
      </c>
      <c r="AD63" s="395">
        <f t="shared" ca="1" si="52"/>
        <v>0</v>
      </c>
      <c r="AE63" s="395">
        <f t="shared" ca="1" si="52"/>
        <v>0</v>
      </c>
      <c r="AF63" s="395">
        <f t="shared" ca="1" si="52"/>
        <v>0</v>
      </c>
      <c r="AG63" s="395">
        <f t="shared" ca="1" si="52"/>
        <v>0</v>
      </c>
      <c r="AH63" s="395">
        <f t="shared" ca="1" si="52"/>
        <v>0</v>
      </c>
      <c r="AI63" s="395">
        <f t="shared" ca="1" si="52"/>
        <v>0</v>
      </c>
      <c r="AJ63" s="395">
        <f t="shared" ca="1" si="52"/>
        <v>0</v>
      </c>
      <c r="AK63" s="395">
        <f t="shared" ref="AK63:BP63" ca="1" si="53">AK64*Tier2_CoInvestorPctCF_Case1/Tier2_SponsorPctCF_Case1</f>
        <v>0</v>
      </c>
      <c r="AL63" s="395">
        <f t="shared" ca="1" si="53"/>
        <v>0</v>
      </c>
      <c r="AM63" s="395">
        <f t="shared" ca="1" si="53"/>
        <v>0</v>
      </c>
      <c r="AN63" s="395">
        <f t="shared" ca="1" si="53"/>
        <v>0</v>
      </c>
      <c r="AO63" s="395">
        <f t="shared" ca="1" si="53"/>
        <v>0</v>
      </c>
      <c r="AP63" s="395">
        <f t="shared" ca="1" si="53"/>
        <v>0</v>
      </c>
      <c r="AQ63" s="395">
        <f t="shared" ca="1" si="53"/>
        <v>0</v>
      </c>
      <c r="AR63" s="395">
        <f t="shared" ca="1" si="53"/>
        <v>0</v>
      </c>
      <c r="AS63" s="395">
        <f t="shared" ca="1" si="53"/>
        <v>0</v>
      </c>
      <c r="AT63" s="395">
        <f t="shared" ca="1" si="53"/>
        <v>0</v>
      </c>
      <c r="AU63" s="395">
        <f t="shared" ca="1" si="53"/>
        <v>0</v>
      </c>
      <c r="AV63" s="395">
        <f t="shared" ca="1" si="53"/>
        <v>0</v>
      </c>
      <c r="AW63" s="395">
        <f t="shared" ca="1" si="53"/>
        <v>0</v>
      </c>
      <c r="AX63" s="395">
        <f t="shared" ca="1" si="53"/>
        <v>0</v>
      </c>
      <c r="AY63" s="395">
        <f t="shared" ca="1" si="53"/>
        <v>0</v>
      </c>
      <c r="AZ63" s="395">
        <f t="shared" ca="1" si="53"/>
        <v>0</v>
      </c>
      <c r="BA63" s="395">
        <f t="shared" ca="1" si="53"/>
        <v>0</v>
      </c>
      <c r="BB63" s="395">
        <f t="shared" ca="1" si="53"/>
        <v>0</v>
      </c>
      <c r="BC63" s="395">
        <f t="shared" ca="1" si="53"/>
        <v>0</v>
      </c>
      <c r="BD63" s="395">
        <f t="shared" ca="1" si="53"/>
        <v>0</v>
      </c>
      <c r="BE63" s="395">
        <f t="shared" ca="1" si="53"/>
        <v>0</v>
      </c>
      <c r="BF63" s="395">
        <f t="shared" ca="1" si="53"/>
        <v>0</v>
      </c>
      <c r="BG63" s="395">
        <f t="shared" ca="1" si="53"/>
        <v>0</v>
      </c>
      <c r="BH63" s="395">
        <f t="shared" ca="1" si="53"/>
        <v>0</v>
      </c>
      <c r="BI63" s="395">
        <f t="shared" ca="1" si="53"/>
        <v>0</v>
      </c>
      <c r="BJ63" s="395">
        <f t="shared" ca="1" si="53"/>
        <v>0</v>
      </c>
      <c r="BK63" s="395">
        <f t="shared" ca="1" si="53"/>
        <v>0</v>
      </c>
      <c r="BL63" s="395">
        <f t="shared" ca="1" si="53"/>
        <v>0</v>
      </c>
      <c r="BM63" s="395">
        <f t="shared" ca="1" si="53"/>
        <v>0</v>
      </c>
      <c r="BN63" s="395">
        <f t="shared" ca="1" si="53"/>
        <v>0</v>
      </c>
      <c r="BO63" s="395">
        <f t="shared" ca="1" si="53"/>
        <v>0</v>
      </c>
      <c r="BP63" s="395">
        <f t="shared" ca="1" si="53"/>
        <v>0</v>
      </c>
      <c r="BQ63" s="395">
        <f t="shared" ref="BQ63:CK63" ca="1" si="54">BQ64*Tier2_CoInvestorPctCF_Case1/Tier2_SponsorPctCF_Case1</f>
        <v>0</v>
      </c>
      <c r="BR63" s="395">
        <f t="shared" ca="1" si="54"/>
        <v>0</v>
      </c>
      <c r="BS63" s="395">
        <f t="shared" ca="1" si="54"/>
        <v>0</v>
      </c>
      <c r="BT63" s="395">
        <f t="shared" ca="1" si="54"/>
        <v>0</v>
      </c>
      <c r="BU63" s="395">
        <f t="shared" ca="1" si="54"/>
        <v>0</v>
      </c>
      <c r="BV63" s="395">
        <f t="shared" ca="1" si="54"/>
        <v>0</v>
      </c>
      <c r="BW63" s="395">
        <f t="shared" ca="1" si="54"/>
        <v>0</v>
      </c>
      <c r="BX63" s="395">
        <f t="shared" ca="1" si="54"/>
        <v>0</v>
      </c>
      <c r="BY63" s="395">
        <f t="shared" ca="1" si="54"/>
        <v>0</v>
      </c>
      <c r="BZ63" s="395">
        <f t="shared" ca="1" si="54"/>
        <v>0</v>
      </c>
      <c r="CA63" s="395">
        <f t="shared" ca="1" si="54"/>
        <v>0</v>
      </c>
      <c r="CB63" s="395">
        <f t="shared" ca="1" si="54"/>
        <v>0</v>
      </c>
      <c r="CC63" s="395">
        <f t="shared" ca="1" si="54"/>
        <v>0</v>
      </c>
      <c r="CD63" s="395">
        <f t="shared" ca="1" si="54"/>
        <v>0</v>
      </c>
      <c r="CE63" s="395">
        <f t="shared" ca="1" si="54"/>
        <v>0</v>
      </c>
      <c r="CF63" s="395">
        <f t="shared" ca="1" si="54"/>
        <v>0</v>
      </c>
      <c r="CG63" s="395">
        <f t="shared" ca="1" si="54"/>
        <v>0</v>
      </c>
      <c r="CH63" s="395">
        <f t="shared" ca="1" si="54"/>
        <v>0</v>
      </c>
      <c r="CI63" s="395">
        <f t="shared" ca="1" si="54"/>
        <v>0</v>
      </c>
      <c r="CJ63" s="395">
        <f t="shared" ca="1" si="54"/>
        <v>0</v>
      </c>
      <c r="CK63" s="395">
        <f t="shared" ca="1" si="54"/>
        <v>0</v>
      </c>
      <c r="CL63" s="133" t="s">
        <v>15</v>
      </c>
    </row>
    <row r="64" spans="2:90" s="133" customFormat="1" ht="15" customHeight="1" outlineLevel="1" x14ac:dyDescent="0.2">
      <c r="B64" s="133" t="s">
        <v>273</v>
      </c>
      <c r="E64" s="395">
        <f ca="1">-E60</f>
        <v>0</v>
      </c>
      <c r="F64" s="395">
        <f t="shared" ref="F64:BQ64" ca="1" si="55">-F60</f>
        <v>0</v>
      </c>
      <c r="G64" s="395">
        <f t="shared" ca="1" si="55"/>
        <v>0</v>
      </c>
      <c r="H64" s="395">
        <f t="shared" ca="1" si="55"/>
        <v>0</v>
      </c>
      <c r="I64" s="395">
        <f t="shared" ca="1" si="55"/>
        <v>0</v>
      </c>
      <c r="J64" s="395">
        <f t="shared" ca="1" si="55"/>
        <v>0</v>
      </c>
      <c r="K64" s="395">
        <f t="shared" ca="1" si="55"/>
        <v>0</v>
      </c>
      <c r="L64" s="395">
        <f t="shared" ca="1" si="55"/>
        <v>0</v>
      </c>
      <c r="M64" s="395">
        <f t="shared" ca="1" si="55"/>
        <v>0</v>
      </c>
      <c r="N64" s="395">
        <f t="shared" ca="1" si="55"/>
        <v>0</v>
      </c>
      <c r="O64" s="395">
        <f t="shared" ca="1" si="55"/>
        <v>0</v>
      </c>
      <c r="P64" s="395">
        <f t="shared" ca="1" si="55"/>
        <v>0</v>
      </c>
      <c r="Q64" s="395">
        <f t="shared" ca="1" si="55"/>
        <v>0</v>
      </c>
      <c r="R64" s="395">
        <f t="shared" ca="1" si="55"/>
        <v>0</v>
      </c>
      <c r="S64" s="395">
        <f t="shared" ca="1" si="55"/>
        <v>0</v>
      </c>
      <c r="T64" s="395">
        <f t="shared" ca="1" si="55"/>
        <v>0</v>
      </c>
      <c r="U64" s="395">
        <f t="shared" ca="1" si="55"/>
        <v>0</v>
      </c>
      <c r="V64" s="395">
        <f t="shared" ca="1" si="55"/>
        <v>0</v>
      </c>
      <c r="W64" s="395">
        <f t="shared" ca="1" si="55"/>
        <v>0</v>
      </c>
      <c r="X64" s="395">
        <f t="shared" ca="1" si="55"/>
        <v>0</v>
      </c>
      <c r="Y64" s="395">
        <f t="shared" ca="1" si="55"/>
        <v>0</v>
      </c>
      <c r="Z64" s="395">
        <f t="shared" ca="1" si="55"/>
        <v>0</v>
      </c>
      <c r="AA64" s="395">
        <f t="shared" ca="1" si="55"/>
        <v>0</v>
      </c>
      <c r="AB64" s="395">
        <f t="shared" ca="1" si="55"/>
        <v>0</v>
      </c>
      <c r="AC64" s="395">
        <f t="shared" ca="1" si="55"/>
        <v>0</v>
      </c>
      <c r="AD64" s="395">
        <f t="shared" ca="1" si="55"/>
        <v>0</v>
      </c>
      <c r="AE64" s="395">
        <f t="shared" ca="1" si="55"/>
        <v>0</v>
      </c>
      <c r="AF64" s="395">
        <f t="shared" ca="1" si="55"/>
        <v>0</v>
      </c>
      <c r="AG64" s="395">
        <f t="shared" ca="1" si="55"/>
        <v>0</v>
      </c>
      <c r="AH64" s="395">
        <f t="shared" ca="1" si="55"/>
        <v>0</v>
      </c>
      <c r="AI64" s="395">
        <f t="shared" ca="1" si="55"/>
        <v>0</v>
      </c>
      <c r="AJ64" s="395">
        <f t="shared" ca="1" si="55"/>
        <v>0</v>
      </c>
      <c r="AK64" s="395">
        <f t="shared" ca="1" si="55"/>
        <v>0</v>
      </c>
      <c r="AL64" s="395">
        <f t="shared" ca="1" si="55"/>
        <v>0</v>
      </c>
      <c r="AM64" s="395">
        <f t="shared" ca="1" si="55"/>
        <v>0</v>
      </c>
      <c r="AN64" s="395">
        <f t="shared" ca="1" si="55"/>
        <v>0</v>
      </c>
      <c r="AO64" s="395">
        <f t="shared" ca="1" si="55"/>
        <v>1558918.646385693</v>
      </c>
      <c r="AP64" s="395">
        <f t="shared" ca="1" si="55"/>
        <v>0</v>
      </c>
      <c r="AQ64" s="395">
        <f t="shared" ca="1" si="55"/>
        <v>0</v>
      </c>
      <c r="AR64" s="395">
        <f t="shared" ca="1" si="55"/>
        <v>0</v>
      </c>
      <c r="AS64" s="395">
        <f t="shared" ca="1" si="55"/>
        <v>0</v>
      </c>
      <c r="AT64" s="395">
        <f t="shared" ca="1" si="55"/>
        <v>0</v>
      </c>
      <c r="AU64" s="395">
        <f t="shared" ca="1" si="55"/>
        <v>0</v>
      </c>
      <c r="AV64" s="395">
        <f t="shared" ca="1" si="55"/>
        <v>0</v>
      </c>
      <c r="AW64" s="395">
        <f t="shared" ca="1" si="55"/>
        <v>0</v>
      </c>
      <c r="AX64" s="395">
        <f t="shared" ca="1" si="55"/>
        <v>0</v>
      </c>
      <c r="AY64" s="395">
        <f t="shared" ca="1" si="55"/>
        <v>0</v>
      </c>
      <c r="AZ64" s="395">
        <f t="shared" ca="1" si="55"/>
        <v>0</v>
      </c>
      <c r="BA64" s="395">
        <f t="shared" ca="1" si="55"/>
        <v>0</v>
      </c>
      <c r="BB64" s="395">
        <f t="shared" ca="1" si="55"/>
        <v>0</v>
      </c>
      <c r="BC64" s="395">
        <f t="shared" ca="1" si="55"/>
        <v>0</v>
      </c>
      <c r="BD64" s="395">
        <f t="shared" ca="1" si="55"/>
        <v>0</v>
      </c>
      <c r="BE64" s="395">
        <f t="shared" ca="1" si="55"/>
        <v>0</v>
      </c>
      <c r="BF64" s="395">
        <f t="shared" ca="1" si="55"/>
        <v>0</v>
      </c>
      <c r="BG64" s="395">
        <f t="shared" ca="1" si="55"/>
        <v>0</v>
      </c>
      <c r="BH64" s="395">
        <f t="shared" ca="1" si="55"/>
        <v>0</v>
      </c>
      <c r="BI64" s="395">
        <f t="shared" ca="1" si="55"/>
        <v>0</v>
      </c>
      <c r="BJ64" s="395">
        <f t="shared" ca="1" si="55"/>
        <v>0</v>
      </c>
      <c r="BK64" s="395">
        <f t="shared" ca="1" si="55"/>
        <v>0</v>
      </c>
      <c r="BL64" s="395">
        <f t="shared" ca="1" si="55"/>
        <v>0</v>
      </c>
      <c r="BM64" s="395">
        <f t="shared" ca="1" si="55"/>
        <v>0</v>
      </c>
      <c r="BN64" s="395">
        <f t="shared" ca="1" si="55"/>
        <v>0</v>
      </c>
      <c r="BO64" s="395">
        <f t="shared" ca="1" si="55"/>
        <v>0</v>
      </c>
      <c r="BP64" s="395">
        <f t="shared" ca="1" si="55"/>
        <v>0</v>
      </c>
      <c r="BQ64" s="395">
        <f t="shared" ca="1" si="55"/>
        <v>0</v>
      </c>
      <c r="BR64" s="395">
        <f t="shared" ref="BR64:CK64" ca="1" si="56">-BR60</f>
        <v>0</v>
      </c>
      <c r="BS64" s="395">
        <f t="shared" ca="1" si="56"/>
        <v>0</v>
      </c>
      <c r="BT64" s="395">
        <f t="shared" ca="1" si="56"/>
        <v>0</v>
      </c>
      <c r="BU64" s="395">
        <f t="shared" ca="1" si="56"/>
        <v>0</v>
      </c>
      <c r="BV64" s="395">
        <f t="shared" ca="1" si="56"/>
        <v>0</v>
      </c>
      <c r="BW64" s="395">
        <f t="shared" ca="1" si="56"/>
        <v>0</v>
      </c>
      <c r="BX64" s="395">
        <f t="shared" ca="1" si="56"/>
        <v>0</v>
      </c>
      <c r="BY64" s="395">
        <f t="shared" ca="1" si="56"/>
        <v>0</v>
      </c>
      <c r="BZ64" s="395">
        <f t="shared" ca="1" si="56"/>
        <v>0</v>
      </c>
      <c r="CA64" s="395">
        <f t="shared" ca="1" si="56"/>
        <v>0</v>
      </c>
      <c r="CB64" s="395">
        <f t="shared" ca="1" si="56"/>
        <v>0</v>
      </c>
      <c r="CC64" s="395">
        <f t="shared" ca="1" si="56"/>
        <v>0</v>
      </c>
      <c r="CD64" s="395">
        <f t="shared" ca="1" si="56"/>
        <v>0</v>
      </c>
      <c r="CE64" s="395">
        <f t="shared" ca="1" si="56"/>
        <v>0</v>
      </c>
      <c r="CF64" s="395">
        <f t="shared" ca="1" si="56"/>
        <v>0</v>
      </c>
      <c r="CG64" s="395">
        <f t="shared" ca="1" si="56"/>
        <v>0</v>
      </c>
      <c r="CH64" s="395">
        <f t="shared" ca="1" si="56"/>
        <v>0</v>
      </c>
      <c r="CI64" s="395">
        <f t="shared" ca="1" si="56"/>
        <v>0</v>
      </c>
      <c r="CJ64" s="395">
        <f t="shared" ca="1" si="56"/>
        <v>0</v>
      </c>
      <c r="CK64" s="395">
        <f t="shared" ca="1" si="56"/>
        <v>0</v>
      </c>
      <c r="CL64" s="133" t="s">
        <v>15</v>
      </c>
    </row>
    <row r="65" spans="2:90" s="133" customFormat="1" ht="15" customHeight="1" outlineLevel="1" x14ac:dyDescent="0.2">
      <c r="B65" s="133" t="s">
        <v>30</v>
      </c>
      <c r="E65" s="395">
        <f ca="1">SUM(E63:E64)</f>
        <v>0</v>
      </c>
      <c r="F65" s="395">
        <f t="shared" ref="F65:BQ65" ca="1" si="57">SUM(F63:F64)</f>
        <v>0</v>
      </c>
      <c r="G65" s="395">
        <f t="shared" ca="1" si="57"/>
        <v>0</v>
      </c>
      <c r="H65" s="395">
        <f t="shared" ca="1" si="57"/>
        <v>0</v>
      </c>
      <c r="I65" s="395">
        <f t="shared" ca="1" si="57"/>
        <v>0</v>
      </c>
      <c r="J65" s="395">
        <f t="shared" ca="1" si="57"/>
        <v>0</v>
      </c>
      <c r="K65" s="395">
        <f t="shared" ca="1" si="57"/>
        <v>0</v>
      </c>
      <c r="L65" s="395">
        <f t="shared" ca="1" si="57"/>
        <v>0</v>
      </c>
      <c r="M65" s="395">
        <f t="shared" ca="1" si="57"/>
        <v>0</v>
      </c>
      <c r="N65" s="395">
        <f t="shared" ca="1" si="57"/>
        <v>0</v>
      </c>
      <c r="O65" s="395">
        <f t="shared" ca="1" si="57"/>
        <v>0</v>
      </c>
      <c r="P65" s="395">
        <f t="shared" ca="1" si="57"/>
        <v>0</v>
      </c>
      <c r="Q65" s="395">
        <f t="shared" ca="1" si="57"/>
        <v>0</v>
      </c>
      <c r="R65" s="395">
        <f t="shared" ca="1" si="57"/>
        <v>0</v>
      </c>
      <c r="S65" s="395">
        <f t="shared" ca="1" si="57"/>
        <v>0</v>
      </c>
      <c r="T65" s="395">
        <f t="shared" ca="1" si="57"/>
        <v>0</v>
      </c>
      <c r="U65" s="395">
        <f t="shared" ca="1" si="57"/>
        <v>0</v>
      </c>
      <c r="V65" s="395">
        <f t="shared" ca="1" si="57"/>
        <v>0</v>
      </c>
      <c r="W65" s="395">
        <f t="shared" ca="1" si="57"/>
        <v>0</v>
      </c>
      <c r="X65" s="395">
        <f t="shared" ca="1" si="57"/>
        <v>0</v>
      </c>
      <c r="Y65" s="395">
        <f t="shared" ca="1" si="57"/>
        <v>0</v>
      </c>
      <c r="Z65" s="395">
        <f t="shared" ca="1" si="57"/>
        <v>0</v>
      </c>
      <c r="AA65" s="395">
        <f t="shared" ca="1" si="57"/>
        <v>0</v>
      </c>
      <c r="AB65" s="395">
        <f t="shared" ca="1" si="57"/>
        <v>0</v>
      </c>
      <c r="AC65" s="395">
        <f t="shared" ca="1" si="57"/>
        <v>0</v>
      </c>
      <c r="AD65" s="395">
        <f t="shared" ca="1" si="57"/>
        <v>0</v>
      </c>
      <c r="AE65" s="395">
        <f t="shared" ca="1" si="57"/>
        <v>0</v>
      </c>
      <c r="AF65" s="395">
        <f t="shared" ca="1" si="57"/>
        <v>0</v>
      </c>
      <c r="AG65" s="395">
        <f t="shared" ca="1" si="57"/>
        <v>0</v>
      </c>
      <c r="AH65" s="395">
        <f t="shared" ca="1" si="57"/>
        <v>0</v>
      </c>
      <c r="AI65" s="395">
        <f t="shared" ca="1" si="57"/>
        <v>0</v>
      </c>
      <c r="AJ65" s="395">
        <f t="shared" ca="1" si="57"/>
        <v>0</v>
      </c>
      <c r="AK65" s="395">
        <f t="shared" ca="1" si="57"/>
        <v>0</v>
      </c>
      <c r="AL65" s="395">
        <f t="shared" ca="1" si="57"/>
        <v>0</v>
      </c>
      <c r="AM65" s="395">
        <f t="shared" ca="1" si="57"/>
        <v>0</v>
      </c>
      <c r="AN65" s="395">
        <f t="shared" ca="1" si="57"/>
        <v>0</v>
      </c>
      <c r="AO65" s="395">
        <f t="shared" ca="1" si="57"/>
        <v>1558918.646385693</v>
      </c>
      <c r="AP65" s="395">
        <f t="shared" ca="1" si="57"/>
        <v>0</v>
      </c>
      <c r="AQ65" s="395">
        <f t="shared" ca="1" si="57"/>
        <v>0</v>
      </c>
      <c r="AR65" s="395">
        <f t="shared" ca="1" si="57"/>
        <v>0</v>
      </c>
      <c r="AS65" s="395">
        <f t="shared" ca="1" si="57"/>
        <v>0</v>
      </c>
      <c r="AT65" s="395">
        <f t="shared" ca="1" si="57"/>
        <v>0</v>
      </c>
      <c r="AU65" s="395">
        <f t="shared" ca="1" si="57"/>
        <v>0</v>
      </c>
      <c r="AV65" s="395">
        <f t="shared" ca="1" si="57"/>
        <v>0</v>
      </c>
      <c r="AW65" s="395">
        <f t="shared" ca="1" si="57"/>
        <v>0</v>
      </c>
      <c r="AX65" s="395">
        <f t="shared" ca="1" si="57"/>
        <v>0</v>
      </c>
      <c r="AY65" s="395">
        <f t="shared" ca="1" si="57"/>
        <v>0</v>
      </c>
      <c r="AZ65" s="395">
        <f t="shared" ca="1" si="57"/>
        <v>0</v>
      </c>
      <c r="BA65" s="395">
        <f t="shared" ca="1" si="57"/>
        <v>0</v>
      </c>
      <c r="BB65" s="395">
        <f t="shared" ca="1" si="57"/>
        <v>0</v>
      </c>
      <c r="BC65" s="395">
        <f t="shared" ca="1" si="57"/>
        <v>0</v>
      </c>
      <c r="BD65" s="395">
        <f t="shared" ca="1" si="57"/>
        <v>0</v>
      </c>
      <c r="BE65" s="395">
        <f t="shared" ca="1" si="57"/>
        <v>0</v>
      </c>
      <c r="BF65" s="395">
        <f t="shared" ca="1" si="57"/>
        <v>0</v>
      </c>
      <c r="BG65" s="395">
        <f t="shared" ca="1" si="57"/>
        <v>0</v>
      </c>
      <c r="BH65" s="395">
        <f t="shared" ca="1" si="57"/>
        <v>0</v>
      </c>
      <c r="BI65" s="395">
        <f t="shared" ca="1" si="57"/>
        <v>0</v>
      </c>
      <c r="BJ65" s="395">
        <f t="shared" ca="1" si="57"/>
        <v>0</v>
      </c>
      <c r="BK65" s="395">
        <f t="shared" ca="1" si="57"/>
        <v>0</v>
      </c>
      <c r="BL65" s="395">
        <f t="shared" ca="1" si="57"/>
        <v>0</v>
      </c>
      <c r="BM65" s="395">
        <f t="shared" ca="1" si="57"/>
        <v>0</v>
      </c>
      <c r="BN65" s="395">
        <f t="shared" ca="1" si="57"/>
        <v>0</v>
      </c>
      <c r="BO65" s="395">
        <f t="shared" ca="1" si="57"/>
        <v>0</v>
      </c>
      <c r="BP65" s="395">
        <f t="shared" ca="1" si="57"/>
        <v>0</v>
      </c>
      <c r="BQ65" s="395">
        <f t="shared" ca="1" si="57"/>
        <v>0</v>
      </c>
      <c r="BR65" s="395">
        <f t="shared" ref="BR65:CK65" ca="1" si="58">SUM(BR63:BR64)</f>
        <v>0</v>
      </c>
      <c r="BS65" s="395">
        <f t="shared" ca="1" si="58"/>
        <v>0</v>
      </c>
      <c r="BT65" s="395">
        <f t="shared" ca="1" si="58"/>
        <v>0</v>
      </c>
      <c r="BU65" s="395">
        <f t="shared" ca="1" si="58"/>
        <v>0</v>
      </c>
      <c r="BV65" s="395">
        <f t="shared" ca="1" si="58"/>
        <v>0</v>
      </c>
      <c r="BW65" s="395">
        <f t="shared" ca="1" si="58"/>
        <v>0</v>
      </c>
      <c r="BX65" s="395">
        <f t="shared" ca="1" si="58"/>
        <v>0</v>
      </c>
      <c r="BY65" s="395">
        <f t="shared" ca="1" si="58"/>
        <v>0</v>
      </c>
      <c r="BZ65" s="395">
        <f t="shared" ca="1" si="58"/>
        <v>0</v>
      </c>
      <c r="CA65" s="395">
        <f t="shared" ca="1" si="58"/>
        <v>0</v>
      </c>
      <c r="CB65" s="395">
        <f t="shared" ca="1" si="58"/>
        <v>0</v>
      </c>
      <c r="CC65" s="395">
        <f t="shared" ca="1" si="58"/>
        <v>0</v>
      </c>
      <c r="CD65" s="395">
        <f t="shared" ca="1" si="58"/>
        <v>0</v>
      </c>
      <c r="CE65" s="395">
        <f t="shared" ca="1" si="58"/>
        <v>0</v>
      </c>
      <c r="CF65" s="395">
        <f t="shared" ca="1" si="58"/>
        <v>0</v>
      </c>
      <c r="CG65" s="395">
        <f t="shared" ca="1" si="58"/>
        <v>0</v>
      </c>
      <c r="CH65" s="395">
        <f t="shared" ca="1" si="58"/>
        <v>0</v>
      </c>
      <c r="CI65" s="395">
        <f t="shared" ca="1" si="58"/>
        <v>0</v>
      </c>
      <c r="CJ65" s="395">
        <f t="shared" ca="1" si="58"/>
        <v>0</v>
      </c>
      <c r="CK65" s="395">
        <f t="shared" ca="1" si="58"/>
        <v>0</v>
      </c>
      <c r="CL65" s="133" t="s">
        <v>15</v>
      </c>
    </row>
    <row r="66" spans="2:90" s="133" customFormat="1" ht="15" customHeight="1" outlineLevel="1" x14ac:dyDescent="0.2"/>
    <row r="67" spans="2:90" s="133" customFormat="1" ht="15" customHeight="1" x14ac:dyDescent="0.2">
      <c r="B67" s="133" t="s">
        <v>267</v>
      </c>
      <c r="E67" s="395">
        <f ca="1">SUM(E63,E43)</f>
        <v>-7407606.645626572</v>
      </c>
      <c r="F67" s="395">
        <f t="shared" ref="F67:BQ67" ca="1" si="59">SUM(F63,F43)</f>
        <v>-285383.29077599995</v>
      </c>
      <c r="G67" s="395">
        <f t="shared" ca="1" si="59"/>
        <v>-285570.15163971425</v>
      </c>
      <c r="H67" s="395">
        <f t="shared" ca="1" si="59"/>
        <v>-306776.83638342854</v>
      </c>
      <c r="I67" s="395">
        <f t="shared" ca="1" si="59"/>
        <v>-291212.83321714279</v>
      </c>
      <c r="J67" s="395">
        <f t="shared" ca="1" si="59"/>
        <v>-247261.56490285715</v>
      </c>
      <c r="K67" s="395">
        <f t="shared" ca="1" si="59"/>
        <v>-416184.54954857141</v>
      </c>
      <c r="L67" s="395">
        <f t="shared" ca="1" si="59"/>
        <v>-634013.1134575489</v>
      </c>
      <c r="M67" s="395">
        <f t="shared" ca="1" si="59"/>
        <v>-634431.44036652625</v>
      </c>
      <c r="N67" s="395">
        <f t="shared" ca="1" si="59"/>
        <v>-526309.4412586448</v>
      </c>
      <c r="O67" s="395">
        <f t="shared" ca="1" si="59"/>
        <v>-7287.0918000000001</v>
      </c>
      <c r="P67" s="395">
        <f t="shared" ca="1" si="59"/>
        <v>-7287.0918000000001</v>
      </c>
      <c r="Q67" s="395">
        <f t="shared" ca="1" si="59"/>
        <v>-7287.0918000000001</v>
      </c>
      <c r="R67" s="395">
        <f t="shared" ca="1" si="59"/>
        <v>-7287.0918000000001</v>
      </c>
      <c r="S67" s="395">
        <f t="shared" ca="1" si="59"/>
        <v>-7287.0918000000001</v>
      </c>
      <c r="T67" s="395">
        <f t="shared" ca="1" si="59"/>
        <v>-7287.0918000000001</v>
      </c>
      <c r="U67" s="395">
        <f t="shared" ca="1" si="59"/>
        <v>-7287.0918000000001</v>
      </c>
      <c r="V67" s="395">
        <f t="shared" ca="1" si="59"/>
        <v>-7287.0918000000001</v>
      </c>
      <c r="W67" s="395">
        <f t="shared" ca="1" si="59"/>
        <v>-7287.0918000000001</v>
      </c>
      <c r="X67" s="395">
        <f t="shared" ca="1" si="59"/>
        <v>-7287.0918000000001</v>
      </c>
      <c r="Y67" s="395">
        <f t="shared" ca="1" si="59"/>
        <v>-7287.0918000000001</v>
      </c>
      <c r="Z67" s="395">
        <f t="shared" ca="1" si="59"/>
        <v>-7287.0918000000001</v>
      </c>
      <c r="AA67" s="395">
        <f t="shared" ca="1" si="59"/>
        <v>-7287.0918000000001</v>
      </c>
      <c r="AB67" s="395">
        <f t="shared" ca="1" si="59"/>
        <v>-7287.0918000000001</v>
      </c>
      <c r="AC67" s="395">
        <f t="shared" ca="1" si="59"/>
        <v>-7287.0918000000001</v>
      </c>
      <c r="AD67" s="395">
        <f t="shared" ca="1" si="59"/>
        <v>-7287.0918000000001</v>
      </c>
      <c r="AE67" s="395">
        <f t="shared" ca="1" si="59"/>
        <v>-7287.0918000000001</v>
      </c>
      <c r="AF67" s="395">
        <f t="shared" ca="1" si="59"/>
        <v>-7287.0918000000001</v>
      </c>
      <c r="AG67" s="395">
        <f t="shared" ca="1" si="59"/>
        <v>-7287.0918000000001</v>
      </c>
      <c r="AH67" s="395">
        <f t="shared" ca="1" si="59"/>
        <v>-7287.0918000000001</v>
      </c>
      <c r="AI67" s="395">
        <f t="shared" ca="1" si="59"/>
        <v>-7287.0918000000001</v>
      </c>
      <c r="AJ67" s="395">
        <f t="shared" ca="1" si="59"/>
        <v>-7287.0918000000001</v>
      </c>
      <c r="AK67" s="395">
        <f t="shared" ca="1" si="59"/>
        <v>-7287.0918000000001</v>
      </c>
      <c r="AL67" s="395">
        <f t="shared" ca="1" si="59"/>
        <v>-7287.0918000000001</v>
      </c>
      <c r="AM67" s="395">
        <f t="shared" ca="1" si="59"/>
        <v>-7287.0918000000001</v>
      </c>
      <c r="AN67" s="395">
        <f t="shared" ca="1" si="59"/>
        <v>-7287.0918000000001</v>
      </c>
      <c r="AO67" s="395">
        <f t="shared" ca="1" si="59"/>
        <v>14030267.817471253</v>
      </c>
      <c r="AP67" s="395">
        <f t="shared" ca="1" si="59"/>
        <v>0</v>
      </c>
      <c r="AQ67" s="395">
        <f t="shared" ca="1" si="59"/>
        <v>0</v>
      </c>
      <c r="AR67" s="395">
        <f t="shared" ca="1" si="59"/>
        <v>0</v>
      </c>
      <c r="AS67" s="395">
        <f t="shared" ca="1" si="59"/>
        <v>0</v>
      </c>
      <c r="AT67" s="395">
        <f t="shared" ca="1" si="59"/>
        <v>0</v>
      </c>
      <c r="AU67" s="395">
        <f t="shared" ca="1" si="59"/>
        <v>0</v>
      </c>
      <c r="AV67" s="395">
        <f t="shared" ca="1" si="59"/>
        <v>0</v>
      </c>
      <c r="AW67" s="395">
        <f t="shared" ca="1" si="59"/>
        <v>0</v>
      </c>
      <c r="AX67" s="395">
        <f t="shared" ca="1" si="59"/>
        <v>0</v>
      </c>
      <c r="AY67" s="395">
        <f t="shared" ca="1" si="59"/>
        <v>0</v>
      </c>
      <c r="AZ67" s="395">
        <f t="shared" ca="1" si="59"/>
        <v>0</v>
      </c>
      <c r="BA67" s="395">
        <f t="shared" ca="1" si="59"/>
        <v>0</v>
      </c>
      <c r="BB67" s="395">
        <f t="shared" ca="1" si="59"/>
        <v>0</v>
      </c>
      <c r="BC67" s="395">
        <f t="shared" ca="1" si="59"/>
        <v>0</v>
      </c>
      <c r="BD67" s="395">
        <f t="shared" ca="1" si="59"/>
        <v>0</v>
      </c>
      <c r="BE67" s="395">
        <f t="shared" ca="1" si="59"/>
        <v>0</v>
      </c>
      <c r="BF67" s="395">
        <f t="shared" ca="1" si="59"/>
        <v>0</v>
      </c>
      <c r="BG67" s="395">
        <f t="shared" ca="1" si="59"/>
        <v>0</v>
      </c>
      <c r="BH67" s="395">
        <f t="shared" ca="1" si="59"/>
        <v>0</v>
      </c>
      <c r="BI67" s="395">
        <f t="shared" ca="1" si="59"/>
        <v>0</v>
      </c>
      <c r="BJ67" s="395">
        <f t="shared" ca="1" si="59"/>
        <v>0</v>
      </c>
      <c r="BK67" s="395">
        <f t="shared" ca="1" si="59"/>
        <v>0</v>
      </c>
      <c r="BL67" s="395">
        <f t="shared" ca="1" si="59"/>
        <v>0</v>
      </c>
      <c r="BM67" s="395">
        <f t="shared" ca="1" si="59"/>
        <v>0</v>
      </c>
      <c r="BN67" s="395">
        <f t="shared" ca="1" si="59"/>
        <v>0</v>
      </c>
      <c r="BO67" s="395">
        <f t="shared" ca="1" si="59"/>
        <v>0</v>
      </c>
      <c r="BP67" s="395">
        <f t="shared" ca="1" si="59"/>
        <v>0</v>
      </c>
      <c r="BQ67" s="395">
        <f t="shared" ca="1" si="59"/>
        <v>0</v>
      </c>
      <c r="BR67" s="395">
        <f t="shared" ref="BR67:CK67" ca="1" si="60">SUM(BR63,BR43)</f>
        <v>0</v>
      </c>
      <c r="BS67" s="395">
        <f t="shared" ca="1" si="60"/>
        <v>0</v>
      </c>
      <c r="BT67" s="395">
        <f t="shared" ca="1" si="60"/>
        <v>0</v>
      </c>
      <c r="BU67" s="395">
        <f t="shared" ca="1" si="60"/>
        <v>0</v>
      </c>
      <c r="BV67" s="395">
        <f t="shared" ca="1" si="60"/>
        <v>0</v>
      </c>
      <c r="BW67" s="395">
        <f t="shared" ca="1" si="60"/>
        <v>0</v>
      </c>
      <c r="BX67" s="395">
        <f t="shared" ca="1" si="60"/>
        <v>0</v>
      </c>
      <c r="BY67" s="395">
        <f t="shared" ca="1" si="60"/>
        <v>0</v>
      </c>
      <c r="BZ67" s="395">
        <f t="shared" ca="1" si="60"/>
        <v>0</v>
      </c>
      <c r="CA67" s="395">
        <f t="shared" ca="1" si="60"/>
        <v>0</v>
      </c>
      <c r="CB67" s="395">
        <f t="shared" ca="1" si="60"/>
        <v>0</v>
      </c>
      <c r="CC67" s="395">
        <f t="shared" ca="1" si="60"/>
        <v>0</v>
      </c>
      <c r="CD67" s="395">
        <f t="shared" ca="1" si="60"/>
        <v>0</v>
      </c>
      <c r="CE67" s="395">
        <f t="shared" ca="1" si="60"/>
        <v>0</v>
      </c>
      <c r="CF67" s="395">
        <f t="shared" ca="1" si="60"/>
        <v>0</v>
      </c>
      <c r="CG67" s="395">
        <f t="shared" ca="1" si="60"/>
        <v>0</v>
      </c>
      <c r="CH67" s="395">
        <f t="shared" ca="1" si="60"/>
        <v>0</v>
      </c>
      <c r="CI67" s="395">
        <f t="shared" ca="1" si="60"/>
        <v>0</v>
      </c>
      <c r="CJ67" s="395">
        <f t="shared" ca="1" si="60"/>
        <v>0</v>
      </c>
      <c r="CK67" s="395">
        <f t="shared" ca="1" si="60"/>
        <v>0</v>
      </c>
      <c r="CL67" s="133" t="s">
        <v>15</v>
      </c>
    </row>
    <row r="68" spans="2:90" s="133" customFormat="1" ht="15" customHeight="1" x14ac:dyDescent="0.2">
      <c r="B68" s="133" t="s">
        <v>268</v>
      </c>
      <c r="E68" s="395">
        <f ca="1">SUM(E64,E44)</f>
        <v>-823067.40506961918</v>
      </c>
      <c r="F68" s="395">
        <f t="shared" ref="F68:BQ68" ca="1" si="61">SUM(F64,F44)</f>
        <v>-31709.254530666658</v>
      </c>
      <c r="G68" s="395">
        <f t="shared" ca="1" si="61"/>
        <v>-31730.016848857136</v>
      </c>
      <c r="H68" s="395">
        <f t="shared" ca="1" si="61"/>
        <v>-34086.315153714284</v>
      </c>
      <c r="I68" s="395">
        <f t="shared" ca="1" si="61"/>
        <v>-32356.981468571423</v>
      </c>
      <c r="J68" s="395">
        <f t="shared" ca="1" si="61"/>
        <v>-27473.507211428572</v>
      </c>
      <c r="K68" s="395">
        <f t="shared" ca="1" si="61"/>
        <v>-46242.727727619051</v>
      </c>
      <c r="L68" s="395">
        <f t="shared" ca="1" si="61"/>
        <v>-70445.901495283222</v>
      </c>
      <c r="M68" s="395">
        <f t="shared" ca="1" si="61"/>
        <v>-70492.382262947373</v>
      </c>
      <c r="N68" s="395">
        <f t="shared" ca="1" si="61"/>
        <v>-58478.826806516088</v>
      </c>
      <c r="O68" s="395">
        <f t="shared" ca="1" si="61"/>
        <v>-809.67686666666668</v>
      </c>
      <c r="P68" s="395">
        <f t="shared" ca="1" si="61"/>
        <v>-809.67686666666668</v>
      </c>
      <c r="Q68" s="395">
        <f t="shared" ca="1" si="61"/>
        <v>-809.67686666666668</v>
      </c>
      <c r="R68" s="395">
        <f t="shared" ca="1" si="61"/>
        <v>-809.67686666666668</v>
      </c>
      <c r="S68" s="395">
        <f t="shared" ca="1" si="61"/>
        <v>-809.67686666666668</v>
      </c>
      <c r="T68" s="395">
        <f t="shared" ca="1" si="61"/>
        <v>-809.67686666666668</v>
      </c>
      <c r="U68" s="395">
        <f t="shared" ca="1" si="61"/>
        <v>-809.67686666666668</v>
      </c>
      <c r="V68" s="395">
        <f t="shared" ca="1" si="61"/>
        <v>-809.67686666666668</v>
      </c>
      <c r="W68" s="395">
        <f t="shared" ca="1" si="61"/>
        <v>-809.67686666666668</v>
      </c>
      <c r="X68" s="395">
        <f t="shared" ca="1" si="61"/>
        <v>-809.67686666666668</v>
      </c>
      <c r="Y68" s="395">
        <f t="shared" ca="1" si="61"/>
        <v>-809.67686666666668</v>
      </c>
      <c r="Z68" s="395">
        <f t="shared" ca="1" si="61"/>
        <v>-809.67686666666668</v>
      </c>
      <c r="AA68" s="395">
        <f t="shared" ca="1" si="61"/>
        <v>-809.67686666666668</v>
      </c>
      <c r="AB68" s="395">
        <f t="shared" ca="1" si="61"/>
        <v>-809.67686666666668</v>
      </c>
      <c r="AC68" s="395">
        <f t="shared" ca="1" si="61"/>
        <v>-809.67686666666668</v>
      </c>
      <c r="AD68" s="395">
        <f t="shared" ca="1" si="61"/>
        <v>-809.67686666666668</v>
      </c>
      <c r="AE68" s="395">
        <f t="shared" ca="1" si="61"/>
        <v>-809.67686666666668</v>
      </c>
      <c r="AF68" s="395">
        <f t="shared" ca="1" si="61"/>
        <v>-809.67686666666668</v>
      </c>
      <c r="AG68" s="395">
        <f t="shared" ca="1" si="61"/>
        <v>-809.67686666666668</v>
      </c>
      <c r="AH68" s="395">
        <f t="shared" ca="1" si="61"/>
        <v>-809.67686666666668</v>
      </c>
      <c r="AI68" s="395">
        <f t="shared" ca="1" si="61"/>
        <v>-809.67686666666668</v>
      </c>
      <c r="AJ68" s="395">
        <f t="shared" ca="1" si="61"/>
        <v>-809.67686666666668</v>
      </c>
      <c r="AK68" s="395">
        <f t="shared" ca="1" si="61"/>
        <v>-809.67686666666668</v>
      </c>
      <c r="AL68" s="395">
        <f t="shared" ca="1" si="61"/>
        <v>-809.67686666666668</v>
      </c>
      <c r="AM68" s="395">
        <f t="shared" ca="1" si="61"/>
        <v>-809.67686666666668</v>
      </c>
      <c r="AN68" s="395">
        <f t="shared" ca="1" si="61"/>
        <v>-809.67686666666668</v>
      </c>
      <c r="AO68" s="395">
        <f t="shared" ca="1" si="61"/>
        <v>1558918.646385693</v>
      </c>
      <c r="AP68" s="395">
        <f t="shared" ca="1" si="61"/>
        <v>0</v>
      </c>
      <c r="AQ68" s="395">
        <f t="shared" ca="1" si="61"/>
        <v>0</v>
      </c>
      <c r="AR68" s="395">
        <f t="shared" ca="1" si="61"/>
        <v>0</v>
      </c>
      <c r="AS68" s="395">
        <f t="shared" ca="1" si="61"/>
        <v>0</v>
      </c>
      <c r="AT68" s="395">
        <f t="shared" ca="1" si="61"/>
        <v>0</v>
      </c>
      <c r="AU68" s="395">
        <f t="shared" ca="1" si="61"/>
        <v>0</v>
      </c>
      <c r="AV68" s="395">
        <f t="shared" ca="1" si="61"/>
        <v>0</v>
      </c>
      <c r="AW68" s="395">
        <f t="shared" ca="1" si="61"/>
        <v>0</v>
      </c>
      <c r="AX68" s="395">
        <f t="shared" ca="1" si="61"/>
        <v>0</v>
      </c>
      <c r="AY68" s="395">
        <f t="shared" ca="1" si="61"/>
        <v>0</v>
      </c>
      <c r="AZ68" s="395">
        <f t="shared" ca="1" si="61"/>
        <v>0</v>
      </c>
      <c r="BA68" s="395">
        <f t="shared" ca="1" si="61"/>
        <v>0</v>
      </c>
      <c r="BB68" s="395">
        <f t="shared" ca="1" si="61"/>
        <v>0</v>
      </c>
      <c r="BC68" s="395">
        <f t="shared" ca="1" si="61"/>
        <v>0</v>
      </c>
      <c r="BD68" s="395">
        <f t="shared" ca="1" si="61"/>
        <v>0</v>
      </c>
      <c r="BE68" s="395">
        <f t="shared" ca="1" si="61"/>
        <v>0</v>
      </c>
      <c r="BF68" s="395">
        <f t="shared" ca="1" si="61"/>
        <v>0</v>
      </c>
      <c r="BG68" s="395">
        <f t="shared" ca="1" si="61"/>
        <v>0</v>
      </c>
      <c r="BH68" s="395">
        <f t="shared" ca="1" si="61"/>
        <v>0</v>
      </c>
      <c r="BI68" s="395">
        <f t="shared" ca="1" si="61"/>
        <v>0</v>
      </c>
      <c r="BJ68" s="395">
        <f t="shared" ca="1" si="61"/>
        <v>0</v>
      </c>
      <c r="BK68" s="395">
        <f t="shared" ca="1" si="61"/>
        <v>0</v>
      </c>
      <c r="BL68" s="395">
        <f t="shared" ca="1" si="61"/>
        <v>0</v>
      </c>
      <c r="BM68" s="395">
        <f t="shared" ca="1" si="61"/>
        <v>0</v>
      </c>
      <c r="BN68" s="395">
        <f t="shared" ca="1" si="61"/>
        <v>0</v>
      </c>
      <c r="BO68" s="395">
        <f t="shared" ca="1" si="61"/>
        <v>0</v>
      </c>
      <c r="BP68" s="395">
        <f t="shared" ca="1" si="61"/>
        <v>0</v>
      </c>
      <c r="BQ68" s="395">
        <f t="shared" ca="1" si="61"/>
        <v>0</v>
      </c>
      <c r="BR68" s="395">
        <f t="shared" ref="BR68:CK68" ca="1" si="62">SUM(BR64,BR44)</f>
        <v>0</v>
      </c>
      <c r="BS68" s="395">
        <f t="shared" ca="1" si="62"/>
        <v>0</v>
      </c>
      <c r="BT68" s="395">
        <f t="shared" ca="1" si="62"/>
        <v>0</v>
      </c>
      <c r="BU68" s="395">
        <f t="shared" ca="1" si="62"/>
        <v>0</v>
      </c>
      <c r="BV68" s="395">
        <f t="shared" ca="1" si="62"/>
        <v>0</v>
      </c>
      <c r="BW68" s="395">
        <f t="shared" ca="1" si="62"/>
        <v>0</v>
      </c>
      <c r="BX68" s="395">
        <f t="shared" ca="1" si="62"/>
        <v>0</v>
      </c>
      <c r="BY68" s="395">
        <f t="shared" ca="1" si="62"/>
        <v>0</v>
      </c>
      <c r="BZ68" s="395">
        <f t="shared" ca="1" si="62"/>
        <v>0</v>
      </c>
      <c r="CA68" s="395">
        <f t="shared" ca="1" si="62"/>
        <v>0</v>
      </c>
      <c r="CB68" s="395">
        <f t="shared" ca="1" si="62"/>
        <v>0</v>
      </c>
      <c r="CC68" s="395">
        <f t="shared" ca="1" si="62"/>
        <v>0</v>
      </c>
      <c r="CD68" s="395">
        <f t="shared" ca="1" si="62"/>
        <v>0</v>
      </c>
      <c r="CE68" s="395">
        <f t="shared" ca="1" si="62"/>
        <v>0</v>
      </c>
      <c r="CF68" s="395">
        <f t="shared" ca="1" si="62"/>
        <v>0</v>
      </c>
      <c r="CG68" s="395">
        <f t="shared" ca="1" si="62"/>
        <v>0</v>
      </c>
      <c r="CH68" s="395">
        <f t="shared" ca="1" si="62"/>
        <v>0</v>
      </c>
      <c r="CI68" s="395">
        <f t="shared" ca="1" si="62"/>
        <v>0</v>
      </c>
      <c r="CJ68" s="395">
        <f t="shared" ca="1" si="62"/>
        <v>0</v>
      </c>
      <c r="CK68" s="395">
        <f t="shared" ca="1" si="62"/>
        <v>0</v>
      </c>
      <c r="CL68" s="133" t="s">
        <v>15</v>
      </c>
    </row>
    <row r="69" spans="2:90" s="133" customFormat="1" ht="15" customHeight="1" x14ac:dyDescent="0.2">
      <c r="B69" s="133" t="s">
        <v>30</v>
      </c>
      <c r="E69" s="395">
        <f ca="1">SUM(E65,E45)</f>
        <v>-8230674.0506961914</v>
      </c>
      <c r="F69" s="395">
        <f t="shared" ref="F69:BQ69" ca="1" si="63">SUM(F65,F45)</f>
        <v>-317092.54530666664</v>
      </c>
      <c r="G69" s="395">
        <f t="shared" ca="1" si="63"/>
        <v>-317300.16848857142</v>
      </c>
      <c r="H69" s="395">
        <f t="shared" ca="1" si="63"/>
        <v>-340863.15153714281</v>
      </c>
      <c r="I69" s="395">
        <f t="shared" ca="1" si="63"/>
        <v>-323569.8146857142</v>
      </c>
      <c r="J69" s="395">
        <f t="shared" ca="1" si="63"/>
        <v>-274735.07211428572</v>
      </c>
      <c r="K69" s="395">
        <f t="shared" ca="1" si="63"/>
        <v>-462427.27727619046</v>
      </c>
      <c r="L69" s="395">
        <f t="shared" ca="1" si="63"/>
        <v>-704459.01495283213</v>
      </c>
      <c r="M69" s="395">
        <f t="shared" ca="1" si="63"/>
        <v>-704923.82262947364</v>
      </c>
      <c r="N69" s="395">
        <f t="shared" ca="1" si="63"/>
        <v>-584788.26806516084</v>
      </c>
      <c r="O69" s="395">
        <f t="shared" ca="1" si="63"/>
        <v>-8096.7686666666668</v>
      </c>
      <c r="P69" s="395">
        <f t="shared" ca="1" si="63"/>
        <v>-8096.7686666666668</v>
      </c>
      <c r="Q69" s="395">
        <f t="shared" ca="1" si="63"/>
        <v>-8096.7686666666668</v>
      </c>
      <c r="R69" s="395">
        <f t="shared" ca="1" si="63"/>
        <v>-8096.7686666666668</v>
      </c>
      <c r="S69" s="395">
        <f t="shared" ca="1" si="63"/>
        <v>-8096.7686666666668</v>
      </c>
      <c r="T69" s="395">
        <f t="shared" ca="1" si="63"/>
        <v>-8096.7686666666668</v>
      </c>
      <c r="U69" s="395">
        <f t="shared" ca="1" si="63"/>
        <v>-8096.7686666666668</v>
      </c>
      <c r="V69" s="395">
        <f t="shared" ca="1" si="63"/>
        <v>-8096.7686666666668</v>
      </c>
      <c r="W69" s="395">
        <f t="shared" ca="1" si="63"/>
        <v>-8096.7686666666668</v>
      </c>
      <c r="X69" s="395">
        <f t="shared" ca="1" si="63"/>
        <v>-8096.7686666666668</v>
      </c>
      <c r="Y69" s="395">
        <f t="shared" ca="1" si="63"/>
        <v>-8096.7686666666668</v>
      </c>
      <c r="Z69" s="395">
        <f t="shared" ca="1" si="63"/>
        <v>-8096.7686666666668</v>
      </c>
      <c r="AA69" s="395">
        <f t="shared" ca="1" si="63"/>
        <v>-8096.7686666666668</v>
      </c>
      <c r="AB69" s="395">
        <f t="shared" ca="1" si="63"/>
        <v>-8096.7686666666668</v>
      </c>
      <c r="AC69" s="395">
        <f t="shared" ca="1" si="63"/>
        <v>-8096.7686666666668</v>
      </c>
      <c r="AD69" s="395">
        <f t="shared" ca="1" si="63"/>
        <v>-8096.7686666666668</v>
      </c>
      <c r="AE69" s="395">
        <f t="shared" ca="1" si="63"/>
        <v>-8096.7686666666668</v>
      </c>
      <c r="AF69" s="395">
        <f t="shared" ca="1" si="63"/>
        <v>-8096.7686666666668</v>
      </c>
      <c r="AG69" s="395">
        <f t="shared" ca="1" si="63"/>
        <v>-8096.7686666666668</v>
      </c>
      <c r="AH69" s="395">
        <f t="shared" ca="1" si="63"/>
        <v>-8096.7686666666668</v>
      </c>
      <c r="AI69" s="395">
        <f t="shared" ca="1" si="63"/>
        <v>-8096.7686666666668</v>
      </c>
      <c r="AJ69" s="395">
        <f t="shared" ca="1" si="63"/>
        <v>-8096.7686666666668</v>
      </c>
      <c r="AK69" s="395">
        <f t="shared" ca="1" si="63"/>
        <v>-8096.7686666666668</v>
      </c>
      <c r="AL69" s="395">
        <f t="shared" ca="1" si="63"/>
        <v>-8096.7686666666668</v>
      </c>
      <c r="AM69" s="395">
        <f t="shared" ca="1" si="63"/>
        <v>-8096.7686666666668</v>
      </c>
      <c r="AN69" s="395">
        <f t="shared" ca="1" si="63"/>
        <v>-8096.7686666666668</v>
      </c>
      <c r="AO69" s="395">
        <f t="shared" ca="1" si="63"/>
        <v>15589186.463856947</v>
      </c>
      <c r="AP69" s="395">
        <f t="shared" ca="1" si="63"/>
        <v>0</v>
      </c>
      <c r="AQ69" s="395">
        <f t="shared" ca="1" si="63"/>
        <v>0</v>
      </c>
      <c r="AR69" s="395">
        <f t="shared" ca="1" si="63"/>
        <v>0</v>
      </c>
      <c r="AS69" s="395">
        <f t="shared" ca="1" si="63"/>
        <v>0</v>
      </c>
      <c r="AT69" s="395">
        <f t="shared" ca="1" si="63"/>
        <v>0</v>
      </c>
      <c r="AU69" s="395">
        <f t="shared" ca="1" si="63"/>
        <v>0</v>
      </c>
      <c r="AV69" s="395">
        <f t="shared" ca="1" si="63"/>
        <v>0</v>
      </c>
      <c r="AW69" s="395">
        <f t="shared" ca="1" si="63"/>
        <v>0</v>
      </c>
      <c r="AX69" s="395">
        <f t="shared" ca="1" si="63"/>
        <v>0</v>
      </c>
      <c r="AY69" s="395">
        <f t="shared" ca="1" si="63"/>
        <v>0</v>
      </c>
      <c r="AZ69" s="395">
        <f t="shared" ca="1" si="63"/>
        <v>0</v>
      </c>
      <c r="BA69" s="395">
        <f t="shared" ca="1" si="63"/>
        <v>0</v>
      </c>
      <c r="BB69" s="395">
        <f t="shared" ca="1" si="63"/>
        <v>0</v>
      </c>
      <c r="BC69" s="395">
        <f t="shared" ca="1" si="63"/>
        <v>0</v>
      </c>
      <c r="BD69" s="395">
        <f t="shared" ca="1" si="63"/>
        <v>0</v>
      </c>
      <c r="BE69" s="395">
        <f t="shared" ca="1" si="63"/>
        <v>0</v>
      </c>
      <c r="BF69" s="395">
        <f t="shared" ca="1" si="63"/>
        <v>0</v>
      </c>
      <c r="BG69" s="395">
        <f t="shared" ca="1" si="63"/>
        <v>0</v>
      </c>
      <c r="BH69" s="395">
        <f t="shared" ca="1" si="63"/>
        <v>0</v>
      </c>
      <c r="BI69" s="395">
        <f t="shared" ca="1" si="63"/>
        <v>0</v>
      </c>
      <c r="BJ69" s="395">
        <f t="shared" ca="1" si="63"/>
        <v>0</v>
      </c>
      <c r="BK69" s="395">
        <f t="shared" ca="1" si="63"/>
        <v>0</v>
      </c>
      <c r="BL69" s="395">
        <f t="shared" ca="1" si="63"/>
        <v>0</v>
      </c>
      <c r="BM69" s="395">
        <f t="shared" ca="1" si="63"/>
        <v>0</v>
      </c>
      <c r="BN69" s="395">
        <f t="shared" ca="1" si="63"/>
        <v>0</v>
      </c>
      <c r="BO69" s="395">
        <f t="shared" ca="1" si="63"/>
        <v>0</v>
      </c>
      <c r="BP69" s="395">
        <f t="shared" ca="1" si="63"/>
        <v>0</v>
      </c>
      <c r="BQ69" s="395">
        <f t="shared" ca="1" si="63"/>
        <v>0</v>
      </c>
      <c r="BR69" s="395">
        <f t="shared" ref="BR69:CK69" ca="1" si="64">SUM(BR65,BR45)</f>
        <v>0</v>
      </c>
      <c r="BS69" s="395">
        <f t="shared" ca="1" si="64"/>
        <v>0</v>
      </c>
      <c r="BT69" s="395">
        <f t="shared" ca="1" si="64"/>
        <v>0</v>
      </c>
      <c r="BU69" s="395">
        <f t="shared" ca="1" si="64"/>
        <v>0</v>
      </c>
      <c r="BV69" s="395">
        <f t="shared" ca="1" si="64"/>
        <v>0</v>
      </c>
      <c r="BW69" s="395">
        <f t="shared" ca="1" si="64"/>
        <v>0</v>
      </c>
      <c r="BX69" s="395">
        <f t="shared" ca="1" si="64"/>
        <v>0</v>
      </c>
      <c r="BY69" s="395">
        <f t="shared" ca="1" si="64"/>
        <v>0</v>
      </c>
      <c r="BZ69" s="395">
        <f t="shared" ca="1" si="64"/>
        <v>0</v>
      </c>
      <c r="CA69" s="395">
        <f t="shared" ca="1" si="64"/>
        <v>0</v>
      </c>
      <c r="CB69" s="395">
        <f t="shared" ca="1" si="64"/>
        <v>0</v>
      </c>
      <c r="CC69" s="395">
        <f t="shared" ca="1" si="64"/>
        <v>0</v>
      </c>
      <c r="CD69" s="395">
        <f t="shared" ca="1" si="64"/>
        <v>0</v>
      </c>
      <c r="CE69" s="395">
        <f t="shared" ca="1" si="64"/>
        <v>0</v>
      </c>
      <c r="CF69" s="395">
        <f t="shared" ca="1" si="64"/>
        <v>0</v>
      </c>
      <c r="CG69" s="395">
        <f t="shared" ca="1" si="64"/>
        <v>0</v>
      </c>
      <c r="CH69" s="395">
        <f t="shared" ca="1" si="64"/>
        <v>0</v>
      </c>
      <c r="CI69" s="395">
        <f t="shared" ca="1" si="64"/>
        <v>0</v>
      </c>
      <c r="CJ69" s="395">
        <f t="shared" ca="1" si="64"/>
        <v>0</v>
      </c>
      <c r="CK69" s="395">
        <f t="shared" ca="1" si="64"/>
        <v>0</v>
      </c>
      <c r="CL69" s="133" t="s">
        <v>15</v>
      </c>
    </row>
    <row r="70" spans="2:90" s="133" customFormat="1" ht="15" customHeight="1" x14ac:dyDescent="0.2"/>
    <row r="71" spans="2:90" s="133" customFormat="1" ht="15" customHeight="1" x14ac:dyDescent="0.25">
      <c r="B71" s="146" t="s">
        <v>274</v>
      </c>
      <c r="C71" s="146"/>
      <c r="D71" s="146"/>
      <c r="E71" s="134" t="s">
        <v>164</v>
      </c>
      <c r="F71" s="134" t="s">
        <v>161</v>
      </c>
      <c r="G71" s="134" t="s">
        <v>30</v>
      </c>
    </row>
    <row r="72" spans="2:90" s="133" customFormat="1" ht="15" customHeight="1" x14ac:dyDescent="0.2">
      <c r="B72" s="272" t="s">
        <v>217</v>
      </c>
      <c r="C72" s="309"/>
      <c r="D72" s="309"/>
      <c r="E72" s="404">
        <f ca="1">XIRR(E67:CK67,HoldingDates)</f>
        <v>8.2391265034675601E-2</v>
      </c>
      <c r="F72" s="404">
        <f ca="1">XIRR(E68:CK68,HoldingDates)</f>
        <v>8.2391265034675601E-2</v>
      </c>
      <c r="G72" s="405">
        <f ca="1">XIRR(E69:CK69,HoldingDates)</f>
        <v>8.2391265034675601E-2</v>
      </c>
    </row>
    <row r="73" spans="2:90" s="133" customFormat="1" ht="15" customHeight="1" x14ac:dyDescent="0.2">
      <c r="B73" s="275" t="s">
        <v>218</v>
      </c>
      <c r="E73" s="400">
        <f ca="1">-SUMIF(E67:CK67,"&gt;"&amp;0)/SUMIF(E67:CK67,"&lt;"&amp;0)</f>
        <v>1.2499999999999978</v>
      </c>
      <c r="F73" s="400">
        <f ca="1">-SUMIF(E68:CK68,"&gt;"&amp;0)/SUMIF(E68:CK68,"&lt;"&amp;0)</f>
        <v>1.2499999999999987</v>
      </c>
      <c r="G73" s="393">
        <f ca="1">-SUMIF(E69:CK69,"&gt;"&amp;0)/SUMIF(E69:CK69,"&lt;"&amp;0)</f>
        <v>1.2500000000000013</v>
      </c>
    </row>
    <row r="74" spans="2:90" s="133" customFormat="1" ht="15" customHeight="1" x14ac:dyDescent="0.2">
      <c r="B74" s="277" t="s">
        <v>220</v>
      </c>
      <c r="C74" s="311"/>
      <c r="D74" s="311"/>
      <c r="E74" s="406">
        <f ca="1">SUM(E67:CK67)</f>
        <v>2806053.5634942316</v>
      </c>
      <c r="F74" s="406">
        <f ca="1">SUM(E68:CK68)</f>
        <v>311783.7292771372</v>
      </c>
      <c r="G74" s="394">
        <f ca="1">SUM(E69:CK69)</f>
        <v>3117837.2927714027</v>
      </c>
    </row>
    <row r="75" spans="2:90" ht="15" customHeight="1" x14ac:dyDescent="0.2">
      <c r="CL75" s="133"/>
    </row>
    <row r="76" spans="2:90" ht="15" customHeight="1" x14ac:dyDescent="0.25">
      <c r="B76" s="132" t="s">
        <v>258</v>
      </c>
      <c r="CL76" s="133"/>
    </row>
    <row r="77" spans="2:90" s="21" customFormat="1" ht="10.15" customHeight="1" x14ac:dyDescent="0.25">
      <c r="B77" s="22"/>
      <c r="C77" s="23"/>
      <c r="D77" s="23"/>
      <c r="E77" s="23"/>
      <c r="O77" s="13"/>
      <c r="P77" s="13"/>
      <c r="Q77" s="13"/>
      <c r="R77" s="13"/>
      <c r="S77" s="13"/>
      <c r="T77" s="13"/>
      <c r="U77" s="13"/>
      <c r="V77" s="13"/>
      <c r="W77" s="13"/>
      <c r="X77" s="13"/>
      <c r="Y77" s="13"/>
      <c r="Z77" s="13"/>
      <c r="AA77" s="13"/>
      <c r="AB77" s="13"/>
      <c r="AC77" s="13"/>
      <c r="AD77" s="13"/>
      <c r="AE77" s="13"/>
      <c r="AF77" s="13"/>
      <c r="AG77" s="13"/>
    </row>
    <row r="78" spans="2:90" s="133" customFormat="1" ht="15" customHeight="1" outlineLevel="1" x14ac:dyDescent="0.2">
      <c r="B78" s="133" t="s">
        <v>282</v>
      </c>
      <c r="E78" s="395">
        <f ca="1">E54-E65</f>
        <v>0</v>
      </c>
      <c r="F78" s="395">
        <f t="shared" ref="F78:BQ78" ca="1" si="65">F54-F65</f>
        <v>0</v>
      </c>
      <c r="G78" s="395">
        <f t="shared" ca="1" si="65"/>
        <v>0</v>
      </c>
      <c r="H78" s="395">
        <f t="shared" ca="1" si="65"/>
        <v>0</v>
      </c>
      <c r="I78" s="395">
        <f t="shared" ca="1" si="65"/>
        <v>0</v>
      </c>
      <c r="J78" s="395">
        <f t="shared" ca="1" si="65"/>
        <v>0</v>
      </c>
      <c r="K78" s="395">
        <f t="shared" ca="1" si="65"/>
        <v>0</v>
      </c>
      <c r="L78" s="395">
        <f t="shared" ca="1" si="65"/>
        <v>0</v>
      </c>
      <c r="M78" s="395">
        <f t="shared" ca="1" si="65"/>
        <v>0</v>
      </c>
      <c r="N78" s="395">
        <f t="shared" ca="1" si="65"/>
        <v>0</v>
      </c>
      <c r="O78" s="395">
        <f t="shared" ca="1" si="65"/>
        <v>0</v>
      </c>
      <c r="P78" s="395">
        <f t="shared" ca="1" si="65"/>
        <v>0</v>
      </c>
      <c r="Q78" s="395">
        <f t="shared" ca="1" si="65"/>
        <v>0</v>
      </c>
      <c r="R78" s="395">
        <f t="shared" ca="1" si="65"/>
        <v>0</v>
      </c>
      <c r="S78" s="395">
        <f t="shared" ca="1" si="65"/>
        <v>0</v>
      </c>
      <c r="T78" s="395">
        <f t="shared" ca="1" si="65"/>
        <v>0</v>
      </c>
      <c r="U78" s="395">
        <f t="shared" ca="1" si="65"/>
        <v>0</v>
      </c>
      <c r="V78" s="395">
        <f t="shared" ca="1" si="65"/>
        <v>0</v>
      </c>
      <c r="W78" s="395">
        <f t="shared" ca="1" si="65"/>
        <v>0</v>
      </c>
      <c r="X78" s="395">
        <f t="shared" ca="1" si="65"/>
        <v>0</v>
      </c>
      <c r="Y78" s="395">
        <f t="shared" ca="1" si="65"/>
        <v>0</v>
      </c>
      <c r="Z78" s="395">
        <f t="shared" ca="1" si="65"/>
        <v>0</v>
      </c>
      <c r="AA78" s="395">
        <f t="shared" ca="1" si="65"/>
        <v>0</v>
      </c>
      <c r="AB78" s="395">
        <f t="shared" ca="1" si="65"/>
        <v>0</v>
      </c>
      <c r="AC78" s="395">
        <f t="shared" ca="1" si="65"/>
        <v>0</v>
      </c>
      <c r="AD78" s="395">
        <f t="shared" ca="1" si="65"/>
        <v>0</v>
      </c>
      <c r="AE78" s="395">
        <f t="shared" ca="1" si="65"/>
        <v>0</v>
      </c>
      <c r="AF78" s="395">
        <f t="shared" ca="1" si="65"/>
        <v>0</v>
      </c>
      <c r="AG78" s="395">
        <f t="shared" ca="1" si="65"/>
        <v>0</v>
      </c>
      <c r="AH78" s="395">
        <f t="shared" ca="1" si="65"/>
        <v>0</v>
      </c>
      <c r="AI78" s="395">
        <f t="shared" ca="1" si="65"/>
        <v>0</v>
      </c>
      <c r="AJ78" s="395">
        <f t="shared" ca="1" si="65"/>
        <v>0</v>
      </c>
      <c r="AK78" s="395">
        <f t="shared" ca="1" si="65"/>
        <v>0</v>
      </c>
      <c r="AL78" s="395">
        <f t="shared" ca="1" si="65"/>
        <v>0</v>
      </c>
      <c r="AM78" s="395">
        <f t="shared" ca="1" si="65"/>
        <v>0</v>
      </c>
      <c r="AN78" s="395">
        <f t="shared" ca="1" si="65"/>
        <v>0</v>
      </c>
      <c r="AO78" s="395">
        <f t="shared" ca="1" si="65"/>
        <v>4788267.8913252177</v>
      </c>
      <c r="AP78" s="395">
        <f t="shared" ca="1" si="65"/>
        <v>110073.79706883527</v>
      </c>
      <c r="AQ78" s="395">
        <f t="shared" ca="1" si="65"/>
        <v>110073.79706883527</v>
      </c>
      <c r="AR78" s="395">
        <f t="shared" ca="1" si="65"/>
        <v>110073.79706883527</v>
      </c>
      <c r="AS78" s="395">
        <f t="shared" ca="1" si="65"/>
        <v>110073.79706883527</v>
      </c>
      <c r="AT78" s="395">
        <f t="shared" ca="1" si="65"/>
        <v>110073.79706883527</v>
      </c>
      <c r="AU78" s="395">
        <f t="shared" ca="1" si="65"/>
        <v>110073.79706883527</v>
      </c>
      <c r="AV78" s="395">
        <f t="shared" ca="1" si="65"/>
        <v>110073.79706883527</v>
      </c>
      <c r="AW78" s="395">
        <f t="shared" ca="1" si="65"/>
        <v>110073.79706883527</v>
      </c>
      <c r="AX78" s="395">
        <f t="shared" ca="1" si="65"/>
        <v>110073.79706883527</v>
      </c>
      <c r="AY78" s="395">
        <f t="shared" ca="1" si="65"/>
        <v>110073.79706883527</v>
      </c>
      <c r="AZ78" s="395">
        <f t="shared" ca="1" si="65"/>
        <v>110073.79706883527</v>
      </c>
      <c r="BA78" s="395">
        <f t="shared" ca="1" si="65"/>
        <v>110073.79706883527</v>
      </c>
      <c r="BB78" s="395">
        <f t="shared" ca="1" si="65"/>
        <v>92276.448121092428</v>
      </c>
      <c r="BC78" s="395">
        <f t="shared" ca="1" si="65"/>
        <v>92276.448121092428</v>
      </c>
      <c r="BD78" s="395">
        <f t="shared" ca="1" si="65"/>
        <v>92276.448121092428</v>
      </c>
      <c r="BE78" s="395">
        <f t="shared" ca="1" si="65"/>
        <v>92276.448121092428</v>
      </c>
      <c r="BF78" s="395">
        <f t="shared" ca="1" si="65"/>
        <v>92276.448121092428</v>
      </c>
      <c r="BG78" s="395">
        <f t="shared" ca="1" si="65"/>
        <v>92276.448121092428</v>
      </c>
      <c r="BH78" s="395">
        <f t="shared" ca="1" si="65"/>
        <v>92276.448121092428</v>
      </c>
      <c r="BI78" s="395">
        <f t="shared" ca="1" si="65"/>
        <v>92276.448121092428</v>
      </c>
      <c r="BJ78" s="395">
        <f t="shared" ca="1" si="65"/>
        <v>92276.448121092428</v>
      </c>
      <c r="BK78" s="395">
        <f t="shared" ca="1" si="65"/>
        <v>92276.448121092428</v>
      </c>
      <c r="BL78" s="395">
        <f t="shared" ca="1" si="65"/>
        <v>92276.448121092428</v>
      </c>
      <c r="BM78" s="395">
        <f t="shared" ca="1" si="65"/>
        <v>92276.448121092428</v>
      </c>
      <c r="BN78" s="395">
        <f t="shared" ca="1" si="65"/>
        <v>106921.35986988785</v>
      </c>
      <c r="BO78" s="395">
        <f t="shared" ca="1" si="65"/>
        <v>106921.35986988785</v>
      </c>
      <c r="BP78" s="395">
        <f t="shared" ca="1" si="65"/>
        <v>106921.35986988785</v>
      </c>
      <c r="BQ78" s="395">
        <f t="shared" ca="1" si="65"/>
        <v>106921.35986988785</v>
      </c>
      <c r="BR78" s="395">
        <f t="shared" ref="BR78:CK78" ca="1" si="66">BR54-BR65</f>
        <v>106921.35986988785</v>
      </c>
      <c r="BS78" s="395">
        <f t="shared" ca="1" si="66"/>
        <v>106921.35986988785</v>
      </c>
      <c r="BT78" s="395">
        <f t="shared" ca="1" si="66"/>
        <v>106921.35986988785</v>
      </c>
      <c r="BU78" s="395">
        <f t="shared" ca="1" si="66"/>
        <v>106921.35986988785</v>
      </c>
      <c r="BV78" s="395">
        <f t="shared" ca="1" si="66"/>
        <v>106921.35986988785</v>
      </c>
      <c r="BW78" s="395">
        <f t="shared" ca="1" si="66"/>
        <v>106921.35986988785</v>
      </c>
      <c r="BX78" s="395">
        <f t="shared" ca="1" si="66"/>
        <v>106921.35986988785</v>
      </c>
      <c r="BY78" s="395">
        <f t="shared" ca="1" si="66"/>
        <v>12719474.3621164</v>
      </c>
      <c r="BZ78" s="395">
        <f t="shared" ca="1" si="66"/>
        <v>0</v>
      </c>
      <c r="CA78" s="395">
        <f t="shared" ca="1" si="66"/>
        <v>0</v>
      </c>
      <c r="CB78" s="395">
        <f t="shared" ca="1" si="66"/>
        <v>0</v>
      </c>
      <c r="CC78" s="395">
        <f t="shared" ca="1" si="66"/>
        <v>0</v>
      </c>
      <c r="CD78" s="395">
        <f t="shared" ca="1" si="66"/>
        <v>0</v>
      </c>
      <c r="CE78" s="395">
        <f t="shared" ca="1" si="66"/>
        <v>0</v>
      </c>
      <c r="CF78" s="395">
        <f t="shared" ca="1" si="66"/>
        <v>0</v>
      </c>
      <c r="CG78" s="395">
        <f t="shared" ca="1" si="66"/>
        <v>0</v>
      </c>
      <c r="CH78" s="395">
        <f t="shared" ca="1" si="66"/>
        <v>0</v>
      </c>
      <c r="CI78" s="395">
        <f t="shared" ca="1" si="66"/>
        <v>0</v>
      </c>
      <c r="CJ78" s="395">
        <f t="shared" ca="1" si="66"/>
        <v>0</v>
      </c>
      <c r="CK78" s="395">
        <f t="shared" ca="1" si="66"/>
        <v>0</v>
      </c>
      <c r="CL78" s="133" t="s">
        <v>15</v>
      </c>
    </row>
    <row r="79" spans="2:90" s="133" customFormat="1" ht="15" customHeight="1" outlineLevel="1" x14ac:dyDescent="0.2"/>
    <row r="80" spans="2:90" s="133" customFormat="1" ht="15" customHeight="1" outlineLevel="1" x14ac:dyDescent="0.2">
      <c r="B80" s="133" t="s">
        <v>261</v>
      </c>
      <c r="E80" s="395">
        <f>D86</f>
        <v>0</v>
      </c>
      <c r="F80" s="395">
        <f t="shared" ref="F80:BQ80" ca="1" si="67">E86</f>
        <v>10370649.303877201</v>
      </c>
      <c r="G80" s="395">
        <f t="shared" ca="1" si="67"/>
        <v>10770185.910963601</v>
      </c>
      <c r="H80" s="395">
        <f t="shared" ca="1" si="67"/>
        <v>11169984.123259202</v>
      </c>
      <c r="I80" s="395">
        <f t="shared" ca="1" si="67"/>
        <v>11599471.694196001</v>
      </c>
      <c r="J80" s="395">
        <f t="shared" ca="1" si="67"/>
        <v>12007169.660700001</v>
      </c>
      <c r="K80" s="395">
        <f t="shared" ca="1" si="67"/>
        <v>12353335.851564001</v>
      </c>
      <c r="L80" s="395">
        <f t="shared" ca="1" si="67"/>
        <v>12935994.220932001</v>
      </c>
      <c r="M80" s="395">
        <f t="shared" ca="1" si="67"/>
        <v>13823612.579772569</v>
      </c>
      <c r="N80" s="395">
        <f t="shared" ca="1" si="67"/>
        <v>14711816.596285706</v>
      </c>
      <c r="O80" s="395">
        <f t="shared" ca="1" si="67"/>
        <v>15448649.81404781</v>
      </c>
      <c r="P80" s="395">
        <f t="shared" ca="1" si="67"/>
        <v>15458851.742567809</v>
      </c>
      <c r="Q80" s="395">
        <f t="shared" ca="1" si="67"/>
        <v>15469053.671087809</v>
      </c>
      <c r="R80" s="395">
        <f t="shared" ca="1" si="67"/>
        <v>15479255.599607809</v>
      </c>
      <c r="S80" s="395">
        <f t="shared" ca="1" si="67"/>
        <v>15489457.528127808</v>
      </c>
      <c r="T80" s="395">
        <f t="shared" ca="1" si="67"/>
        <v>15499659.456647808</v>
      </c>
      <c r="U80" s="395">
        <f t="shared" ca="1" si="67"/>
        <v>15509861.385167807</v>
      </c>
      <c r="V80" s="395">
        <f t="shared" ca="1" si="67"/>
        <v>15520063.313687807</v>
      </c>
      <c r="W80" s="395">
        <f t="shared" ca="1" si="67"/>
        <v>15530265.242207807</v>
      </c>
      <c r="X80" s="395">
        <f t="shared" ca="1" si="67"/>
        <v>15540467.170727806</v>
      </c>
      <c r="Y80" s="395">
        <f t="shared" ca="1" si="67"/>
        <v>15550669.099247806</v>
      </c>
      <c r="Z80" s="395">
        <f t="shared" ca="1" si="67"/>
        <v>15560871.027767805</v>
      </c>
      <c r="AA80" s="395">
        <f t="shared" ca="1" si="67"/>
        <v>15571072.956287805</v>
      </c>
      <c r="AB80" s="395">
        <f t="shared" ca="1" si="67"/>
        <v>15581274.884807805</v>
      </c>
      <c r="AC80" s="395">
        <f t="shared" ca="1" si="67"/>
        <v>15591476.813327804</v>
      </c>
      <c r="AD80" s="395">
        <f t="shared" ca="1" si="67"/>
        <v>15601678.741847804</v>
      </c>
      <c r="AE80" s="395">
        <f t="shared" ca="1" si="67"/>
        <v>15611880.670367803</v>
      </c>
      <c r="AF80" s="395">
        <f t="shared" ca="1" si="67"/>
        <v>15622082.598887803</v>
      </c>
      <c r="AG80" s="395">
        <f t="shared" ca="1" si="67"/>
        <v>15632284.527407803</v>
      </c>
      <c r="AH80" s="395">
        <f t="shared" ca="1" si="67"/>
        <v>15642486.455927802</v>
      </c>
      <c r="AI80" s="395">
        <f t="shared" ca="1" si="67"/>
        <v>15652688.384447802</v>
      </c>
      <c r="AJ80" s="395">
        <f t="shared" ca="1" si="67"/>
        <v>15662890.312967801</v>
      </c>
      <c r="AK80" s="395">
        <f t="shared" ca="1" si="67"/>
        <v>15673092.241487801</v>
      </c>
      <c r="AL80" s="395">
        <f t="shared" ca="1" si="67"/>
        <v>15683294.170007801</v>
      </c>
      <c r="AM80" s="395">
        <f t="shared" ca="1" si="67"/>
        <v>15693496.0985278</v>
      </c>
      <c r="AN80" s="395">
        <f t="shared" ca="1" si="67"/>
        <v>15703698.0270478</v>
      </c>
      <c r="AO80" s="395">
        <f t="shared" ca="1" si="67"/>
        <v>15713899.9555678</v>
      </c>
      <c r="AP80" s="395">
        <f t="shared" ca="1" si="67"/>
        <v>0</v>
      </c>
      <c r="AQ80" s="395">
        <f t="shared" ca="1" si="67"/>
        <v>0</v>
      </c>
      <c r="AR80" s="395">
        <f t="shared" ca="1" si="67"/>
        <v>0</v>
      </c>
      <c r="AS80" s="395">
        <f t="shared" ca="1" si="67"/>
        <v>0</v>
      </c>
      <c r="AT80" s="395">
        <f t="shared" ca="1" si="67"/>
        <v>0</v>
      </c>
      <c r="AU80" s="395">
        <f t="shared" ca="1" si="67"/>
        <v>0</v>
      </c>
      <c r="AV80" s="395">
        <f t="shared" ca="1" si="67"/>
        <v>0</v>
      </c>
      <c r="AW80" s="395">
        <f t="shared" ca="1" si="67"/>
        <v>0</v>
      </c>
      <c r="AX80" s="395">
        <f t="shared" ca="1" si="67"/>
        <v>0</v>
      </c>
      <c r="AY80" s="395">
        <f t="shared" ca="1" si="67"/>
        <v>0</v>
      </c>
      <c r="AZ80" s="395">
        <f t="shared" ca="1" si="67"/>
        <v>0</v>
      </c>
      <c r="BA80" s="395">
        <f t="shared" ca="1" si="67"/>
        <v>0</v>
      </c>
      <c r="BB80" s="395">
        <f t="shared" ca="1" si="67"/>
        <v>0</v>
      </c>
      <c r="BC80" s="395">
        <f t="shared" ca="1" si="67"/>
        <v>0</v>
      </c>
      <c r="BD80" s="395">
        <f t="shared" ca="1" si="67"/>
        <v>0</v>
      </c>
      <c r="BE80" s="395">
        <f t="shared" ca="1" si="67"/>
        <v>0</v>
      </c>
      <c r="BF80" s="395">
        <f t="shared" ca="1" si="67"/>
        <v>0</v>
      </c>
      <c r="BG80" s="395">
        <f t="shared" ca="1" si="67"/>
        <v>0</v>
      </c>
      <c r="BH80" s="395">
        <f t="shared" ca="1" si="67"/>
        <v>0</v>
      </c>
      <c r="BI80" s="395">
        <f t="shared" ca="1" si="67"/>
        <v>0</v>
      </c>
      <c r="BJ80" s="395">
        <f t="shared" ca="1" si="67"/>
        <v>0</v>
      </c>
      <c r="BK80" s="395">
        <f t="shared" ca="1" si="67"/>
        <v>0</v>
      </c>
      <c r="BL80" s="395">
        <f t="shared" ca="1" si="67"/>
        <v>0</v>
      </c>
      <c r="BM80" s="395">
        <f t="shared" ca="1" si="67"/>
        <v>0</v>
      </c>
      <c r="BN80" s="395">
        <f t="shared" ca="1" si="67"/>
        <v>0</v>
      </c>
      <c r="BO80" s="395">
        <f t="shared" ca="1" si="67"/>
        <v>0</v>
      </c>
      <c r="BP80" s="395">
        <f t="shared" ca="1" si="67"/>
        <v>0</v>
      </c>
      <c r="BQ80" s="395">
        <f t="shared" ca="1" si="67"/>
        <v>0</v>
      </c>
      <c r="BR80" s="395">
        <f t="shared" ref="BR80:CK80" ca="1" si="68">BQ86</f>
        <v>0</v>
      </c>
      <c r="BS80" s="395">
        <f t="shared" ca="1" si="68"/>
        <v>0</v>
      </c>
      <c r="BT80" s="395">
        <f t="shared" ca="1" si="68"/>
        <v>0</v>
      </c>
      <c r="BU80" s="395">
        <f t="shared" ca="1" si="68"/>
        <v>0</v>
      </c>
      <c r="BV80" s="395">
        <f t="shared" ca="1" si="68"/>
        <v>0</v>
      </c>
      <c r="BW80" s="395">
        <f t="shared" ca="1" si="68"/>
        <v>0</v>
      </c>
      <c r="BX80" s="395">
        <f t="shared" ca="1" si="68"/>
        <v>0</v>
      </c>
      <c r="BY80" s="395">
        <f t="shared" ca="1" si="68"/>
        <v>0</v>
      </c>
      <c r="BZ80" s="395">
        <f t="shared" ca="1" si="68"/>
        <v>0</v>
      </c>
      <c r="CA80" s="395">
        <f t="shared" ca="1" si="68"/>
        <v>0</v>
      </c>
      <c r="CB80" s="395">
        <f t="shared" ca="1" si="68"/>
        <v>0</v>
      </c>
      <c r="CC80" s="395">
        <f t="shared" ca="1" si="68"/>
        <v>0</v>
      </c>
      <c r="CD80" s="395">
        <f t="shared" ca="1" si="68"/>
        <v>0</v>
      </c>
      <c r="CE80" s="395">
        <f t="shared" ca="1" si="68"/>
        <v>0</v>
      </c>
      <c r="CF80" s="395">
        <f t="shared" ca="1" si="68"/>
        <v>0</v>
      </c>
      <c r="CG80" s="395">
        <f t="shared" ca="1" si="68"/>
        <v>0</v>
      </c>
      <c r="CH80" s="395">
        <f t="shared" ca="1" si="68"/>
        <v>0</v>
      </c>
      <c r="CI80" s="395">
        <f t="shared" ca="1" si="68"/>
        <v>0</v>
      </c>
      <c r="CJ80" s="395">
        <f t="shared" ca="1" si="68"/>
        <v>0</v>
      </c>
      <c r="CK80" s="395">
        <f t="shared" ca="1" si="68"/>
        <v>0</v>
      </c>
      <c r="CL80" s="133" t="s">
        <v>15</v>
      </c>
    </row>
    <row r="81" spans="2:90" s="133" customFormat="1" ht="15" customHeight="1" outlineLevel="1" x14ac:dyDescent="0.2">
      <c r="B81" s="133" t="s">
        <v>262</v>
      </c>
      <c r="E81" s="395">
        <f ca="1">E34</f>
        <v>7407606.645626572</v>
      </c>
      <c r="F81" s="395">
        <f t="shared" ref="F81:BQ81" ca="1" si="69">F34</f>
        <v>285383.29077599995</v>
      </c>
      <c r="G81" s="395">
        <f t="shared" ca="1" si="69"/>
        <v>285570.15163971425</v>
      </c>
      <c r="H81" s="395">
        <f t="shared" ca="1" si="69"/>
        <v>306776.83638342854</v>
      </c>
      <c r="I81" s="395">
        <f t="shared" ca="1" si="69"/>
        <v>291212.83321714279</v>
      </c>
      <c r="J81" s="395">
        <f t="shared" ca="1" si="69"/>
        <v>247261.56490285715</v>
      </c>
      <c r="K81" s="395">
        <f t="shared" ca="1" si="69"/>
        <v>416184.54954857141</v>
      </c>
      <c r="L81" s="395">
        <f t="shared" ca="1" si="69"/>
        <v>634013.1134575489</v>
      </c>
      <c r="M81" s="395">
        <f t="shared" ca="1" si="69"/>
        <v>634431.44036652625</v>
      </c>
      <c r="N81" s="395">
        <f t="shared" ca="1" si="69"/>
        <v>526309.4412586448</v>
      </c>
      <c r="O81" s="395">
        <f t="shared" ca="1" si="69"/>
        <v>7287.0918000000001</v>
      </c>
      <c r="P81" s="395">
        <f t="shared" ca="1" si="69"/>
        <v>7287.0918000000001</v>
      </c>
      <c r="Q81" s="395">
        <f t="shared" ca="1" si="69"/>
        <v>7287.0918000000001</v>
      </c>
      <c r="R81" s="395">
        <f t="shared" ca="1" si="69"/>
        <v>7287.0918000000001</v>
      </c>
      <c r="S81" s="395">
        <f t="shared" ca="1" si="69"/>
        <v>7287.0918000000001</v>
      </c>
      <c r="T81" s="395">
        <f t="shared" ca="1" si="69"/>
        <v>7287.0918000000001</v>
      </c>
      <c r="U81" s="395">
        <f t="shared" ca="1" si="69"/>
        <v>7287.0918000000001</v>
      </c>
      <c r="V81" s="395">
        <f t="shared" ca="1" si="69"/>
        <v>7287.0918000000001</v>
      </c>
      <c r="W81" s="395">
        <f t="shared" ca="1" si="69"/>
        <v>7287.0918000000001</v>
      </c>
      <c r="X81" s="395">
        <f t="shared" ca="1" si="69"/>
        <v>7287.0918000000001</v>
      </c>
      <c r="Y81" s="395">
        <f t="shared" ca="1" si="69"/>
        <v>7287.0918000000001</v>
      </c>
      <c r="Z81" s="395">
        <f t="shared" ca="1" si="69"/>
        <v>7287.0918000000001</v>
      </c>
      <c r="AA81" s="395">
        <f t="shared" ca="1" si="69"/>
        <v>7287.0918000000001</v>
      </c>
      <c r="AB81" s="395">
        <f t="shared" ca="1" si="69"/>
        <v>7287.0918000000001</v>
      </c>
      <c r="AC81" s="395">
        <f t="shared" ca="1" si="69"/>
        <v>7287.0918000000001</v>
      </c>
      <c r="AD81" s="395">
        <f t="shared" ca="1" si="69"/>
        <v>7287.0918000000001</v>
      </c>
      <c r="AE81" s="395">
        <f t="shared" ca="1" si="69"/>
        <v>7287.0918000000001</v>
      </c>
      <c r="AF81" s="395">
        <f t="shared" ca="1" si="69"/>
        <v>7287.0918000000001</v>
      </c>
      <c r="AG81" s="395">
        <f t="shared" ca="1" si="69"/>
        <v>7287.0918000000001</v>
      </c>
      <c r="AH81" s="395">
        <f t="shared" ca="1" si="69"/>
        <v>7287.0918000000001</v>
      </c>
      <c r="AI81" s="395">
        <f t="shared" ca="1" si="69"/>
        <v>7287.0918000000001</v>
      </c>
      <c r="AJ81" s="395">
        <f t="shared" ca="1" si="69"/>
        <v>7287.0918000000001</v>
      </c>
      <c r="AK81" s="395">
        <f t="shared" ca="1" si="69"/>
        <v>7287.0918000000001</v>
      </c>
      <c r="AL81" s="395">
        <f t="shared" ca="1" si="69"/>
        <v>7287.0918000000001</v>
      </c>
      <c r="AM81" s="395">
        <f t="shared" ca="1" si="69"/>
        <v>7287.0918000000001</v>
      </c>
      <c r="AN81" s="395">
        <f t="shared" ca="1" si="69"/>
        <v>7287.0918000000001</v>
      </c>
      <c r="AO81" s="395">
        <f t="shared" ca="1" si="69"/>
        <v>0</v>
      </c>
      <c r="AP81" s="395">
        <f t="shared" ca="1" si="69"/>
        <v>0</v>
      </c>
      <c r="AQ81" s="395">
        <f t="shared" ca="1" si="69"/>
        <v>0</v>
      </c>
      <c r="AR81" s="395">
        <f t="shared" ca="1" si="69"/>
        <v>0</v>
      </c>
      <c r="AS81" s="395">
        <f t="shared" ca="1" si="69"/>
        <v>0</v>
      </c>
      <c r="AT81" s="395">
        <f t="shared" ca="1" si="69"/>
        <v>0</v>
      </c>
      <c r="AU81" s="395">
        <f t="shared" ca="1" si="69"/>
        <v>0</v>
      </c>
      <c r="AV81" s="395">
        <f t="shared" ca="1" si="69"/>
        <v>0</v>
      </c>
      <c r="AW81" s="395">
        <f t="shared" ca="1" si="69"/>
        <v>0</v>
      </c>
      <c r="AX81" s="395">
        <f t="shared" ca="1" si="69"/>
        <v>0</v>
      </c>
      <c r="AY81" s="395">
        <f t="shared" ca="1" si="69"/>
        <v>0</v>
      </c>
      <c r="AZ81" s="395">
        <f t="shared" ca="1" si="69"/>
        <v>0</v>
      </c>
      <c r="BA81" s="395">
        <f t="shared" ca="1" si="69"/>
        <v>0</v>
      </c>
      <c r="BB81" s="395">
        <f t="shared" ca="1" si="69"/>
        <v>0</v>
      </c>
      <c r="BC81" s="395">
        <f t="shared" ca="1" si="69"/>
        <v>0</v>
      </c>
      <c r="BD81" s="395">
        <f t="shared" ca="1" si="69"/>
        <v>0</v>
      </c>
      <c r="BE81" s="395">
        <f t="shared" ca="1" si="69"/>
        <v>0</v>
      </c>
      <c r="BF81" s="395">
        <f t="shared" ca="1" si="69"/>
        <v>0</v>
      </c>
      <c r="BG81" s="395">
        <f t="shared" ca="1" si="69"/>
        <v>0</v>
      </c>
      <c r="BH81" s="395">
        <f t="shared" ca="1" si="69"/>
        <v>0</v>
      </c>
      <c r="BI81" s="395">
        <f t="shared" ca="1" si="69"/>
        <v>0</v>
      </c>
      <c r="BJ81" s="395">
        <f t="shared" ca="1" si="69"/>
        <v>0</v>
      </c>
      <c r="BK81" s="395">
        <f t="shared" ca="1" si="69"/>
        <v>0</v>
      </c>
      <c r="BL81" s="395">
        <f t="shared" ca="1" si="69"/>
        <v>0</v>
      </c>
      <c r="BM81" s="395">
        <f t="shared" ca="1" si="69"/>
        <v>0</v>
      </c>
      <c r="BN81" s="395">
        <f t="shared" ca="1" si="69"/>
        <v>0</v>
      </c>
      <c r="BO81" s="395">
        <f t="shared" ca="1" si="69"/>
        <v>0</v>
      </c>
      <c r="BP81" s="395">
        <f t="shared" ca="1" si="69"/>
        <v>0</v>
      </c>
      <c r="BQ81" s="395">
        <f t="shared" ca="1" si="69"/>
        <v>0</v>
      </c>
      <c r="BR81" s="395">
        <f t="shared" ref="BR81:CK81" ca="1" si="70">BR34</f>
        <v>0</v>
      </c>
      <c r="BS81" s="395">
        <f t="shared" ca="1" si="70"/>
        <v>0</v>
      </c>
      <c r="BT81" s="395">
        <f t="shared" ca="1" si="70"/>
        <v>0</v>
      </c>
      <c r="BU81" s="395">
        <f t="shared" ca="1" si="70"/>
        <v>0</v>
      </c>
      <c r="BV81" s="395">
        <f t="shared" ca="1" si="70"/>
        <v>0</v>
      </c>
      <c r="BW81" s="395">
        <f t="shared" ca="1" si="70"/>
        <v>0</v>
      </c>
      <c r="BX81" s="395">
        <f t="shared" ca="1" si="70"/>
        <v>0</v>
      </c>
      <c r="BY81" s="395">
        <f t="shared" ca="1" si="70"/>
        <v>0</v>
      </c>
      <c r="BZ81" s="395">
        <f t="shared" ca="1" si="70"/>
        <v>0</v>
      </c>
      <c r="CA81" s="395">
        <f t="shared" ca="1" si="70"/>
        <v>0</v>
      </c>
      <c r="CB81" s="395">
        <f t="shared" ca="1" si="70"/>
        <v>0</v>
      </c>
      <c r="CC81" s="395">
        <f t="shared" ca="1" si="70"/>
        <v>0</v>
      </c>
      <c r="CD81" s="395">
        <f t="shared" ca="1" si="70"/>
        <v>0</v>
      </c>
      <c r="CE81" s="395">
        <f t="shared" ca="1" si="70"/>
        <v>0</v>
      </c>
      <c r="CF81" s="395">
        <f t="shared" ca="1" si="70"/>
        <v>0</v>
      </c>
      <c r="CG81" s="395">
        <f t="shared" ca="1" si="70"/>
        <v>0</v>
      </c>
      <c r="CH81" s="395">
        <f t="shared" ca="1" si="70"/>
        <v>0</v>
      </c>
      <c r="CI81" s="395">
        <f t="shared" ca="1" si="70"/>
        <v>0</v>
      </c>
      <c r="CJ81" s="395">
        <f t="shared" ca="1" si="70"/>
        <v>0</v>
      </c>
      <c r="CK81" s="395">
        <f t="shared" ca="1" si="70"/>
        <v>0</v>
      </c>
      <c r="CL81" s="133" t="s">
        <v>15</v>
      </c>
    </row>
    <row r="82" spans="2:90" s="133" customFormat="1" ht="15" customHeight="1" outlineLevel="1" x14ac:dyDescent="0.2">
      <c r="B82" s="133" t="s">
        <v>328</v>
      </c>
      <c r="E82" s="395">
        <f t="shared" ref="E82:AJ82" ca="1" si="71">E81*(Tier3_Hurdle_Case1-1)</f>
        <v>2963042.658250628</v>
      </c>
      <c r="F82" s="395">
        <f t="shared" ca="1" si="71"/>
        <v>114153.31631039995</v>
      </c>
      <c r="G82" s="395">
        <f t="shared" ca="1" si="71"/>
        <v>114228.06065588568</v>
      </c>
      <c r="H82" s="395">
        <f t="shared" ca="1" si="71"/>
        <v>122710.7345533714</v>
      </c>
      <c r="I82" s="395">
        <f t="shared" ca="1" si="71"/>
        <v>116485.13328685709</v>
      </c>
      <c r="J82" s="395">
        <f t="shared" ca="1" si="71"/>
        <v>98904.62596114284</v>
      </c>
      <c r="K82" s="395">
        <f t="shared" ca="1" si="71"/>
        <v>166473.81981942852</v>
      </c>
      <c r="L82" s="395">
        <f t="shared" ca="1" si="71"/>
        <v>253605.2453830195</v>
      </c>
      <c r="M82" s="395">
        <f t="shared" ca="1" si="71"/>
        <v>253772.57614661043</v>
      </c>
      <c r="N82" s="395">
        <f t="shared" ca="1" si="71"/>
        <v>210523.77650345786</v>
      </c>
      <c r="O82" s="395">
        <f t="shared" ca="1" si="71"/>
        <v>2914.8367199999993</v>
      </c>
      <c r="P82" s="395">
        <f t="shared" ca="1" si="71"/>
        <v>2914.8367199999993</v>
      </c>
      <c r="Q82" s="395">
        <f t="shared" ca="1" si="71"/>
        <v>2914.8367199999993</v>
      </c>
      <c r="R82" s="395">
        <f t="shared" ca="1" si="71"/>
        <v>2914.8367199999993</v>
      </c>
      <c r="S82" s="395">
        <f t="shared" ca="1" si="71"/>
        <v>2914.8367199999993</v>
      </c>
      <c r="T82" s="395">
        <f t="shared" ca="1" si="71"/>
        <v>2914.8367199999993</v>
      </c>
      <c r="U82" s="395">
        <f t="shared" ca="1" si="71"/>
        <v>2914.8367199999993</v>
      </c>
      <c r="V82" s="395">
        <f t="shared" ca="1" si="71"/>
        <v>2914.8367199999993</v>
      </c>
      <c r="W82" s="395">
        <f t="shared" ca="1" si="71"/>
        <v>2914.8367199999993</v>
      </c>
      <c r="X82" s="395">
        <f t="shared" ca="1" si="71"/>
        <v>2914.8367199999993</v>
      </c>
      <c r="Y82" s="395">
        <f t="shared" ca="1" si="71"/>
        <v>2914.8367199999993</v>
      </c>
      <c r="Z82" s="395">
        <f t="shared" ca="1" si="71"/>
        <v>2914.8367199999993</v>
      </c>
      <c r="AA82" s="395">
        <f t="shared" ca="1" si="71"/>
        <v>2914.8367199999993</v>
      </c>
      <c r="AB82" s="395">
        <f t="shared" ca="1" si="71"/>
        <v>2914.8367199999993</v>
      </c>
      <c r="AC82" s="395">
        <f t="shared" ca="1" si="71"/>
        <v>2914.8367199999993</v>
      </c>
      <c r="AD82" s="395">
        <f t="shared" ca="1" si="71"/>
        <v>2914.8367199999993</v>
      </c>
      <c r="AE82" s="395">
        <f t="shared" ca="1" si="71"/>
        <v>2914.8367199999993</v>
      </c>
      <c r="AF82" s="395">
        <f t="shared" ca="1" si="71"/>
        <v>2914.8367199999993</v>
      </c>
      <c r="AG82" s="395">
        <f t="shared" ca="1" si="71"/>
        <v>2914.8367199999993</v>
      </c>
      <c r="AH82" s="395">
        <f t="shared" ca="1" si="71"/>
        <v>2914.8367199999993</v>
      </c>
      <c r="AI82" s="395">
        <f t="shared" ca="1" si="71"/>
        <v>2914.8367199999993</v>
      </c>
      <c r="AJ82" s="395">
        <f t="shared" ca="1" si="71"/>
        <v>2914.8367199999993</v>
      </c>
      <c r="AK82" s="395">
        <f t="shared" ref="AK82:BP82" ca="1" si="72">AK81*(Tier3_Hurdle_Case1-1)</f>
        <v>2914.8367199999993</v>
      </c>
      <c r="AL82" s="395">
        <f t="shared" ca="1" si="72"/>
        <v>2914.8367199999993</v>
      </c>
      <c r="AM82" s="395">
        <f t="shared" ca="1" si="72"/>
        <v>2914.8367199999993</v>
      </c>
      <c r="AN82" s="395">
        <f t="shared" ca="1" si="72"/>
        <v>2914.8367199999993</v>
      </c>
      <c r="AO82" s="395">
        <f t="shared" ca="1" si="72"/>
        <v>0</v>
      </c>
      <c r="AP82" s="395">
        <f t="shared" ca="1" si="72"/>
        <v>0</v>
      </c>
      <c r="AQ82" s="395">
        <f t="shared" ca="1" si="72"/>
        <v>0</v>
      </c>
      <c r="AR82" s="395">
        <f t="shared" ca="1" si="72"/>
        <v>0</v>
      </c>
      <c r="AS82" s="395">
        <f t="shared" ca="1" si="72"/>
        <v>0</v>
      </c>
      <c r="AT82" s="395">
        <f t="shared" ca="1" si="72"/>
        <v>0</v>
      </c>
      <c r="AU82" s="395">
        <f t="shared" ca="1" si="72"/>
        <v>0</v>
      </c>
      <c r="AV82" s="395">
        <f t="shared" ca="1" si="72"/>
        <v>0</v>
      </c>
      <c r="AW82" s="395">
        <f t="shared" ca="1" si="72"/>
        <v>0</v>
      </c>
      <c r="AX82" s="395">
        <f t="shared" ca="1" si="72"/>
        <v>0</v>
      </c>
      <c r="AY82" s="395">
        <f t="shared" ca="1" si="72"/>
        <v>0</v>
      </c>
      <c r="AZ82" s="395">
        <f t="shared" ca="1" si="72"/>
        <v>0</v>
      </c>
      <c r="BA82" s="395">
        <f t="shared" ca="1" si="72"/>
        <v>0</v>
      </c>
      <c r="BB82" s="395">
        <f t="shared" ca="1" si="72"/>
        <v>0</v>
      </c>
      <c r="BC82" s="395">
        <f t="shared" ca="1" si="72"/>
        <v>0</v>
      </c>
      <c r="BD82" s="395">
        <f t="shared" ca="1" si="72"/>
        <v>0</v>
      </c>
      <c r="BE82" s="395">
        <f t="shared" ca="1" si="72"/>
        <v>0</v>
      </c>
      <c r="BF82" s="395">
        <f t="shared" ca="1" si="72"/>
        <v>0</v>
      </c>
      <c r="BG82" s="395">
        <f t="shared" ca="1" si="72"/>
        <v>0</v>
      </c>
      <c r="BH82" s="395">
        <f t="shared" ca="1" si="72"/>
        <v>0</v>
      </c>
      <c r="BI82" s="395">
        <f t="shared" ca="1" si="72"/>
        <v>0</v>
      </c>
      <c r="BJ82" s="395">
        <f t="shared" ca="1" si="72"/>
        <v>0</v>
      </c>
      <c r="BK82" s="395">
        <f t="shared" ca="1" si="72"/>
        <v>0</v>
      </c>
      <c r="BL82" s="395">
        <f t="shared" ca="1" si="72"/>
        <v>0</v>
      </c>
      <c r="BM82" s="395">
        <f t="shared" ca="1" si="72"/>
        <v>0</v>
      </c>
      <c r="BN82" s="395">
        <f t="shared" ca="1" si="72"/>
        <v>0</v>
      </c>
      <c r="BO82" s="395">
        <f t="shared" ca="1" si="72"/>
        <v>0</v>
      </c>
      <c r="BP82" s="395">
        <f t="shared" ca="1" si="72"/>
        <v>0</v>
      </c>
      <c r="BQ82" s="395">
        <f t="shared" ref="BQ82:CK82" ca="1" si="73">BQ81*(Tier3_Hurdle_Case1-1)</f>
        <v>0</v>
      </c>
      <c r="BR82" s="395">
        <f t="shared" ca="1" si="73"/>
        <v>0</v>
      </c>
      <c r="BS82" s="395">
        <f t="shared" ca="1" si="73"/>
        <v>0</v>
      </c>
      <c r="BT82" s="395">
        <f t="shared" ca="1" si="73"/>
        <v>0</v>
      </c>
      <c r="BU82" s="395">
        <f t="shared" ca="1" si="73"/>
        <v>0</v>
      </c>
      <c r="BV82" s="395">
        <f t="shared" ca="1" si="73"/>
        <v>0</v>
      </c>
      <c r="BW82" s="395">
        <f t="shared" ca="1" si="73"/>
        <v>0</v>
      </c>
      <c r="BX82" s="395">
        <f t="shared" ca="1" si="73"/>
        <v>0</v>
      </c>
      <c r="BY82" s="395">
        <f t="shared" ca="1" si="73"/>
        <v>0</v>
      </c>
      <c r="BZ82" s="395">
        <f t="shared" ca="1" si="73"/>
        <v>0</v>
      </c>
      <c r="CA82" s="395">
        <f t="shared" ca="1" si="73"/>
        <v>0</v>
      </c>
      <c r="CB82" s="395">
        <f t="shared" ca="1" si="73"/>
        <v>0</v>
      </c>
      <c r="CC82" s="395">
        <f t="shared" ca="1" si="73"/>
        <v>0</v>
      </c>
      <c r="CD82" s="395">
        <f t="shared" ca="1" si="73"/>
        <v>0</v>
      </c>
      <c r="CE82" s="395">
        <f t="shared" ca="1" si="73"/>
        <v>0</v>
      </c>
      <c r="CF82" s="395">
        <f t="shared" ca="1" si="73"/>
        <v>0</v>
      </c>
      <c r="CG82" s="395">
        <f t="shared" ca="1" si="73"/>
        <v>0</v>
      </c>
      <c r="CH82" s="395">
        <f t="shared" ca="1" si="73"/>
        <v>0</v>
      </c>
      <c r="CI82" s="395">
        <f t="shared" ca="1" si="73"/>
        <v>0</v>
      </c>
      <c r="CJ82" s="395">
        <f t="shared" ca="1" si="73"/>
        <v>0</v>
      </c>
      <c r="CK82" s="395">
        <f t="shared" ca="1" si="73"/>
        <v>0</v>
      </c>
      <c r="CL82" s="133" t="s">
        <v>15</v>
      </c>
    </row>
    <row r="83" spans="2:90" s="133" customFormat="1" ht="15" customHeight="1" outlineLevel="1" x14ac:dyDescent="0.2">
      <c r="B83" s="133" t="s">
        <v>263</v>
      </c>
      <c r="E83" s="395">
        <f ca="1">-E39</f>
        <v>0</v>
      </c>
      <c r="F83" s="395">
        <f t="shared" ref="F83:BQ83" ca="1" si="74">-F39</f>
        <v>0</v>
      </c>
      <c r="G83" s="395">
        <f t="shared" ca="1" si="74"/>
        <v>0</v>
      </c>
      <c r="H83" s="395">
        <f t="shared" ca="1" si="74"/>
        <v>0</v>
      </c>
      <c r="I83" s="395">
        <f t="shared" ca="1" si="74"/>
        <v>0</v>
      </c>
      <c r="J83" s="395">
        <f t="shared" ca="1" si="74"/>
        <v>0</v>
      </c>
      <c r="K83" s="395">
        <f t="shared" ca="1" si="74"/>
        <v>0</v>
      </c>
      <c r="L83" s="395">
        <f t="shared" ca="1" si="74"/>
        <v>0</v>
      </c>
      <c r="M83" s="395">
        <f t="shared" ca="1" si="74"/>
        <v>0</v>
      </c>
      <c r="N83" s="395">
        <f t="shared" ca="1" si="74"/>
        <v>0</v>
      </c>
      <c r="O83" s="395">
        <f t="shared" ca="1" si="74"/>
        <v>0</v>
      </c>
      <c r="P83" s="395">
        <f t="shared" ca="1" si="74"/>
        <v>0</v>
      </c>
      <c r="Q83" s="395">
        <f t="shared" ca="1" si="74"/>
        <v>0</v>
      </c>
      <c r="R83" s="395">
        <f t="shared" ca="1" si="74"/>
        <v>0</v>
      </c>
      <c r="S83" s="395">
        <f t="shared" ca="1" si="74"/>
        <v>0</v>
      </c>
      <c r="T83" s="395">
        <f t="shared" ca="1" si="74"/>
        <v>0</v>
      </c>
      <c r="U83" s="395">
        <f t="shared" ca="1" si="74"/>
        <v>0</v>
      </c>
      <c r="V83" s="395">
        <f t="shared" ca="1" si="74"/>
        <v>0</v>
      </c>
      <c r="W83" s="395">
        <f t="shared" ca="1" si="74"/>
        <v>0</v>
      </c>
      <c r="X83" s="395">
        <f t="shared" ca="1" si="74"/>
        <v>0</v>
      </c>
      <c r="Y83" s="395">
        <f t="shared" ca="1" si="74"/>
        <v>0</v>
      </c>
      <c r="Z83" s="395">
        <f t="shared" ca="1" si="74"/>
        <v>0</v>
      </c>
      <c r="AA83" s="395">
        <f t="shared" ca="1" si="74"/>
        <v>0</v>
      </c>
      <c r="AB83" s="395">
        <f t="shared" ca="1" si="74"/>
        <v>0</v>
      </c>
      <c r="AC83" s="395">
        <f t="shared" ca="1" si="74"/>
        <v>0</v>
      </c>
      <c r="AD83" s="395">
        <f t="shared" ca="1" si="74"/>
        <v>0</v>
      </c>
      <c r="AE83" s="395">
        <f t="shared" ca="1" si="74"/>
        <v>0</v>
      </c>
      <c r="AF83" s="395">
        <f t="shared" ca="1" si="74"/>
        <v>0</v>
      </c>
      <c r="AG83" s="395">
        <f t="shared" ca="1" si="74"/>
        <v>0</v>
      </c>
      <c r="AH83" s="395">
        <f t="shared" ca="1" si="74"/>
        <v>0</v>
      </c>
      <c r="AI83" s="395">
        <f t="shared" ca="1" si="74"/>
        <v>0</v>
      </c>
      <c r="AJ83" s="395">
        <f t="shared" ca="1" si="74"/>
        <v>0</v>
      </c>
      <c r="AK83" s="395">
        <f t="shared" ca="1" si="74"/>
        <v>0</v>
      </c>
      <c r="AL83" s="395">
        <f t="shared" ca="1" si="74"/>
        <v>0</v>
      </c>
      <c r="AM83" s="395">
        <f t="shared" ca="1" si="74"/>
        <v>0</v>
      </c>
      <c r="AN83" s="395">
        <f t="shared" ca="1" si="74"/>
        <v>0</v>
      </c>
      <c r="AO83" s="395">
        <f t="shared" ca="1" si="74"/>
        <v>-14030267.817471253</v>
      </c>
      <c r="AP83" s="395">
        <f t="shared" ca="1" si="74"/>
        <v>0</v>
      </c>
      <c r="AQ83" s="395">
        <f t="shared" ca="1" si="74"/>
        <v>0</v>
      </c>
      <c r="AR83" s="395">
        <f t="shared" ca="1" si="74"/>
        <v>0</v>
      </c>
      <c r="AS83" s="395">
        <f t="shared" ca="1" si="74"/>
        <v>0</v>
      </c>
      <c r="AT83" s="395">
        <f t="shared" ca="1" si="74"/>
        <v>0</v>
      </c>
      <c r="AU83" s="395">
        <f t="shared" ca="1" si="74"/>
        <v>0</v>
      </c>
      <c r="AV83" s="395">
        <f t="shared" ca="1" si="74"/>
        <v>0</v>
      </c>
      <c r="AW83" s="395">
        <f t="shared" ca="1" si="74"/>
        <v>0</v>
      </c>
      <c r="AX83" s="395">
        <f t="shared" ca="1" si="74"/>
        <v>0</v>
      </c>
      <c r="AY83" s="395">
        <f t="shared" ca="1" si="74"/>
        <v>0</v>
      </c>
      <c r="AZ83" s="395">
        <f t="shared" ca="1" si="74"/>
        <v>0</v>
      </c>
      <c r="BA83" s="395">
        <f t="shared" ca="1" si="74"/>
        <v>0</v>
      </c>
      <c r="BB83" s="395">
        <f t="shared" ca="1" si="74"/>
        <v>0</v>
      </c>
      <c r="BC83" s="395">
        <f t="shared" ca="1" si="74"/>
        <v>0</v>
      </c>
      <c r="BD83" s="395">
        <f t="shared" ca="1" si="74"/>
        <v>0</v>
      </c>
      <c r="BE83" s="395">
        <f t="shared" ca="1" si="74"/>
        <v>0</v>
      </c>
      <c r="BF83" s="395">
        <f t="shared" ca="1" si="74"/>
        <v>0</v>
      </c>
      <c r="BG83" s="395">
        <f t="shared" ca="1" si="74"/>
        <v>0</v>
      </c>
      <c r="BH83" s="395">
        <f t="shared" ca="1" si="74"/>
        <v>0</v>
      </c>
      <c r="BI83" s="395">
        <f t="shared" ca="1" si="74"/>
        <v>0</v>
      </c>
      <c r="BJ83" s="395">
        <f t="shared" ca="1" si="74"/>
        <v>0</v>
      </c>
      <c r="BK83" s="395">
        <f t="shared" ca="1" si="74"/>
        <v>0</v>
      </c>
      <c r="BL83" s="395">
        <f t="shared" ca="1" si="74"/>
        <v>0</v>
      </c>
      <c r="BM83" s="395">
        <f t="shared" ca="1" si="74"/>
        <v>0</v>
      </c>
      <c r="BN83" s="395">
        <f t="shared" ca="1" si="74"/>
        <v>0</v>
      </c>
      <c r="BO83" s="395">
        <f t="shared" ca="1" si="74"/>
        <v>0</v>
      </c>
      <c r="BP83" s="395">
        <f t="shared" ca="1" si="74"/>
        <v>0</v>
      </c>
      <c r="BQ83" s="395">
        <f t="shared" ca="1" si="74"/>
        <v>0</v>
      </c>
      <c r="BR83" s="395">
        <f t="shared" ref="BR83:CK83" ca="1" si="75">-BR39</f>
        <v>0</v>
      </c>
      <c r="BS83" s="395">
        <f t="shared" ca="1" si="75"/>
        <v>0</v>
      </c>
      <c r="BT83" s="395">
        <f t="shared" ca="1" si="75"/>
        <v>0</v>
      </c>
      <c r="BU83" s="395">
        <f t="shared" ca="1" si="75"/>
        <v>0</v>
      </c>
      <c r="BV83" s="395">
        <f t="shared" ca="1" si="75"/>
        <v>0</v>
      </c>
      <c r="BW83" s="395">
        <f t="shared" ca="1" si="75"/>
        <v>0</v>
      </c>
      <c r="BX83" s="395">
        <f t="shared" ca="1" si="75"/>
        <v>0</v>
      </c>
      <c r="BY83" s="395">
        <f t="shared" ca="1" si="75"/>
        <v>0</v>
      </c>
      <c r="BZ83" s="395">
        <f t="shared" ca="1" si="75"/>
        <v>0</v>
      </c>
      <c r="CA83" s="395">
        <f t="shared" ca="1" si="75"/>
        <v>0</v>
      </c>
      <c r="CB83" s="395">
        <f t="shared" ca="1" si="75"/>
        <v>0</v>
      </c>
      <c r="CC83" s="395">
        <f t="shared" ca="1" si="75"/>
        <v>0</v>
      </c>
      <c r="CD83" s="395">
        <f t="shared" ca="1" si="75"/>
        <v>0</v>
      </c>
      <c r="CE83" s="395">
        <f t="shared" ca="1" si="75"/>
        <v>0</v>
      </c>
      <c r="CF83" s="395">
        <f t="shared" ca="1" si="75"/>
        <v>0</v>
      </c>
      <c r="CG83" s="395">
        <f t="shared" ca="1" si="75"/>
        <v>0</v>
      </c>
      <c r="CH83" s="395">
        <f t="shared" ca="1" si="75"/>
        <v>0</v>
      </c>
      <c r="CI83" s="395">
        <f t="shared" ca="1" si="75"/>
        <v>0</v>
      </c>
      <c r="CJ83" s="395">
        <f t="shared" ca="1" si="75"/>
        <v>0</v>
      </c>
      <c r="CK83" s="395">
        <f t="shared" ca="1" si="75"/>
        <v>0</v>
      </c>
      <c r="CL83" s="133" t="s">
        <v>15</v>
      </c>
    </row>
    <row r="84" spans="2:90" s="133" customFormat="1" ht="15" customHeight="1" outlineLevel="1" x14ac:dyDescent="0.2">
      <c r="B84" s="133" t="s">
        <v>271</v>
      </c>
      <c r="E84" s="395">
        <f ca="1">-E63</f>
        <v>0</v>
      </c>
      <c r="F84" s="395">
        <f t="shared" ref="F84:BQ84" ca="1" si="76">-F63</f>
        <v>0</v>
      </c>
      <c r="G84" s="395">
        <f t="shared" ca="1" si="76"/>
        <v>0</v>
      </c>
      <c r="H84" s="395">
        <f t="shared" ca="1" si="76"/>
        <v>0</v>
      </c>
      <c r="I84" s="395">
        <f t="shared" ca="1" si="76"/>
        <v>0</v>
      </c>
      <c r="J84" s="395">
        <f t="shared" ca="1" si="76"/>
        <v>0</v>
      </c>
      <c r="K84" s="395">
        <f t="shared" ca="1" si="76"/>
        <v>0</v>
      </c>
      <c r="L84" s="395">
        <f t="shared" ca="1" si="76"/>
        <v>0</v>
      </c>
      <c r="M84" s="395">
        <f t="shared" ca="1" si="76"/>
        <v>0</v>
      </c>
      <c r="N84" s="395">
        <f t="shared" ca="1" si="76"/>
        <v>0</v>
      </c>
      <c r="O84" s="395">
        <f t="shared" ca="1" si="76"/>
        <v>0</v>
      </c>
      <c r="P84" s="395">
        <f t="shared" ca="1" si="76"/>
        <v>0</v>
      </c>
      <c r="Q84" s="395">
        <f t="shared" ca="1" si="76"/>
        <v>0</v>
      </c>
      <c r="R84" s="395">
        <f t="shared" ca="1" si="76"/>
        <v>0</v>
      </c>
      <c r="S84" s="395">
        <f t="shared" ca="1" si="76"/>
        <v>0</v>
      </c>
      <c r="T84" s="395">
        <f t="shared" ca="1" si="76"/>
        <v>0</v>
      </c>
      <c r="U84" s="395">
        <f t="shared" ca="1" si="76"/>
        <v>0</v>
      </c>
      <c r="V84" s="395">
        <f t="shared" ca="1" si="76"/>
        <v>0</v>
      </c>
      <c r="W84" s="395">
        <f t="shared" ca="1" si="76"/>
        <v>0</v>
      </c>
      <c r="X84" s="395">
        <f t="shared" ca="1" si="76"/>
        <v>0</v>
      </c>
      <c r="Y84" s="395">
        <f t="shared" ca="1" si="76"/>
        <v>0</v>
      </c>
      <c r="Z84" s="395">
        <f t="shared" ca="1" si="76"/>
        <v>0</v>
      </c>
      <c r="AA84" s="395">
        <f t="shared" ca="1" si="76"/>
        <v>0</v>
      </c>
      <c r="AB84" s="395">
        <f t="shared" ca="1" si="76"/>
        <v>0</v>
      </c>
      <c r="AC84" s="395">
        <f t="shared" ca="1" si="76"/>
        <v>0</v>
      </c>
      <c r="AD84" s="395">
        <f t="shared" ca="1" si="76"/>
        <v>0</v>
      </c>
      <c r="AE84" s="395">
        <f t="shared" ca="1" si="76"/>
        <v>0</v>
      </c>
      <c r="AF84" s="395">
        <f t="shared" ca="1" si="76"/>
        <v>0</v>
      </c>
      <c r="AG84" s="395">
        <f t="shared" ca="1" si="76"/>
        <v>0</v>
      </c>
      <c r="AH84" s="395">
        <f t="shared" ca="1" si="76"/>
        <v>0</v>
      </c>
      <c r="AI84" s="395">
        <f t="shared" ca="1" si="76"/>
        <v>0</v>
      </c>
      <c r="AJ84" s="395">
        <f t="shared" ca="1" si="76"/>
        <v>0</v>
      </c>
      <c r="AK84" s="395">
        <f t="shared" ca="1" si="76"/>
        <v>0</v>
      </c>
      <c r="AL84" s="395">
        <f t="shared" ca="1" si="76"/>
        <v>0</v>
      </c>
      <c r="AM84" s="395">
        <f t="shared" ca="1" si="76"/>
        <v>0</v>
      </c>
      <c r="AN84" s="395">
        <f t="shared" ca="1" si="76"/>
        <v>0</v>
      </c>
      <c r="AO84" s="395">
        <f t="shared" ca="1" si="76"/>
        <v>0</v>
      </c>
      <c r="AP84" s="395">
        <f t="shared" ca="1" si="76"/>
        <v>0</v>
      </c>
      <c r="AQ84" s="395">
        <f t="shared" ca="1" si="76"/>
        <v>0</v>
      </c>
      <c r="AR84" s="395">
        <f t="shared" ca="1" si="76"/>
        <v>0</v>
      </c>
      <c r="AS84" s="395">
        <f t="shared" ca="1" si="76"/>
        <v>0</v>
      </c>
      <c r="AT84" s="395">
        <f t="shared" ca="1" si="76"/>
        <v>0</v>
      </c>
      <c r="AU84" s="395">
        <f t="shared" ca="1" si="76"/>
        <v>0</v>
      </c>
      <c r="AV84" s="395">
        <f t="shared" ca="1" si="76"/>
        <v>0</v>
      </c>
      <c r="AW84" s="395">
        <f t="shared" ca="1" si="76"/>
        <v>0</v>
      </c>
      <c r="AX84" s="395">
        <f t="shared" ca="1" si="76"/>
        <v>0</v>
      </c>
      <c r="AY84" s="395">
        <f t="shared" ca="1" si="76"/>
        <v>0</v>
      </c>
      <c r="AZ84" s="395">
        <f t="shared" ca="1" si="76"/>
        <v>0</v>
      </c>
      <c r="BA84" s="395">
        <f t="shared" ca="1" si="76"/>
        <v>0</v>
      </c>
      <c r="BB84" s="395">
        <f t="shared" ca="1" si="76"/>
        <v>0</v>
      </c>
      <c r="BC84" s="395">
        <f t="shared" ca="1" si="76"/>
        <v>0</v>
      </c>
      <c r="BD84" s="395">
        <f t="shared" ca="1" si="76"/>
        <v>0</v>
      </c>
      <c r="BE84" s="395">
        <f t="shared" ca="1" si="76"/>
        <v>0</v>
      </c>
      <c r="BF84" s="395">
        <f t="shared" ca="1" si="76"/>
        <v>0</v>
      </c>
      <c r="BG84" s="395">
        <f t="shared" ca="1" si="76"/>
        <v>0</v>
      </c>
      <c r="BH84" s="395">
        <f t="shared" ca="1" si="76"/>
        <v>0</v>
      </c>
      <c r="BI84" s="395">
        <f t="shared" ca="1" si="76"/>
        <v>0</v>
      </c>
      <c r="BJ84" s="395">
        <f t="shared" ca="1" si="76"/>
        <v>0</v>
      </c>
      <c r="BK84" s="395">
        <f t="shared" ca="1" si="76"/>
        <v>0</v>
      </c>
      <c r="BL84" s="395">
        <f t="shared" ca="1" si="76"/>
        <v>0</v>
      </c>
      <c r="BM84" s="395">
        <f t="shared" ca="1" si="76"/>
        <v>0</v>
      </c>
      <c r="BN84" s="395">
        <f t="shared" ca="1" si="76"/>
        <v>0</v>
      </c>
      <c r="BO84" s="395">
        <f t="shared" ca="1" si="76"/>
        <v>0</v>
      </c>
      <c r="BP84" s="395">
        <f t="shared" ca="1" si="76"/>
        <v>0</v>
      </c>
      <c r="BQ84" s="395">
        <f t="shared" ca="1" si="76"/>
        <v>0</v>
      </c>
      <c r="BR84" s="395">
        <f t="shared" ref="BR84:CK84" ca="1" si="77">-BR63</f>
        <v>0</v>
      </c>
      <c r="BS84" s="395">
        <f t="shared" ca="1" si="77"/>
        <v>0</v>
      </c>
      <c r="BT84" s="395">
        <f t="shared" ca="1" si="77"/>
        <v>0</v>
      </c>
      <c r="BU84" s="395">
        <f t="shared" ca="1" si="77"/>
        <v>0</v>
      </c>
      <c r="BV84" s="395">
        <f t="shared" ca="1" si="77"/>
        <v>0</v>
      </c>
      <c r="BW84" s="395">
        <f t="shared" ca="1" si="77"/>
        <v>0</v>
      </c>
      <c r="BX84" s="395">
        <f t="shared" ca="1" si="77"/>
        <v>0</v>
      </c>
      <c r="BY84" s="395">
        <f t="shared" ca="1" si="77"/>
        <v>0</v>
      </c>
      <c r="BZ84" s="395">
        <f t="shared" ca="1" si="77"/>
        <v>0</v>
      </c>
      <c r="CA84" s="395">
        <f t="shared" ca="1" si="77"/>
        <v>0</v>
      </c>
      <c r="CB84" s="395">
        <f t="shared" ca="1" si="77"/>
        <v>0</v>
      </c>
      <c r="CC84" s="395">
        <f t="shared" ca="1" si="77"/>
        <v>0</v>
      </c>
      <c r="CD84" s="395">
        <f t="shared" ca="1" si="77"/>
        <v>0</v>
      </c>
      <c r="CE84" s="395">
        <f t="shared" ca="1" si="77"/>
        <v>0</v>
      </c>
      <c r="CF84" s="395">
        <f t="shared" ca="1" si="77"/>
        <v>0</v>
      </c>
      <c r="CG84" s="395">
        <f t="shared" ca="1" si="77"/>
        <v>0</v>
      </c>
      <c r="CH84" s="395">
        <f t="shared" ca="1" si="77"/>
        <v>0</v>
      </c>
      <c r="CI84" s="395">
        <f t="shared" ca="1" si="77"/>
        <v>0</v>
      </c>
      <c r="CJ84" s="395">
        <f t="shared" ca="1" si="77"/>
        <v>0</v>
      </c>
      <c r="CK84" s="395">
        <f t="shared" ca="1" si="77"/>
        <v>0</v>
      </c>
      <c r="CL84" s="133" t="s">
        <v>15</v>
      </c>
    </row>
    <row r="85" spans="2:90" s="133" customFormat="1" ht="15" customHeight="1" outlineLevel="1" x14ac:dyDescent="0.2">
      <c r="B85" s="133" t="s">
        <v>275</v>
      </c>
      <c r="E85" s="395">
        <f t="shared" ref="E85:AJ85" ca="1" si="78">-MIN(SUM(E80:E84),E78*Tier3_CoInvestorPctCF_Case1)</f>
        <v>0</v>
      </c>
      <c r="F85" s="395">
        <f t="shared" ca="1" si="78"/>
        <v>0</v>
      </c>
      <c r="G85" s="395">
        <f t="shared" ca="1" si="78"/>
        <v>0</v>
      </c>
      <c r="H85" s="395">
        <f t="shared" ca="1" si="78"/>
        <v>0</v>
      </c>
      <c r="I85" s="395">
        <f t="shared" ca="1" si="78"/>
        <v>0</v>
      </c>
      <c r="J85" s="395">
        <f t="shared" ca="1" si="78"/>
        <v>0</v>
      </c>
      <c r="K85" s="395">
        <f t="shared" ca="1" si="78"/>
        <v>0</v>
      </c>
      <c r="L85" s="395">
        <f t="shared" ca="1" si="78"/>
        <v>0</v>
      </c>
      <c r="M85" s="395">
        <f t="shared" ca="1" si="78"/>
        <v>0</v>
      </c>
      <c r="N85" s="395">
        <f t="shared" ca="1" si="78"/>
        <v>0</v>
      </c>
      <c r="O85" s="395">
        <f t="shared" ca="1" si="78"/>
        <v>0</v>
      </c>
      <c r="P85" s="395">
        <f t="shared" ca="1" si="78"/>
        <v>0</v>
      </c>
      <c r="Q85" s="395">
        <f t="shared" ca="1" si="78"/>
        <v>0</v>
      </c>
      <c r="R85" s="395">
        <f t="shared" ca="1" si="78"/>
        <v>0</v>
      </c>
      <c r="S85" s="395">
        <f t="shared" ca="1" si="78"/>
        <v>0</v>
      </c>
      <c r="T85" s="395">
        <f t="shared" ca="1" si="78"/>
        <v>0</v>
      </c>
      <c r="U85" s="395">
        <f t="shared" ca="1" si="78"/>
        <v>0</v>
      </c>
      <c r="V85" s="395">
        <f t="shared" ca="1" si="78"/>
        <v>0</v>
      </c>
      <c r="W85" s="395">
        <f t="shared" ca="1" si="78"/>
        <v>0</v>
      </c>
      <c r="X85" s="395">
        <f t="shared" ca="1" si="78"/>
        <v>0</v>
      </c>
      <c r="Y85" s="395">
        <f t="shared" ca="1" si="78"/>
        <v>0</v>
      </c>
      <c r="Z85" s="395">
        <f t="shared" ca="1" si="78"/>
        <v>0</v>
      </c>
      <c r="AA85" s="395">
        <f t="shared" ca="1" si="78"/>
        <v>0</v>
      </c>
      <c r="AB85" s="395">
        <f t="shared" ca="1" si="78"/>
        <v>0</v>
      </c>
      <c r="AC85" s="395">
        <f t="shared" ca="1" si="78"/>
        <v>0</v>
      </c>
      <c r="AD85" s="395">
        <f t="shared" ca="1" si="78"/>
        <v>0</v>
      </c>
      <c r="AE85" s="395">
        <f t="shared" ca="1" si="78"/>
        <v>0</v>
      </c>
      <c r="AF85" s="395">
        <f t="shared" ca="1" si="78"/>
        <v>0</v>
      </c>
      <c r="AG85" s="395">
        <f t="shared" ca="1" si="78"/>
        <v>0</v>
      </c>
      <c r="AH85" s="395">
        <f t="shared" ca="1" si="78"/>
        <v>0</v>
      </c>
      <c r="AI85" s="395">
        <f t="shared" ca="1" si="78"/>
        <v>0</v>
      </c>
      <c r="AJ85" s="395">
        <f t="shared" ca="1" si="78"/>
        <v>0</v>
      </c>
      <c r="AK85" s="395">
        <f t="shared" ref="AK85:BP85" ca="1" si="79">-MIN(SUM(AK80:AK84),AK78*Tier3_CoInvestorPctCF_Case1)</f>
        <v>0</v>
      </c>
      <c r="AL85" s="395">
        <f t="shared" ca="1" si="79"/>
        <v>0</v>
      </c>
      <c r="AM85" s="395">
        <f t="shared" ca="1" si="79"/>
        <v>0</v>
      </c>
      <c r="AN85" s="395">
        <f t="shared" ca="1" si="79"/>
        <v>0</v>
      </c>
      <c r="AO85" s="395">
        <f t="shared" ca="1" si="79"/>
        <v>-1683632.1380965468</v>
      </c>
      <c r="AP85" s="395">
        <f t="shared" ca="1" si="79"/>
        <v>0</v>
      </c>
      <c r="AQ85" s="395">
        <f t="shared" ca="1" si="79"/>
        <v>0</v>
      </c>
      <c r="AR85" s="395">
        <f t="shared" ca="1" si="79"/>
        <v>0</v>
      </c>
      <c r="AS85" s="395">
        <f t="shared" ca="1" si="79"/>
        <v>0</v>
      </c>
      <c r="AT85" s="395">
        <f t="shared" ca="1" si="79"/>
        <v>0</v>
      </c>
      <c r="AU85" s="395">
        <f t="shared" ca="1" si="79"/>
        <v>0</v>
      </c>
      <c r="AV85" s="395">
        <f t="shared" ca="1" si="79"/>
        <v>0</v>
      </c>
      <c r="AW85" s="395">
        <f t="shared" ca="1" si="79"/>
        <v>0</v>
      </c>
      <c r="AX85" s="395">
        <f t="shared" ca="1" si="79"/>
        <v>0</v>
      </c>
      <c r="AY85" s="395">
        <f t="shared" ca="1" si="79"/>
        <v>0</v>
      </c>
      <c r="AZ85" s="395">
        <f t="shared" ca="1" si="79"/>
        <v>0</v>
      </c>
      <c r="BA85" s="395">
        <f t="shared" ca="1" si="79"/>
        <v>0</v>
      </c>
      <c r="BB85" s="395">
        <f t="shared" ca="1" si="79"/>
        <v>0</v>
      </c>
      <c r="BC85" s="395">
        <f t="shared" ca="1" si="79"/>
        <v>0</v>
      </c>
      <c r="BD85" s="395">
        <f t="shared" ca="1" si="79"/>
        <v>0</v>
      </c>
      <c r="BE85" s="395">
        <f t="shared" ca="1" si="79"/>
        <v>0</v>
      </c>
      <c r="BF85" s="395">
        <f t="shared" ca="1" si="79"/>
        <v>0</v>
      </c>
      <c r="BG85" s="395">
        <f t="shared" ca="1" si="79"/>
        <v>0</v>
      </c>
      <c r="BH85" s="395">
        <f t="shared" ca="1" si="79"/>
        <v>0</v>
      </c>
      <c r="BI85" s="395">
        <f t="shared" ca="1" si="79"/>
        <v>0</v>
      </c>
      <c r="BJ85" s="395">
        <f t="shared" ca="1" si="79"/>
        <v>0</v>
      </c>
      <c r="BK85" s="395">
        <f t="shared" ca="1" si="79"/>
        <v>0</v>
      </c>
      <c r="BL85" s="395">
        <f t="shared" ca="1" si="79"/>
        <v>0</v>
      </c>
      <c r="BM85" s="395">
        <f t="shared" ca="1" si="79"/>
        <v>0</v>
      </c>
      <c r="BN85" s="395">
        <f t="shared" ca="1" si="79"/>
        <v>0</v>
      </c>
      <c r="BO85" s="395">
        <f t="shared" ca="1" si="79"/>
        <v>0</v>
      </c>
      <c r="BP85" s="395">
        <f t="shared" ca="1" si="79"/>
        <v>0</v>
      </c>
      <c r="BQ85" s="395">
        <f t="shared" ref="BQ85:CK85" ca="1" si="80">-MIN(SUM(BQ80:BQ84),BQ78*Tier3_CoInvestorPctCF_Case1)</f>
        <v>0</v>
      </c>
      <c r="BR85" s="395">
        <f t="shared" ca="1" si="80"/>
        <v>0</v>
      </c>
      <c r="BS85" s="395">
        <f t="shared" ca="1" si="80"/>
        <v>0</v>
      </c>
      <c r="BT85" s="395">
        <f t="shared" ca="1" si="80"/>
        <v>0</v>
      </c>
      <c r="BU85" s="395">
        <f t="shared" ca="1" si="80"/>
        <v>0</v>
      </c>
      <c r="BV85" s="395">
        <f t="shared" ca="1" si="80"/>
        <v>0</v>
      </c>
      <c r="BW85" s="395">
        <f t="shared" ca="1" si="80"/>
        <v>0</v>
      </c>
      <c r="BX85" s="395">
        <f t="shared" ca="1" si="80"/>
        <v>0</v>
      </c>
      <c r="BY85" s="395">
        <f t="shared" ca="1" si="80"/>
        <v>0</v>
      </c>
      <c r="BZ85" s="395">
        <f t="shared" ca="1" si="80"/>
        <v>0</v>
      </c>
      <c r="CA85" s="395">
        <f t="shared" ca="1" si="80"/>
        <v>0</v>
      </c>
      <c r="CB85" s="395">
        <f t="shared" ca="1" si="80"/>
        <v>0</v>
      </c>
      <c r="CC85" s="395">
        <f t="shared" ca="1" si="80"/>
        <v>0</v>
      </c>
      <c r="CD85" s="395">
        <f t="shared" ca="1" si="80"/>
        <v>0</v>
      </c>
      <c r="CE85" s="395">
        <f t="shared" ca="1" si="80"/>
        <v>0</v>
      </c>
      <c r="CF85" s="395">
        <f t="shared" ca="1" si="80"/>
        <v>0</v>
      </c>
      <c r="CG85" s="395">
        <f t="shared" ca="1" si="80"/>
        <v>0</v>
      </c>
      <c r="CH85" s="395">
        <f t="shared" ca="1" si="80"/>
        <v>0</v>
      </c>
      <c r="CI85" s="395">
        <f t="shared" ca="1" si="80"/>
        <v>0</v>
      </c>
      <c r="CJ85" s="395">
        <f t="shared" ca="1" si="80"/>
        <v>0</v>
      </c>
      <c r="CK85" s="395">
        <f t="shared" ca="1" si="80"/>
        <v>0</v>
      </c>
      <c r="CL85" s="133" t="s">
        <v>15</v>
      </c>
    </row>
    <row r="86" spans="2:90" s="133" customFormat="1" ht="15" customHeight="1" outlineLevel="1" x14ac:dyDescent="0.2">
      <c r="B86" s="133" t="s">
        <v>264</v>
      </c>
      <c r="E86" s="395">
        <f ca="1">SUM(E80:E85)</f>
        <v>10370649.303877201</v>
      </c>
      <c r="F86" s="395">
        <f t="shared" ref="F86:BQ86" ca="1" si="81">SUM(F80:F85)</f>
        <v>10770185.910963601</v>
      </c>
      <c r="G86" s="395">
        <f t="shared" ca="1" si="81"/>
        <v>11169984.123259202</v>
      </c>
      <c r="H86" s="395">
        <f t="shared" ca="1" si="81"/>
        <v>11599471.694196001</v>
      </c>
      <c r="I86" s="395">
        <f t="shared" ca="1" si="81"/>
        <v>12007169.660700001</v>
      </c>
      <c r="J86" s="395">
        <f t="shared" ca="1" si="81"/>
        <v>12353335.851564001</v>
      </c>
      <c r="K86" s="395">
        <f t="shared" ca="1" si="81"/>
        <v>12935994.220932001</v>
      </c>
      <c r="L86" s="395">
        <f t="shared" ca="1" si="81"/>
        <v>13823612.579772569</v>
      </c>
      <c r="M86" s="395">
        <f t="shared" ca="1" si="81"/>
        <v>14711816.596285706</v>
      </c>
      <c r="N86" s="395">
        <f t="shared" ca="1" si="81"/>
        <v>15448649.81404781</v>
      </c>
      <c r="O86" s="395">
        <f t="shared" ca="1" si="81"/>
        <v>15458851.742567809</v>
      </c>
      <c r="P86" s="395">
        <f t="shared" ca="1" si="81"/>
        <v>15469053.671087809</v>
      </c>
      <c r="Q86" s="395">
        <f t="shared" ca="1" si="81"/>
        <v>15479255.599607809</v>
      </c>
      <c r="R86" s="395">
        <f t="shared" ca="1" si="81"/>
        <v>15489457.528127808</v>
      </c>
      <c r="S86" s="395">
        <f t="shared" ca="1" si="81"/>
        <v>15499659.456647808</v>
      </c>
      <c r="T86" s="395">
        <f t="shared" ca="1" si="81"/>
        <v>15509861.385167807</v>
      </c>
      <c r="U86" s="395">
        <f t="shared" ca="1" si="81"/>
        <v>15520063.313687807</v>
      </c>
      <c r="V86" s="395">
        <f t="shared" ca="1" si="81"/>
        <v>15530265.242207807</v>
      </c>
      <c r="W86" s="395">
        <f t="shared" ca="1" si="81"/>
        <v>15540467.170727806</v>
      </c>
      <c r="X86" s="395">
        <f t="shared" ca="1" si="81"/>
        <v>15550669.099247806</v>
      </c>
      <c r="Y86" s="395">
        <f t="shared" ca="1" si="81"/>
        <v>15560871.027767805</v>
      </c>
      <c r="Z86" s="395">
        <f t="shared" ca="1" si="81"/>
        <v>15571072.956287805</v>
      </c>
      <c r="AA86" s="395">
        <f t="shared" ca="1" si="81"/>
        <v>15581274.884807805</v>
      </c>
      <c r="AB86" s="395">
        <f t="shared" ca="1" si="81"/>
        <v>15591476.813327804</v>
      </c>
      <c r="AC86" s="395">
        <f t="shared" ca="1" si="81"/>
        <v>15601678.741847804</v>
      </c>
      <c r="AD86" s="395">
        <f t="shared" ca="1" si="81"/>
        <v>15611880.670367803</v>
      </c>
      <c r="AE86" s="395">
        <f t="shared" ca="1" si="81"/>
        <v>15622082.598887803</v>
      </c>
      <c r="AF86" s="395">
        <f t="shared" ca="1" si="81"/>
        <v>15632284.527407803</v>
      </c>
      <c r="AG86" s="395">
        <f t="shared" ca="1" si="81"/>
        <v>15642486.455927802</v>
      </c>
      <c r="AH86" s="395">
        <f t="shared" ca="1" si="81"/>
        <v>15652688.384447802</v>
      </c>
      <c r="AI86" s="395">
        <f t="shared" ca="1" si="81"/>
        <v>15662890.312967801</v>
      </c>
      <c r="AJ86" s="395">
        <f t="shared" ca="1" si="81"/>
        <v>15673092.241487801</v>
      </c>
      <c r="AK86" s="395">
        <f t="shared" ca="1" si="81"/>
        <v>15683294.170007801</v>
      </c>
      <c r="AL86" s="395">
        <f t="shared" ca="1" si="81"/>
        <v>15693496.0985278</v>
      </c>
      <c r="AM86" s="395">
        <f t="shared" ca="1" si="81"/>
        <v>15703698.0270478</v>
      </c>
      <c r="AN86" s="395">
        <f t="shared" ca="1" si="81"/>
        <v>15713899.9555678</v>
      </c>
      <c r="AO86" s="395">
        <f t="shared" ca="1" si="81"/>
        <v>0</v>
      </c>
      <c r="AP86" s="395">
        <f t="shared" ca="1" si="81"/>
        <v>0</v>
      </c>
      <c r="AQ86" s="395">
        <f t="shared" ca="1" si="81"/>
        <v>0</v>
      </c>
      <c r="AR86" s="395">
        <f t="shared" ca="1" si="81"/>
        <v>0</v>
      </c>
      <c r="AS86" s="395">
        <f t="shared" ca="1" si="81"/>
        <v>0</v>
      </c>
      <c r="AT86" s="395">
        <f t="shared" ca="1" si="81"/>
        <v>0</v>
      </c>
      <c r="AU86" s="395">
        <f t="shared" ca="1" si="81"/>
        <v>0</v>
      </c>
      <c r="AV86" s="395">
        <f t="shared" ca="1" si="81"/>
        <v>0</v>
      </c>
      <c r="AW86" s="395">
        <f t="shared" ca="1" si="81"/>
        <v>0</v>
      </c>
      <c r="AX86" s="395">
        <f t="shared" ca="1" si="81"/>
        <v>0</v>
      </c>
      <c r="AY86" s="395">
        <f t="shared" ca="1" si="81"/>
        <v>0</v>
      </c>
      <c r="AZ86" s="395">
        <f t="shared" ca="1" si="81"/>
        <v>0</v>
      </c>
      <c r="BA86" s="395">
        <f t="shared" ca="1" si="81"/>
        <v>0</v>
      </c>
      <c r="BB86" s="395">
        <f t="shared" ca="1" si="81"/>
        <v>0</v>
      </c>
      <c r="BC86" s="395">
        <f t="shared" ca="1" si="81"/>
        <v>0</v>
      </c>
      <c r="BD86" s="395">
        <f t="shared" ca="1" si="81"/>
        <v>0</v>
      </c>
      <c r="BE86" s="395">
        <f t="shared" ca="1" si="81"/>
        <v>0</v>
      </c>
      <c r="BF86" s="395">
        <f t="shared" ca="1" si="81"/>
        <v>0</v>
      </c>
      <c r="BG86" s="395">
        <f t="shared" ca="1" si="81"/>
        <v>0</v>
      </c>
      <c r="BH86" s="395">
        <f t="shared" ca="1" si="81"/>
        <v>0</v>
      </c>
      <c r="BI86" s="395">
        <f t="shared" ca="1" si="81"/>
        <v>0</v>
      </c>
      <c r="BJ86" s="395">
        <f t="shared" ca="1" si="81"/>
        <v>0</v>
      </c>
      <c r="BK86" s="395">
        <f t="shared" ca="1" si="81"/>
        <v>0</v>
      </c>
      <c r="BL86" s="395">
        <f t="shared" ca="1" si="81"/>
        <v>0</v>
      </c>
      <c r="BM86" s="395">
        <f t="shared" ca="1" si="81"/>
        <v>0</v>
      </c>
      <c r="BN86" s="395">
        <f t="shared" ca="1" si="81"/>
        <v>0</v>
      </c>
      <c r="BO86" s="395">
        <f t="shared" ca="1" si="81"/>
        <v>0</v>
      </c>
      <c r="BP86" s="395">
        <f t="shared" ca="1" si="81"/>
        <v>0</v>
      </c>
      <c r="BQ86" s="395">
        <f t="shared" ca="1" si="81"/>
        <v>0</v>
      </c>
      <c r="BR86" s="395">
        <f t="shared" ref="BR86:CK86" ca="1" si="82">SUM(BR80:BR85)</f>
        <v>0</v>
      </c>
      <c r="BS86" s="395">
        <f t="shared" ca="1" si="82"/>
        <v>0</v>
      </c>
      <c r="BT86" s="395">
        <f t="shared" ca="1" si="82"/>
        <v>0</v>
      </c>
      <c r="BU86" s="395">
        <f t="shared" ca="1" si="82"/>
        <v>0</v>
      </c>
      <c r="BV86" s="395">
        <f t="shared" ca="1" si="82"/>
        <v>0</v>
      </c>
      <c r="BW86" s="395">
        <f t="shared" ca="1" si="82"/>
        <v>0</v>
      </c>
      <c r="BX86" s="395">
        <f t="shared" ca="1" si="82"/>
        <v>0</v>
      </c>
      <c r="BY86" s="395">
        <f t="shared" ca="1" si="82"/>
        <v>0</v>
      </c>
      <c r="BZ86" s="395">
        <f t="shared" ca="1" si="82"/>
        <v>0</v>
      </c>
      <c r="CA86" s="395">
        <f t="shared" ca="1" si="82"/>
        <v>0</v>
      </c>
      <c r="CB86" s="395">
        <f t="shared" ca="1" si="82"/>
        <v>0</v>
      </c>
      <c r="CC86" s="395">
        <f t="shared" ca="1" si="82"/>
        <v>0</v>
      </c>
      <c r="CD86" s="395">
        <f t="shared" ca="1" si="82"/>
        <v>0</v>
      </c>
      <c r="CE86" s="395">
        <f t="shared" ca="1" si="82"/>
        <v>0</v>
      </c>
      <c r="CF86" s="395">
        <f t="shared" ca="1" si="82"/>
        <v>0</v>
      </c>
      <c r="CG86" s="395">
        <f t="shared" ca="1" si="82"/>
        <v>0</v>
      </c>
      <c r="CH86" s="395">
        <f t="shared" ca="1" si="82"/>
        <v>0</v>
      </c>
      <c r="CI86" s="395">
        <f t="shared" ca="1" si="82"/>
        <v>0</v>
      </c>
      <c r="CJ86" s="395">
        <f t="shared" ca="1" si="82"/>
        <v>0</v>
      </c>
      <c r="CK86" s="395">
        <f t="shared" ca="1" si="82"/>
        <v>0</v>
      </c>
      <c r="CL86" s="133" t="s">
        <v>15</v>
      </c>
    </row>
    <row r="87" spans="2:90" s="133" customFormat="1" ht="15" customHeight="1" outlineLevel="1" x14ac:dyDescent="0.2"/>
    <row r="88" spans="2:90" s="133" customFormat="1" ht="15" customHeight="1" outlineLevel="1" x14ac:dyDescent="0.2">
      <c r="B88" s="133" t="s">
        <v>283</v>
      </c>
      <c r="E88" s="395">
        <f ca="1">-E85</f>
        <v>0</v>
      </c>
      <c r="F88" s="395">
        <f t="shared" ref="F88:BQ88" ca="1" si="83">-F85</f>
        <v>0</v>
      </c>
      <c r="G88" s="395">
        <f t="shared" ca="1" si="83"/>
        <v>0</v>
      </c>
      <c r="H88" s="395">
        <f t="shared" ca="1" si="83"/>
        <v>0</v>
      </c>
      <c r="I88" s="395">
        <f t="shared" ca="1" si="83"/>
        <v>0</v>
      </c>
      <c r="J88" s="395">
        <f t="shared" ca="1" si="83"/>
        <v>0</v>
      </c>
      <c r="K88" s="395">
        <f t="shared" ca="1" si="83"/>
        <v>0</v>
      </c>
      <c r="L88" s="395">
        <f t="shared" ca="1" si="83"/>
        <v>0</v>
      </c>
      <c r="M88" s="395">
        <f t="shared" ca="1" si="83"/>
        <v>0</v>
      </c>
      <c r="N88" s="395">
        <f t="shared" ca="1" si="83"/>
        <v>0</v>
      </c>
      <c r="O88" s="395">
        <f t="shared" ca="1" si="83"/>
        <v>0</v>
      </c>
      <c r="P88" s="395">
        <f t="shared" ca="1" si="83"/>
        <v>0</v>
      </c>
      <c r="Q88" s="395">
        <f t="shared" ca="1" si="83"/>
        <v>0</v>
      </c>
      <c r="R88" s="395">
        <f t="shared" ca="1" si="83"/>
        <v>0</v>
      </c>
      <c r="S88" s="395">
        <f t="shared" ca="1" si="83"/>
        <v>0</v>
      </c>
      <c r="T88" s="395">
        <f t="shared" ca="1" si="83"/>
        <v>0</v>
      </c>
      <c r="U88" s="395">
        <f t="shared" ca="1" si="83"/>
        <v>0</v>
      </c>
      <c r="V88" s="395">
        <f t="shared" ca="1" si="83"/>
        <v>0</v>
      </c>
      <c r="W88" s="395">
        <f t="shared" ca="1" si="83"/>
        <v>0</v>
      </c>
      <c r="X88" s="395">
        <f t="shared" ca="1" si="83"/>
        <v>0</v>
      </c>
      <c r="Y88" s="395">
        <f t="shared" ca="1" si="83"/>
        <v>0</v>
      </c>
      <c r="Z88" s="395">
        <f t="shared" ca="1" si="83"/>
        <v>0</v>
      </c>
      <c r="AA88" s="395">
        <f t="shared" ca="1" si="83"/>
        <v>0</v>
      </c>
      <c r="AB88" s="395">
        <f t="shared" ca="1" si="83"/>
        <v>0</v>
      </c>
      <c r="AC88" s="395">
        <f t="shared" ca="1" si="83"/>
        <v>0</v>
      </c>
      <c r="AD88" s="395">
        <f t="shared" ca="1" si="83"/>
        <v>0</v>
      </c>
      <c r="AE88" s="395">
        <f t="shared" ca="1" si="83"/>
        <v>0</v>
      </c>
      <c r="AF88" s="395">
        <f t="shared" ca="1" si="83"/>
        <v>0</v>
      </c>
      <c r="AG88" s="395">
        <f t="shared" ca="1" si="83"/>
        <v>0</v>
      </c>
      <c r="AH88" s="395">
        <f t="shared" ca="1" si="83"/>
        <v>0</v>
      </c>
      <c r="AI88" s="395">
        <f t="shared" ca="1" si="83"/>
        <v>0</v>
      </c>
      <c r="AJ88" s="395">
        <f t="shared" ca="1" si="83"/>
        <v>0</v>
      </c>
      <c r="AK88" s="395">
        <f t="shared" ca="1" si="83"/>
        <v>0</v>
      </c>
      <c r="AL88" s="395">
        <f t="shared" ca="1" si="83"/>
        <v>0</v>
      </c>
      <c r="AM88" s="395">
        <f t="shared" ca="1" si="83"/>
        <v>0</v>
      </c>
      <c r="AN88" s="395">
        <f t="shared" ca="1" si="83"/>
        <v>0</v>
      </c>
      <c r="AO88" s="395">
        <f t="shared" ca="1" si="83"/>
        <v>1683632.1380965468</v>
      </c>
      <c r="AP88" s="395">
        <f t="shared" ca="1" si="83"/>
        <v>0</v>
      </c>
      <c r="AQ88" s="395">
        <f t="shared" ca="1" si="83"/>
        <v>0</v>
      </c>
      <c r="AR88" s="395">
        <f t="shared" ca="1" si="83"/>
        <v>0</v>
      </c>
      <c r="AS88" s="395">
        <f t="shared" ca="1" si="83"/>
        <v>0</v>
      </c>
      <c r="AT88" s="395">
        <f t="shared" ca="1" si="83"/>
        <v>0</v>
      </c>
      <c r="AU88" s="395">
        <f t="shared" ca="1" si="83"/>
        <v>0</v>
      </c>
      <c r="AV88" s="395">
        <f t="shared" ca="1" si="83"/>
        <v>0</v>
      </c>
      <c r="AW88" s="395">
        <f t="shared" ca="1" si="83"/>
        <v>0</v>
      </c>
      <c r="AX88" s="395">
        <f t="shared" ca="1" si="83"/>
        <v>0</v>
      </c>
      <c r="AY88" s="395">
        <f t="shared" ca="1" si="83"/>
        <v>0</v>
      </c>
      <c r="AZ88" s="395">
        <f t="shared" ca="1" si="83"/>
        <v>0</v>
      </c>
      <c r="BA88" s="395">
        <f t="shared" ca="1" si="83"/>
        <v>0</v>
      </c>
      <c r="BB88" s="395">
        <f t="shared" ca="1" si="83"/>
        <v>0</v>
      </c>
      <c r="BC88" s="395">
        <f t="shared" ca="1" si="83"/>
        <v>0</v>
      </c>
      <c r="BD88" s="395">
        <f t="shared" ca="1" si="83"/>
        <v>0</v>
      </c>
      <c r="BE88" s="395">
        <f t="shared" ca="1" si="83"/>
        <v>0</v>
      </c>
      <c r="BF88" s="395">
        <f t="shared" ca="1" si="83"/>
        <v>0</v>
      </c>
      <c r="BG88" s="395">
        <f t="shared" ca="1" si="83"/>
        <v>0</v>
      </c>
      <c r="BH88" s="395">
        <f t="shared" ca="1" si="83"/>
        <v>0</v>
      </c>
      <c r="BI88" s="395">
        <f t="shared" ca="1" si="83"/>
        <v>0</v>
      </c>
      <c r="BJ88" s="395">
        <f t="shared" ca="1" si="83"/>
        <v>0</v>
      </c>
      <c r="BK88" s="395">
        <f t="shared" ca="1" si="83"/>
        <v>0</v>
      </c>
      <c r="BL88" s="395">
        <f t="shared" ca="1" si="83"/>
        <v>0</v>
      </c>
      <c r="BM88" s="395">
        <f t="shared" ca="1" si="83"/>
        <v>0</v>
      </c>
      <c r="BN88" s="395">
        <f t="shared" ca="1" si="83"/>
        <v>0</v>
      </c>
      <c r="BO88" s="395">
        <f t="shared" ca="1" si="83"/>
        <v>0</v>
      </c>
      <c r="BP88" s="395">
        <f t="shared" ca="1" si="83"/>
        <v>0</v>
      </c>
      <c r="BQ88" s="395">
        <f t="shared" ca="1" si="83"/>
        <v>0</v>
      </c>
      <c r="BR88" s="395">
        <f t="shared" ref="BR88:CK88" ca="1" si="84">-BR85</f>
        <v>0</v>
      </c>
      <c r="BS88" s="395">
        <f t="shared" ca="1" si="84"/>
        <v>0</v>
      </c>
      <c r="BT88" s="395">
        <f t="shared" ca="1" si="84"/>
        <v>0</v>
      </c>
      <c r="BU88" s="395">
        <f t="shared" ca="1" si="84"/>
        <v>0</v>
      </c>
      <c r="BV88" s="395">
        <f t="shared" ca="1" si="84"/>
        <v>0</v>
      </c>
      <c r="BW88" s="395">
        <f t="shared" ca="1" si="84"/>
        <v>0</v>
      </c>
      <c r="BX88" s="395">
        <f t="shared" ca="1" si="84"/>
        <v>0</v>
      </c>
      <c r="BY88" s="395">
        <f t="shared" ca="1" si="84"/>
        <v>0</v>
      </c>
      <c r="BZ88" s="395">
        <f t="shared" ca="1" si="84"/>
        <v>0</v>
      </c>
      <c r="CA88" s="395">
        <f t="shared" ca="1" si="84"/>
        <v>0</v>
      </c>
      <c r="CB88" s="395">
        <f t="shared" ca="1" si="84"/>
        <v>0</v>
      </c>
      <c r="CC88" s="395">
        <f t="shared" ca="1" si="84"/>
        <v>0</v>
      </c>
      <c r="CD88" s="395">
        <f t="shared" ca="1" si="84"/>
        <v>0</v>
      </c>
      <c r="CE88" s="395">
        <f t="shared" ca="1" si="84"/>
        <v>0</v>
      </c>
      <c r="CF88" s="395">
        <f t="shared" ca="1" si="84"/>
        <v>0</v>
      </c>
      <c r="CG88" s="395">
        <f t="shared" ca="1" si="84"/>
        <v>0</v>
      </c>
      <c r="CH88" s="395">
        <f t="shared" ca="1" si="84"/>
        <v>0</v>
      </c>
      <c r="CI88" s="395">
        <f t="shared" ca="1" si="84"/>
        <v>0</v>
      </c>
      <c r="CJ88" s="395">
        <f t="shared" ca="1" si="84"/>
        <v>0</v>
      </c>
      <c r="CK88" s="395">
        <f t="shared" ca="1" si="84"/>
        <v>0</v>
      </c>
      <c r="CL88" s="133" t="s">
        <v>15</v>
      </c>
    </row>
    <row r="89" spans="2:90" s="133" customFormat="1" ht="15" customHeight="1" outlineLevel="1" x14ac:dyDescent="0.2">
      <c r="B89" s="133" t="s">
        <v>284</v>
      </c>
      <c r="E89" s="395">
        <f t="shared" ref="E89:AJ89" ca="1" si="85">E88*Tier3_SponsorPctCF_Case1/Tier3_CoInvestorPctCF_Case1</f>
        <v>0</v>
      </c>
      <c r="F89" s="395">
        <f t="shared" ca="1" si="85"/>
        <v>0</v>
      </c>
      <c r="G89" s="395">
        <f t="shared" ca="1" si="85"/>
        <v>0</v>
      </c>
      <c r="H89" s="395">
        <f t="shared" ca="1" si="85"/>
        <v>0</v>
      </c>
      <c r="I89" s="395">
        <f t="shared" ca="1" si="85"/>
        <v>0</v>
      </c>
      <c r="J89" s="395">
        <f t="shared" ca="1" si="85"/>
        <v>0</v>
      </c>
      <c r="K89" s="395">
        <f t="shared" ca="1" si="85"/>
        <v>0</v>
      </c>
      <c r="L89" s="395">
        <f t="shared" ca="1" si="85"/>
        <v>0</v>
      </c>
      <c r="M89" s="395">
        <f t="shared" ca="1" si="85"/>
        <v>0</v>
      </c>
      <c r="N89" s="395">
        <f t="shared" ca="1" si="85"/>
        <v>0</v>
      </c>
      <c r="O89" s="395">
        <f t="shared" ca="1" si="85"/>
        <v>0</v>
      </c>
      <c r="P89" s="395">
        <f t="shared" ca="1" si="85"/>
        <v>0</v>
      </c>
      <c r="Q89" s="395">
        <f t="shared" ca="1" si="85"/>
        <v>0</v>
      </c>
      <c r="R89" s="395">
        <f t="shared" ca="1" si="85"/>
        <v>0</v>
      </c>
      <c r="S89" s="395">
        <f t="shared" ca="1" si="85"/>
        <v>0</v>
      </c>
      <c r="T89" s="395">
        <f t="shared" ca="1" si="85"/>
        <v>0</v>
      </c>
      <c r="U89" s="395">
        <f t="shared" ca="1" si="85"/>
        <v>0</v>
      </c>
      <c r="V89" s="395">
        <f t="shared" ca="1" si="85"/>
        <v>0</v>
      </c>
      <c r="W89" s="395">
        <f t="shared" ca="1" si="85"/>
        <v>0</v>
      </c>
      <c r="X89" s="395">
        <f t="shared" ca="1" si="85"/>
        <v>0</v>
      </c>
      <c r="Y89" s="395">
        <f t="shared" ca="1" si="85"/>
        <v>0</v>
      </c>
      <c r="Z89" s="395">
        <f t="shared" ca="1" si="85"/>
        <v>0</v>
      </c>
      <c r="AA89" s="395">
        <f t="shared" ca="1" si="85"/>
        <v>0</v>
      </c>
      <c r="AB89" s="395">
        <f t="shared" ca="1" si="85"/>
        <v>0</v>
      </c>
      <c r="AC89" s="395">
        <f t="shared" ca="1" si="85"/>
        <v>0</v>
      </c>
      <c r="AD89" s="395">
        <f t="shared" ca="1" si="85"/>
        <v>0</v>
      </c>
      <c r="AE89" s="395">
        <f t="shared" ca="1" si="85"/>
        <v>0</v>
      </c>
      <c r="AF89" s="395">
        <f t="shared" ca="1" si="85"/>
        <v>0</v>
      </c>
      <c r="AG89" s="395">
        <f t="shared" ca="1" si="85"/>
        <v>0</v>
      </c>
      <c r="AH89" s="395">
        <f t="shared" ca="1" si="85"/>
        <v>0</v>
      </c>
      <c r="AI89" s="395">
        <f t="shared" ca="1" si="85"/>
        <v>0</v>
      </c>
      <c r="AJ89" s="395">
        <f t="shared" ca="1" si="85"/>
        <v>0</v>
      </c>
      <c r="AK89" s="395">
        <f t="shared" ref="AK89:BP89" ca="1" si="86">AK88*Tier3_SponsorPctCF_Case1/Tier3_CoInvestorPctCF_Case1</f>
        <v>0</v>
      </c>
      <c r="AL89" s="395">
        <f t="shared" ca="1" si="86"/>
        <v>0</v>
      </c>
      <c r="AM89" s="395">
        <f t="shared" ca="1" si="86"/>
        <v>0</v>
      </c>
      <c r="AN89" s="395">
        <f t="shared" ca="1" si="86"/>
        <v>0</v>
      </c>
      <c r="AO89" s="395">
        <f t="shared" ca="1" si="86"/>
        <v>1683632.1380965468</v>
      </c>
      <c r="AP89" s="395">
        <f t="shared" ca="1" si="86"/>
        <v>0</v>
      </c>
      <c r="AQ89" s="395">
        <f t="shared" ca="1" si="86"/>
        <v>0</v>
      </c>
      <c r="AR89" s="395">
        <f t="shared" ca="1" si="86"/>
        <v>0</v>
      </c>
      <c r="AS89" s="395">
        <f t="shared" ca="1" si="86"/>
        <v>0</v>
      </c>
      <c r="AT89" s="395">
        <f t="shared" ca="1" si="86"/>
        <v>0</v>
      </c>
      <c r="AU89" s="395">
        <f t="shared" ca="1" si="86"/>
        <v>0</v>
      </c>
      <c r="AV89" s="395">
        <f t="shared" ca="1" si="86"/>
        <v>0</v>
      </c>
      <c r="AW89" s="395">
        <f t="shared" ca="1" si="86"/>
        <v>0</v>
      </c>
      <c r="AX89" s="395">
        <f t="shared" ca="1" si="86"/>
        <v>0</v>
      </c>
      <c r="AY89" s="395">
        <f t="shared" ca="1" si="86"/>
        <v>0</v>
      </c>
      <c r="AZ89" s="395">
        <f t="shared" ca="1" si="86"/>
        <v>0</v>
      </c>
      <c r="BA89" s="395">
        <f t="shared" ca="1" si="86"/>
        <v>0</v>
      </c>
      <c r="BB89" s="395">
        <f t="shared" ca="1" si="86"/>
        <v>0</v>
      </c>
      <c r="BC89" s="395">
        <f t="shared" ca="1" si="86"/>
        <v>0</v>
      </c>
      <c r="BD89" s="395">
        <f t="shared" ca="1" si="86"/>
        <v>0</v>
      </c>
      <c r="BE89" s="395">
        <f t="shared" ca="1" si="86"/>
        <v>0</v>
      </c>
      <c r="BF89" s="395">
        <f t="shared" ca="1" si="86"/>
        <v>0</v>
      </c>
      <c r="BG89" s="395">
        <f t="shared" ca="1" si="86"/>
        <v>0</v>
      </c>
      <c r="BH89" s="395">
        <f t="shared" ca="1" si="86"/>
        <v>0</v>
      </c>
      <c r="BI89" s="395">
        <f t="shared" ca="1" si="86"/>
        <v>0</v>
      </c>
      <c r="BJ89" s="395">
        <f t="shared" ca="1" si="86"/>
        <v>0</v>
      </c>
      <c r="BK89" s="395">
        <f t="shared" ca="1" si="86"/>
        <v>0</v>
      </c>
      <c r="BL89" s="395">
        <f t="shared" ca="1" si="86"/>
        <v>0</v>
      </c>
      <c r="BM89" s="395">
        <f t="shared" ca="1" si="86"/>
        <v>0</v>
      </c>
      <c r="BN89" s="395">
        <f t="shared" ca="1" si="86"/>
        <v>0</v>
      </c>
      <c r="BO89" s="395">
        <f t="shared" ca="1" si="86"/>
        <v>0</v>
      </c>
      <c r="BP89" s="395">
        <f t="shared" ca="1" si="86"/>
        <v>0</v>
      </c>
      <c r="BQ89" s="395">
        <f t="shared" ref="BQ89:CK89" ca="1" si="87">BQ88*Tier3_SponsorPctCF_Case1/Tier3_CoInvestorPctCF_Case1</f>
        <v>0</v>
      </c>
      <c r="BR89" s="395">
        <f t="shared" ca="1" si="87"/>
        <v>0</v>
      </c>
      <c r="BS89" s="395">
        <f t="shared" ca="1" si="87"/>
        <v>0</v>
      </c>
      <c r="BT89" s="395">
        <f t="shared" ca="1" si="87"/>
        <v>0</v>
      </c>
      <c r="BU89" s="395">
        <f t="shared" ca="1" si="87"/>
        <v>0</v>
      </c>
      <c r="BV89" s="395">
        <f t="shared" ca="1" si="87"/>
        <v>0</v>
      </c>
      <c r="BW89" s="395">
        <f t="shared" ca="1" si="87"/>
        <v>0</v>
      </c>
      <c r="BX89" s="395">
        <f t="shared" ca="1" si="87"/>
        <v>0</v>
      </c>
      <c r="BY89" s="395">
        <f t="shared" ca="1" si="87"/>
        <v>0</v>
      </c>
      <c r="BZ89" s="395">
        <f t="shared" ca="1" si="87"/>
        <v>0</v>
      </c>
      <c r="CA89" s="395">
        <f t="shared" ca="1" si="87"/>
        <v>0</v>
      </c>
      <c r="CB89" s="395">
        <f t="shared" ca="1" si="87"/>
        <v>0</v>
      </c>
      <c r="CC89" s="395">
        <f t="shared" ca="1" si="87"/>
        <v>0</v>
      </c>
      <c r="CD89" s="395">
        <f t="shared" ca="1" si="87"/>
        <v>0</v>
      </c>
      <c r="CE89" s="395">
        <f t="shared" ca="1" si="87"/>
        <v>0</v>
      </c>
      <c r="CF89" s="395">
        <f t="shared" ca="1" si="87"/>
        <v>0</v>
      </c>
      <c r="CG89" s="395">
        <f t="shared" ca="1" si="87"/>
        <v>0</v>
      </c>
      <c r="CH89" s="395">
        <f t="shared" ca="1" si="87"/>
        <v>0</v>
      </c>
      <c r="CI89" s="395">
        <f t="shared" ca="1" si="87"/>
        <v>0</v>
      </c>
      <c r="CJ89" s="395">
        <f t="shared" ca="1" si="87"/>
        <v>0</v>
      </c>
      <c r="CK89" s="395">
        <f t="shared" ca="1" si="87"/>
        <v>0</v>
      </c>
      <c r="CL89" s="133" t="s">
        <v>15</v>
      </c>
    </row>
    <row r="90" spans="2:90" s="133" customFormat="1" ht="15" customHeight="1" outlineLevel="1" x14ac:dyDescent="0.2">
      <c r="B90" s="133" t="s">
        <v>30</v>
      </c>
      <c r="E90" s="395">
        <f ca="1">SUM(E88:E89)</f>
        <v>0</v>
      </c>
      <c r="F90" s="395">
        <f t="shared" ref="F90:BQ90" ca="1" si="88">SUM(F88:F89)</f>
        <v>0</v>
      </c>
      <c r="G90" s="395">
        <f t="shared" ca="1" si="88"/>
        <v>0</v>
      </c>
      <c r="H90" s="395">
        <f t="shared" ca="1" si="88"/>
        <v>0</v>
      </c>
      <c r="I90" s="395">
        <f t="shared" ca="1" si="88"/>
        <v>0</v>
      </c>
      <c r="J90" s="395">
        <f t="shared" ca="1" si="88"/>
        <v>0</v>
      </c>
      <c r="K90" s="395">
        <f t="shared" ca="1" si="88"/>
        <v>0</v>
      </c>
      <c r="L90" s="395">
        <f t="shared" ca="1" si="88"/>
        <v>0</v>
      </c>
      <c r="M90" s="395">
        <f t="shared" ca="1" si="88"/>
        <v>0</v>
      </c>
      <c r="N90" s="395">
        <f t="shared" ca="1" si="88"/>
        <v>0</v>
      </c>
      <c r="O90" s="395">
        <f t="shared" ca="1" si="88"/>
        <v>0</v>
      </c>
      <c r="P90" s="395">
        <f t="shared" ca="1" si="88"/>
        <v>0</v>
      </c>
      <c r="Q90" s="395">
        <f t="shared" ca="1" si="88"/>
        <v>0</v>
      </c>
      <c r="R90" s="395">
        <f t="shared" ca="1" si="88"/>
        <v>0</v>
      </c>
      <c r="S90" s="395">
        <f t="shared" ca="1" si="88"/>
        <v>0</v>
      </c>
      <c r="T90" s="395">
        <f t="shared" ca="1" si="88"/>
        <v>0</v>
      </c>
      <c r="U90" s="395">
        <f t="shared" ca="1" si="88"/>
        <v>0</v>
      </c>
      <c r="V90" s="395">
        <f t="shared" ca="1" si="88"/>
        <v>0</v>
      </c>
      <c r="W90" s="395">
        <f t="shared" ca="1" si="88"/>
        <v>0</v>
      </c>
      <c r="X90" s="395">
        <f t="shared" ca="1" si="88"/>
        <v>0</v>
      </c>
      <c r="Y90" s="395">
        <f t="shared" ca="1" si="88"/>
        <v>0</v>
      </c>
      <c r="Z90" s="395">
        <f t="shared" ca="1" si="88"/>
        <v>0</v>
      </c>
      <c r="AA90" s="395">
        <f t="shared" ca="1" si="88"/>
        <v>0</v>
      </c>
      <c r="AB90" s="395">
        <f t="shared" ca="1" si="88"/>
        <v>0</v>
      </c>
      <c r="AC90" s="395">
        <f t="shared" ca="1" si="88"/>
        <v>0</v>
      </c>
      <c r="AD90" s="395">
        <f t="shared" ca="1" si="88"/>
        <v>0</v>
      </c>
      <c r="AE90" s="395">
        <f t="shared" ca="1" si="88"/>
        <v>0</v>
      </c>
      <c r="AF90" s="395">
        <f t="shared" ca="1" si="88"/>
        <v>0</v>
      </c>
      <c r="AG90" s="395">
        <f t="shared" ca="1" si="88"/>
        <v>0</v>
      </c>
      <c r="AH90" s="395">
        <f t="shared" ca="1" si="88"/>
        <v>0</v>
      </c>
      <c r="AI90" s="395">
        <f t="shared" ca="1" si="88"/>
        <v>0</v>
      </c>
      <c r="AJ90" s="395">
        <f t="shared" ca="1" si="88"/>
        <v>0</v>
      </c>
      <c r="AK90" s="395">
        <f t="shared" ca="1" si="88"/>
        <v>0</v>
      </c>
      <c r="AL90" s="395">
        <f t="shared" ca="1" si="88"/>
        <v>0</v>
      </c>
      <c r="AM90" s="395">
        <f t="shared" ca="1" si="88"/>
        <v>0</v>
      </c>
      <c r="AN90" s="395">
        <f t="shared" ca="1" si="88"/>
        <v>0</v>
      </c>
      <c r="AO90" s="395">
        <f t="shared" ca="1" si="88"/>
        <v>3367264.2761930935</v>
      </c>
      <c r="AP90" s="395">
        <f t="shared" ca="1" si="88"/>
        <v>0</v>
      </c>
      <c r="AQ90" s="395">
        <f t="shared" ca="1" si="88"/>
        <v>0</v>
      </c>
      <c r="AR90" s="395">
        <f t="shared" ca="1" si="88"/>
        <v>0</v>
      </c>
      <c r="AS90" s="395">
        <f t="shared" ca="1" si="88"/>
        <v>0</v>
      </c>
      <c r="AT90" s="395">
        <f t="shared" ca="1" si="88"/>
        <v>0</v>
      </c>
      <c r="AU90" s="395">
        <f t="shared" ca="1" si="88"/>
        <v>0</v>
      </c>
      <c r="AV90" s="395">
        <f t="shared" ca="1" si="88"/>
        <v>0</v>
      </c>
      <c r="AW90" s="395">
        <f t="shared" ca="1" si="88"/>
        <v>0</v>
      </c>
      <c r="AX90" s="395">
        <f t="shared" ca="1" si="88"/>
        <v>0</v>
      </c>
      <c r="AY90" s="395">
        <f t="shared" ca="1" si="88"/>
        <v>0</v>
      </c>
      <c r="AZ90" s="395">
        <f t="shared" ca="1" si="88"/>
        <v>0</v>
      </c>
      <c r="BA90" s="395">
        <f t="shared" ca="1" si="88"/>
        <v>0</v>
      </c>
      <c r="BB90" s="395">
        <f t="shared" ca="1" si="88"/>
        <v>0</v>
      </c>
      <c r="BC90" s="395">
        <f t="shared" ca="1" si="88"/>
        <v>0</v>
      </c>
      <c r="BD90" s="395">
        <f t="shared" ca="1" si="88"/>
        <v>0</v>
      </c>
      <c r="BE90" s="395">
        <f t="shared" ca="1" si="88"/>
        <v>0</v>
      </c>
      <c r="BF90" s="395">
        <f t="shared" ca="1" si="88"/>
        <v>0</v>
      </c>
      <c r="BG90" s="395">
        <f t="shared" ca="1" si="88"/>
        <v>0</v>
      </c>
      <c r="BH90" s="395">
        <f t="shared" ca="1" si="88"/>
        <v>0</v>
      </c>
      <c r="BI90" s="395">
        <f t="shared" ca="1" si="88"/>
        <v>0</v>
      </c>
      <c r="BJ90" s="395">
        <f t="shared" ca="1" si="88"/>
        <v>0</v>
      </c>
      <c r="BK90" s="395">
        <f t="shared" ca="1" si="88"/>
        <v>0</v>
      </c>
      <c r="BL90" s="395">
        <f t="shared" ca="1" si="88"/>
        <v>0</v>
      </c>
      <c r="BM90" s="395">
        <f t="shared" ca="1" si="88"/>
        <v>0</v>
      </c>
      <c r="BN90" s="395">
        <f t="shared" ca="1" si="88"/>
        <v>0</v>
      </c>
      <c r="BO90" s="395">
        <f t="shared" ca="1" si="88"/>
        <v>0</v>
      </c>
      <c r="BP90" s="395">
        <f t="shared" ca="1" si="88"/>
        <v>0</v>
      </c>
      <c r="BQ90" s="395">
        <f t="shared" ca="1" si="88"/>
        <v>0</v>
      </c>
      <c r="BR90" s="395">
        <f t="shared" ref="BR90:CK90" ca="1" si="89">SUM(BR88:BR89)</f>
        <v>0</v>
      </c>
      <c r="BS90" s="395">
        <f t="shared" ca="1" si="89"/>
        <v>0</v>
      </c>
      <c r="BT90" s="395">
        <f t="shared" ca="1" si="89"/>
        <v>0</v>
      </c>
      <c r="BU90" s="395">
        <f t="shared" ca="1" si="89"/>
        <v>0</v>
      </c>
      <c r="BV90" s="395">
        <f t="shared" ca="1" si="89"/>
        <v>0</v>
      </c>
      <c r="BW90" s="395">
        <f t="shared" ca="1" si="89"/>
        <v>0</v>
      </c>
      <c r="BX90" s="395">
        <f t="shared" ca="1" si="89"/>
        <v>0</v>
      </c>
      <c r="BY90" s="395">
        <f t="shared" ca="1" si="89"/>
        <v>0</v>
      </c>
      <c r="BZ90" s="395">
        <f t="shared" ca="1" si="89"/>
        <v>0</v>
      </c>
      <c r="CA90" s="395">
        <f t="shared" ca="1" si="89"/>
        <v>0</v>
      </c>
      <c r="CB90" s="395">
        <f t="shared" ca="1" si="89"/>
        <v>0</v>
      </c>
      <c r="CC90" s="395">
        <f t="shared" ca="1" si="89"/>
        <v>0</v>
      </c>
      <c r="CD90" s="395">
        <f t="shared" ca="1" si="89"/>
        <v>0</v>
      </c>
      <c r="CE90" s="395">
        <f t="shared" ca="1" si="89"/>
        <v>0</v>
      </c>
      <c r="CF90" s="395">
        <f t="shared" ca="1" si="89"/>
        <v>0</v>
      </c>
      <c r="CG90" s="395">
        <f t="shared" ca="1" si="89"/>
        <v>0</v>
      </c>
      <c r="CH90" s="395">
        <f t="shared" ca="1" si="89"/>
        <v>0</v>
      </c>
      <c r="CI90" s="395">
        <f t="shared" ca="1" si="89"/>
        <v>0</v>
      </c>
      <c r="CJ90" s="395">
        <f t="shared" ca="1" si="89"/>
        <v>0</v>
      </c>
      <c r="CK90" s="395">
        <f t="shared" ca="1" si="89"/>
        <v>0</v>
      </c>
      <c r="CL90" s="133" t="s">
        <v>15</v>
      </c>
    </row>
    <row r="91" spans="2:90" s="133" customFormat="1" ht="15" customHeight="1" outlineLevel="1" x14ac:dyDescent="0.2"/>
    <row r="92" spans="2:90" s="133" customFormat="1" ht="15" customHeight="1" x14ac:dyDescent="0.2">
      <c r="B92" s="133" t="s">
        <v>267</v>
      </c>
      <c r="E92" s="395">
        <f ca="1">SUM(E88,E67)</f>
        <v>-7407606.645626572</v>
      </c>
      <c r="F92" s="395">
        <f t="shared" ref="F92:BQ92" ca="1" si="90">SUM(F88,F67)</f>
        <v>-285383.29077599995</v>
      </c>
      <c r="G92" s="395">
        <f t="shared" ca="1" si="90"/>
        <v>-285570.15163971425</v>
      </c>
      <c r="H92" s="395">
        <f t="shared" ca="1" si="90"/>
        <v>-306776.83638342854</v>
      </c>
      <c r="I92" s="395">
        <f t="shared" ca="1" si="90"/>
        <v>-291212.83321714279</v>
      </c>
      <c r="J92" s="395">
        <f t="shared" ca="1" si="90"/>
        <v>-247261.56490285715</v>
      </c>
      <c r="K92" s="395">
        <f t="shared" ca="1" si="90"/>
        <v>-416184.54954857141</v>
      </c>
      <c r="L92" s="395">
        <f t="shared" ca="1" si="90"/>
        <v>-634013.1134575489</v>
      </c>
      <c r="M92" s="395">
        <f t="shared" ca="1" si="90"/>
        <v>-634431.44036652625</v>
      </c>
      <c r="N92" s="395">
        <f t="shared" ca="1" si="90"/>
        <v>-526309.4412586448</v>
      </c>
      <c r="O92" s="395">
        <f t="shared" ca="1" si="90"/>
        <v>-7287.0918000000001</v>
      </c>
      <c r="P92" s="395">
        <f t="shared" ca="1" si="90"/>
        <v>-7287.0918000000001</v>
      </c>
      <c r="Q92" s="395">
        <f t="shared" ca="1" si="90"/>
        <v>-7287.0918000000001</v>
      </c>
      <c r="R92" s="395">
        <f t="shared" ca="1" si="90"/>
        <v>-7287.0918000000001</v>
      </c>
      <c r="S92" s="395">
        <f t="shared" ca="1" si="90"/>
        <v>-7287.0918000000001</v>
      </c>
      <c r="T92" s="395">
        <f t="shared" ca="1" si="90"/>
        <v>-7287.0918000000001</v>
      </c>
      <c r="U92" s="395">
        <f t="shared" ca="1" si="90"/>
        <v>-7287.0918000000001</v>
      </c>
      <c r="V92" s="395">
        <f t="shared" ca="1" si="90"/>
        <v>-7287.0918000000001</v>
      </c>
      <c r="W92" s="395">
        <f t="shared" ca="1" si="90"/>
        <v>-7287.0918000000001</v>
      </c>
      <c r="X92" s="395">
        <f t="shared" ca="1" si="90"/>
        <v>-7287.0918000000001</v>
      </c>
      <c r="Y92" s="395">
        <f t="shared" ca="1" si="90"/>
        <v>-7287.0918000000001</v>
      </c>
      <c r="Z92" s="395">
        <f t="shared" ca="1" si="90"/>
        <v>-7287.0918000000001</v>
      </c>
      <c r="AA92" s="395">
        <f t="shared" ca="1" si="90"/>
        <v>-7287.0918000000001</v>
      </c>
      <c r="AB92" s="395">
        <f t="shared" ca="1" si="90"/>
        <v>-7287.0918000000001</v>
      </c>
      <c r="AC92" s="395">
        <f t="shared" ca="1" si="90"/>
        <v>-7287.0918000000001</v>
      </c>
      <c r="AD92" s="395">
        <f t="shared" ca="1" si="90"/>
        <v>-7287.0918000000001</v>
      </c>
      <c r="AE92" s="395">
        <f t="shared" ca="1" si="90"/>
        <v>-7287.0918000000001</v>
      </c>
      <c r="AF92" s="395">
        <f t="shared" ca="1" si="90"/>
        <v>-7287.0918000000001</v>
      </c>
      <c r="AG92" s="395">
        <f t="shared" ca="1" si="90"/>
        <v>-7287.0918000000001</v>
      </c>
      <c r="AH92" s="395">
        <f t="shared" ca="1" si="90"/>
        <v>-7287.0918000000001</v>
      </c>
      <c r="AI92" s="395">
        <f t="shared" ca="1" si="90"/>
        <v>-7287.0918000000001</v>
      </c>
      <c r="AJ92" s="395">
        <f t="shared" ca="1" si="90"/>
        <v>-7287.0918000000001</v>
      </c>
      <c r="AK92" s="395">
        <f t="shared" ca="1" si="90"/>
        <v>-7287.0918000000001</v>
      </c>
      <c r="AL92" s="395">
        <f t="shared" ca="1" si="90"/>
        <v>-7287.0918000000001</v>
      </c>
      <c r="AM92" s="395">
        <f t="shared" ca="1" si="90"/>
        <v>-7287.0918000000001</v>
      </c>
      <c r="AN92" s="395">
        <f t="shared" ca="1" si="90"/>
        <v>-7287.0918000000001</v>
      </c>
      <c r="AO92" s="395">
        <f t="shared" ca="1" si="90"/>
        <v>15713899.9555678</v>
      </c>
      <c r="AP92" s="395">
        <f t="shared" ca="1" si="90"/>
        <v>0</v>
      </c>
      <c r="AQ92" s="395">
        <f t="shared" ca="1" si="90"/>
        <v>0</v>
      </c>
      <c r="AR92" s="395">
        <f t="shared" ca="1" si="90"/>
        <v>0</v>
      </c>
      <c r="AS92" s="395">
        <f t="shared" ca="1" si="90"/>
        <v>0</v>
      </c>
      <c r="AT92" s="395">
        <f t="shared" ca="1" si="90"/>
        <v>0</v>
      </c>
      <c r="AU92" s="395">
        <f t="shared" ca="1" si="90"/>
        <v>0</v>
      </c>
      <c r="AV92" s="395">
        <f t="shared" ca="1" si="90"/>
        <v>0</v>
      </c>
      <c r="AW92" s="395">
        <f t="shared" ca="1" si="90"/>
        <v>0</v>
      </c>
      <c r="AX92" s="395">
        <f t="shared" ca="1" si="90"/>
        <v>0</v>
      </c>
      <c r="AY92" s="395">
        <f t="shared" ca="1" si="90"/>
        <v>0</v>
      </c>
      <c r="AZ92" s="395">
        <f t="shared" ca="1" si="90"/>
        <v>0</v>
      </c>
      <c r="BA92" s="395">
        <f t="shared" ca="1" si="90"/>
        <v>0</v>
      </c>
      <c r="BB92" s="395">
        <f t="shared" ca="1" si="90"/>
        <v>0</v>
      </c>
      <c r="BC92" s="395">
        <f t="shared" ca="1" si="90"/>
        <v>0</v>
      </c>
      <c r="BD92" s="395">
        <f t="shared" ca="1" si="90"/>
        <v>0</v>
      </c>
      <c r="BE92" s="395">
        <f t="shared" ca="1" si="90"/>
        <v>0</v>
      </c>
      <c r="BF92" s="395">
        <f t="shared" ca="1" si="90"/>
        <v>0</v>
      </c>
      <c r="BG92" s="395">
        <f t="shared" ca="1" si="90"/>
        <v>0</v>
      </c>
      <c r="BH92" s="395">
        <f t="shared" ca="1" si="90"/>
        <v>0</v>
      </c>
      <c r="BI92" s="395">
        <f t="shared" ca="1" si="90"/>
        <v>0</v>
      </c>
      <c r="BJ92" s="395">
        <f t="shared" ca="1" si="90"/>
        <v>0</v>
      </c>
      <c r="BK92" s="395">
        <f t="shared" ca="1" si="90"/>
        <v>0</v>
      </c>
      <c r="BL92" s="395">
        <f t="shared" ca="1" si="90"/>
        <v>0</v>
      </c>
      <c r="BM92" s="395">
        <f t="shared" ca="1" si="90"/>
        <v>0</v>
      </c>
      <c r="BN92" s="395">
        <f t="shared" ca="1" si="90"/>
        <v>0</v>
      </c>
      <c r="BO92" s="395">
        <f t="shared" ca="1" si="90"/>
        <v>0</v>
      </c>
      <c r="BP92" s="395">
        <f t="shared" ca="1" si="90"/>
        <v>0</v>
      </c>
      <c r="BQ92" s="395">
        <f t="shared" ca="1" si="90"/>
        <v>0</v>
      </c>
      <c r="BR92" s="395">
        <f t="shared" ref="BR92:CK92" ca="1" si="91">SUM(BR88,BR67)</f>
        <v>0</v>
      </c>
      <c r="BS92" s="395">
        <f t="shared" ca="1" si="91"/>
        <v>0</v>
      </c>
      <c r="BT92" s="395">
        <f t="shared" ca="1" si="91"/>
        <v>0</v>
      </c>
      <c r="BU92" s="395">
        <f t="shared" ca="1" si="91"/>
        <v>0</v>
      </c>
      <c r="BV92" s="395">
        <f t="shared" ca="1" si="91"/>
        <v>0</v>
      </c>
      <c r="BW92" s="395">
        <f t="shared" ca="1" si="91"/>
        <v>0</v>
      </c>
      <c r="BX92" s="395">
        <f t="shared" ca="1" si="91"/>
        <v>0</v>
      </c>
      <c r="BY92" s="395">
        <f t="shared" ca="1" si="91"/>
        <v>0</v>
      </c>
      <c r="BZ92" s="395">
        <f t="shared" ca="1" si="91"/>
        <v>0</v>
      </c>
      <c r="CA92" s="395">
        <f t="shared" ca="1" si="91"/>
        <v>0</v>
      </c>
      <c r="CB92" s="395">
        <f t="shared" ca="1" si="91"/>
        <v>0</v>
      </c>
      <c r="CC92" s="395">
        <f t="shared" ca="1" si="91"/>
        <v>0</v>
      </c>
      <c r="CD92" s="395">
        <f t="shared" ca="1" si="91"/>
        <v>0</v>
      </c>
      <c r="CE92" s="395">
        <f t="shared" ca="1" si="91"/>
        <v>0</v>
      </c>
      <c r="CF92" s="395">
        <f t="shared" ca="1" si="91"/>
        <v>0</v>
      </c>
      <c r="CG92" s="395">
        <f t="shared" ca="1" si="91"/>
        <v>0</v>
      </c>
      <c r="CH92" s="395">
        <f t="shared" ca="1" si="91"/>
        <v>0</v>
      </c>
      <c r="CI92" s="395">
        <f t="shared" ca="1" si="91"/>
        <v>0</v>
      </c>
      <c r="CJ92" s="395">
        <f t="shared" ca="1" si="91"/>
        <v>0</v>
      </c>
      <c r="CK92" s="395">
        <f t="shared" ca="1" si="91"/>
        <v>0</v>
      </c>
      <c r="CL92" s="133" t="s">
        <v>15</v>
      </c>
    </row>
    <row r="93" spans="2:90" s="133" customFormat="1" ht="15" customHeight="1" x14ac:dyDescent="0.2">
      <c r="B93" s="133" t="s">
        <v>268</v>
      </c>
      <c r="E93" s="395">
        <f ca="1">SUM(E89,E68)</f>
        <v>-823067.40506961918</v>
      </c>
      <c r="F93" s="395">
        <f t="shared" ref="F93:BQ93" ca="1" si="92">SUM(F89,F68)</f>
        <v>-31709.254530666658</v>
      </c>
      <c r="G93" s="395">
        <f t="shared" ca="1" si="92"/>
        <v>-31730.016848857136</v>
      </c>
      <c r="H93" s="395">
        <f t="shared" ca="1" si="92"/>
        <v>-34086.315153714284</v>
      </c>
      <c r="I93" s="395">
        <f t="shared" ca="1" si="92"/>
        <v>-32356.981468571423</v>
      </c>
      <c r="J93" s="395">
        <f t="shared" ca="1" si="92"/>
        <v>-27473.507211428572</v>
      </c>
      <c r="K93" s="395">
        <f t="shared" ca="1" si="92"/>
        <v>-46242.727727619051</v>
      </c>
      <c r="L93" s="395">
        <f t="shared" ca="1" si="92"/>
        <v>-70445.901495283222</v>
      </c>
      <c r="M93" s="395">
        <f t="shared" ca="1" si="92"/>
        <v>-70492.382262947373</v>
      </c>
      <c r="N93" s="395">
        <f t="shared" ca="1" si="92"/>
        <v>-58478.826806516088</v>
      </c>
      <c r="O93" s="395">
        <f t="shared" ca="1" si="92"/>
        <v>-809.67686666666668</v>
      </c>
      <c r="P93" s="395">
        <f t="shared" ca="1" si="92"/>
        <v>-809.67686666666668</v>
      </c>
      <c r="Q93" s="395">
        <f t="shared" ca="1" si="92"/>
        <v>-809.67686666666668</v>
      </c>
      <c r="R93" s="395">
        <f t="shared" ca="1" si="92"/>
        <v>-809.67686666666668</v>
      </c>
      <c r="S93" s="395">
        <f t="shared" ca="1" si="92"/>
        <v>-809.67686666666668</v>
      </c>
      <c r="T93" s="395">
        <f t="shared" ca="1" si="92"/>
        <v>-809.67686666666668</v>
      </c>
      <c r="U93" s="395">
        <f t="shared" ca="1" si="92"/>
        <v>-809.67686666666668</v>
      </c>
      <c r="V93" s="395">
        <f t="shared" ca="1" si="92"/>
        <v>-809.67686666666668</v>
      </c>
      <c r="W93" s="395">
        <f t="shared" ca="1" si="92"/>
        <v>-809.67686666666668</v>
      </c>
      <c r="X93" s="395">
        <f t="shared" ca="1" si="92"/>
        <v>-809.67686666666668</v>
      </c>
      <c r="Y93" s="395">
        <f t="shared" ca="1" si="92"/>
        <v>-809.67686666666668</v>
      </c>
      <c r="Z93" s="395">
        <f t="shared" ca="1" si="92"/>
        <v>-809.67686666666668</v>
      </c>
      <c r="AA93" s="395">
        <f t="shared" ca="1" si="92"/>
        <v>-809.67686666666668</v>
      </c>
      <c r="AB93" s="395">
        <f t="shared" ca="1" si="92"/>
        <v>-809.67686666666668</v>
      </c>
      <c r="AC93" s="395">
        <f t="shared" ca="1" si="92"/>
        <v>-809.67686666666668</v>
      </c>
      <c r="AD93" s="395">
        <f t="shared" ca="1" si="92"/>
        <v>-809.67686666666668</v>
      </c>
      <c r="AE93" s="395">
        <f t="shared" ca="1" si="92"/>
        <v>-809.67686666666668</v>
      </c>
      <c r="AF93" s="395">
        <f t="shared" ca="1" si="92"/>
        <v>-809.67686666666668</v>
      </c>
      <c r="AG93" s="395">
        <f t="shared" ca="1" si="92"/>
        <v>-809.67686666666668</v>
      </c>
      <c r="AH93" s="395">
        <f t="shared" ca="1" si="92"/>
        <v>-809.67686666666668</v>
      </c>
      <c r="AI93" s="395">
        <f t="shared" ca="1" si="92"/>
        <v>-809.67686666666668</v>
      </c>
      <c r="AJ93" s="395">
        <f t="shared" ca="1" si="92"/>
        <v>-809.67686666666668</v>
      </c>
      <c r="AK93" s="395">
        <f t="shared" ca="1" si="92"/>
        <v>-809.67686666666668</v>
      </c>
      <c r="AL93" s="395">
        <f t="shared" ca="1" si="92"/>
        <v>-809.67686666666668</v>
      </c>
      <c r="AM93" s="395">
        <f t="shared" ca="1" si="92"/>
        <v>-809.67686666666668</v>
      </c>
      <c r="AN93" s="395">
        <f t="shared" ca="1" si="92"/>
        <v>-809.67686666666668</v>
      </c>
      <c r="AO93" s="395">
        <f t="shared" ca="1" si="92"/>
        <v>3242550.7844822397</v>
      </c>
      <c r="AP93" s="395">
        <f t="shared" ca="1" si="92"/>
        <v>0</v>
      </c>
      <c r="AQ93" s="395">
        <f t="shared" ca="1" si="92"/>
        <v>0</v>
      </c>
      <c r="AR93" s="395">
        <f t="shared" ca="1" si="92"/>
        <v>0</v>
      </c>
      <c r="AS93" s="395">
        <f t="shared" ca="1" si="92"/>
        <v>0</v>
      </c>
      <c r="AT93" s="395">
        <f t="shared" ca="1" si="92"/>
        <v>0</v>
      </c>
      <c r="AU93" s="395">
        <f t="shared" ca="1" si="92"/>
        <v>0</v>
      </c>
      <c r="AV93" s="395">
        <f t="shared" ca="1" si="92"/>
        <v>0</v>
      </c>
      <c r="AW93" s="395">
        <f t="shared" ca="1" si="92"/>
        <v>0</v>
      </c>
      <c r="AX93" s="395">
        <f t="shared" ca="1" si="92"/>
        <v>0</v>
      </c>
      <c r="AY93" s="395">
        <f t="shared" ca="1" si="92"/>
        <v>0</v>
      </c>
      <c r="AZ93" s="395">
        <f t="shared" ca="1" si="92"/>
        <v>0</v>
      </c>
      <c r="BA93" s="395">
        <f t="shared" ca="1" si="92"/>
        <v>0</v>
      </c>
      <c r="BB93" s="395">
        <f t="shared" ca="1" si="92"/>
        <v>0</v>
      </c>
      <c r="BC93" s="395">
        <f t="shared" ca="1" si="92"/>
        <v>0</v>
      </c>
      <c r="BD93" s="395">
        <f t="shared" ca="1" si="92"/>
        <v>0</v>
      </c>
      <c r="BE93" s="395">
        <f t="shared" ca="1" si="92"/>
        <v>0</v>
      </c>
      <c r="BF93" s="395">
        <f t="shared" ca="1" si="92"/>
        <v>0</v>
      </c>
      <c r="BG93" s="395">
        <f t="shared" ca="1" si="92"/>
        <v>0</v>
      </c>
      <c r="BH93" s="395">
        <f t="shared" ca="1" si="92"/>
        <v>0</v>
      </c>
      <c r="BI93" s="395">
        <f t="shared" ca="1" si="92"/>
        <v>0</v>
      </c>
      <c r="BJ93" s="395">
        <f t="shared" ca="1" si="92"/>
        <v>0</v>
      </c>
      <c r="BK93" s="395">
        <f t="shared" ca="1" si="92"/>
        <v>0</v>
      </c>
      <c r="BL93" s="395">
        <f t="shared" ca="1" si="92"/>
        <v>0</v>
      </c>
      <c r="BM93" s="395">
        <f t="shared" ca="1" si="92"/>
        <v>0</v>
      </c>
      <c r="BN93" s="395">
        <f t="shared" ca="1" si="92"/>
        <v>0</v>
      </c>
      <c r="BO93" s="395">
        <f t="shared" ca="1" si="92"/>
        <v>0</v>
      </c>
      <c r="BP93" s="395">
        <f t="shared" ca="1" si="92"/>
        <v>0</v>
      </c>
      <c r="BQ93" s="395">
        <f t="shared" ca="1" si="92"/>
        <v>0</v>
      </c>
      <c r="BR93" s="395">
        <f t="shared" ref="BR93:CK93" ca="1" si="93">SUM(BR89,BR68)</f>
        <v>0</v>
      </c>
      <c r="BS93" s="395">
        <f t="shared" ca="1" si="93"/>
        <v>0</v>
      </c>
      <c r="BT93" s="395">
        <f t="shared" ca="1" si="93"/>
        <v>0</v>
      </c>
      <c r="BU93" s="395">
        <f t="shared" ca="1" si="93"/>
        <v>0</v>
      </c>
      <c r="BV93" s="395">
        <f t="shared" ca="1" si="93"/>
        <v>0</v>
      </c>
      <c r="BW93" s="395">
        <f t="shared" ca="1" si="93"/>
        <v>0</v>
      </c>
      <c r="BX93" s="395">
        <f t="shared" ca="1" si="93"/>
        <v>0</v>
      </c>
      <c r="BY93" s="395">
        <f t="shared" ca="1" si="93"/>
        <v>0</v>
      </c>
      <c r="BZ93" s="395">
        <f t="shared" ca="1" si="93"/>
        <v>0</v>
      </c>
      <c r="CA93" s="395">
        <f t="shared" ca="1" si="93"/>
        <v>0</v>
      </c>
      <c r="CB93" s="395">
        <f t="shared" ca="1" si="93"/>
        <v>0</v>
      </c>
      <c r="CC93" s="395">
        <f t="shared" ca="1" si="93"/>
        <v>0</v>
      </c>
      <c r="CD93" s="395">
        <f t="shared" ca="1" si="93"/>
        <v>0</v>
      </c>
      <c r="CE93" s="395">
        <f t="shared" ca="1" si="93"/>
        <v>0</v>
      </c>
      <c r="CF93" s="395">
        <f t="shared" ca="1" si="93"/>
        <v>0</v>
      </c>
      <c r="CG93" s="395">
        <f t="shared" ca="1" si="93"/>
        <v>0</v>
      </c>
      <c r="CH93" s="395">
        <f t="shared" ca="1" si="93"/>
        <v>0</v>
      </c>
      <c r="CI93" s="395">
        <f t="shared" ca="1" si="93"/>
        <v>0</v>
      </c>
      <c r="CJ93" s="395">
        <f t="shared" ca="1" si="93"/>
        <v>0</v>
      </c>
      <c r="CK93" s="395">
        <f t="shared" ca="1" si="93"/>
        <v>0</v>
      </c>
      <c r="CL93" s="133" t="s">
        <v>15</v>
      </c>
    </row>
    <row r="94" spans="2:90" s="133" customFormat="1" ht="15" customHeight="1" x14ac:dyDescent="0.2">
      <c r="B94" s="133" t="s">
        <v>30</v>
      </c>
      <c r="E94" s="395">
        <f ca="1">SUM(E90,E69)</f>
        <v>-8230674.0506961914</v>
      </c>
      <c r="F94" s="395">
        <f t="shared" ref="F94:BQ94" ca="1" si="94">SUM(F90,F69)</f>
        <v>-317092.54530666664</v>
      </c>
      <c r="G94" s="395">
        <f t="shared" ca="1" si="94"/>
        <v>-317300.16848857142</v>
      </c>
      <c r="H94" s="395">
        <f t="shared" ca="1" si="94"/>
        <v>-340863.15153714281</v>
      </c>
      <c r="I94" s="395">
        <f t="shared" ca="1" si="94"/>
        <v>-323569.8146857142</v>
      </c>
      <c r="J94" s="395">
        <f t="shared" ca="1" si="94"/>
        <v>-274735.07211428572</v>
      </c>
      <c r="K94" s="395">
        <f t="shared" ca="1" si="94"/>
        <v>-462427.27727619046</v>
      </c>
      <c r="L94" s="395">
        <f t="shared" ca="1" si="94"/>
        <v>-704459.01495283213</v>
      </c>
      <c r="M94" s="395">
        <f t="shared" ca="1" si="94"/>
        <v>-704923.82262947364</v>
      </c>
      <c r="N94" s="395">
        <f t="shared" ca="1" si="94"/>
        <v>-584788.26806516084</v>
      </c>
      <c r="O94" s="395">
        <f t="shared" ca="1" si="94"/>
        <v>-8096.7686666666668</v>
      </c>
      <c r="P94" s="395">
        <f t="shared" ca="1" si="94"/>
        <v>-8096.7686666666668</v>
      </c>
      <c r="Q94" s="395">
        <f t="shared" ca="1" si="94"/>
        <v>-8096.7686666666668</v>
      </c>
      <c r="R94" s="395">
        <f t="shared" ca="1" si="94"/>
        <v>-8096.7686666666668</v>
      </c>
      <c r="S94" s="395">
        <f t="shared" ca="1" si="94"/>
        <v>-8096.7686666666668</v>
      </c>
      <c r="T94" s="395">
        <f t="shared" ca="1" si="94"/>
        <v>-8096.7686666666668</v>
      </c>
      <c r="U94" s="395">
        <f t="shared" ca="1" si="94"/>
        <v>-8096.7686666666668</v>
      </c>
      <c r="V94" s="395">
        <f t="shared" ca="1" si="94"/>
        <v>-8096.7686666666668</v>
      </c>
      <c r="W94" s="395">
        <f t="shared" ca="1" si="94"/>
        <v>-8096.7686666666668</v>
      </c>
      <c r="X94" s="395">
        <f t="shared" ca="1" si="94"/>
        <v>-8096.7686666666668</v>
      </c>
      <c r="Y94" s="395">
        <f t="shared" ca="1" si="94"/>
        <v>-8096.7686666666668</v>
      </c>
      <c r="Z94" s="395">
        <f t="shared" ca="1" si="94"/>
        <v>-8096.7686666666668</v>
      </c>
      <c r="AA94" s="395">
        <f t="shared" ca="1" si="94"/>
        <v>-8096.7686666666668</v>
      </c>
      <c r="AB94" s="395">
        <f t="shared" ca="1" si="94"/>
        <v>-8096.7686666666668</v>
      </c>
      <c r="AC94" s="395">
        <f t="shared" ca="1" si="94"/>
        <v>-8096.7686666666668</v>
      </c>
      <c r="AD94" s="395">
        <f t="shared" ca="1" si="94"/>
        <v>-8096.7686666666668</v>
      </c>
      <c r="AE94" s="395">
        <f t="shared" ca="1" si="94"/>
        <v>-8096.7686666666668</v>
      </c>
      <c r="AF94" s="395">
        <f t="shared" ca="1" si="94"/>
        <v>-8096.7686666666668</v>
      </c>
      <c r="AG94" s="395">
        <f t="shared" ca="1" si="94"/>
        <v>-8096.7686666666668</v>
      </c>
      <c r="AH94" s="395">
        <f t="shared" ca="1" si="94"/>
        <v>-8096.7686666666668</v>
      </c>
      <c r="AI94" s="395">
        <f t="shared" ca="1" si="94"/>
        <v>-8096.7686666666668</v>
      </c>
      <c r="AJ94" s="395">
        <f t="shared" ca="1" si="94"/>
        <v>-8096.7686666666668</v>
      </c>
      <c r="AK94" s="395">
        <f t="shared" ca="1" si="94"/>
        <v>-8096.7686666666668</v>
      </c>
      <c r="AL94" s="395">
        <f t="shared" ca="1" si="94"/>
        <v>-8096.7686666666668</v>
      </c>
      <c r="AM94" s="395">
        <f t="shared" ca="1" si="94"/>
        <v>-8096.7686666666668</v>
      </c>
      <c r="AN94" s="395">
        <f t="shared" ca="1" si="94"/>
        <v>-8096.7686666666668</v>
      </c>
      <c r="AO94" s="395">
        <f t="shared" ca="1" si="94"/>
        <v>18956450.74005004</v>
      </c>
      <c r="AP94" s="395">
        <f t="shared" ca="1" si="94"/>
        <v>0</v>
      </c>
      <c r="AQ94" s="395">
        <f t="shared" ca="1" si="94"/>
        <v>0</v>
      </c>
      <c r="AR94" s="395">
        <f t="shared" ca="1" si="94"/>
        <v>0</v>
      </c>
      <c r="AS94" s="395">
        <f t="shared" ca="1" si="94"/>
        <v>0</v>
      </c>
      <c r="AT94" s="395">
        <f t="shared" ca="1" si="94"/>
        <v>0</v>
      </c>
      <c r="AU94" s="395">
        <f t="shared" ca="1" si="94"/>
        <v>0</v>
      </c>
      <c r="AV94" s="395">
        <f t="shared" ca="1" si="94"/>
        <v>0</v>
      </c>
      <c r="AW94" s="395">
        <f t="shared" ca="1" si="94"/>
        <v>0</v>
      </c>
      <c r="AX94" s="395">
        <f t="shared" ca="1" si="94"/>
        <v>0</v>
      </c>
      <c r="AY94" s="395">
        <f t="shared" ca="1" si="94"/>
        <v>0</v>
      </c>
      <c r="AZ94" s="395">
        <f t="shared" ca="1" si="94"/>
        <v>0</v>
      </c>
      <c r="BA94" s="395">
        <f t="shared" ca="1" si="94"/>
        <v>0</v>
      </c>
      <c r="BB94" s="395">
        <f t="shared" ca="1" si="94"/>
        <v>0</v>
      </c>
      <c r="BC94" s="395">
        <f t="shared" ca="1" si="94"/>
        <v>0</v>
      </c>
      <c r="BD94" s="395">
        <f t="shared" ca="1" si="94"/>
        <v>0</v>
      </c>
      <c r="BE94" s="395">
        <f t="shared" ca="1" si="94"/>
        <v>0</v>
      </c>
      <c r="BF94" s="395">
        <f t="shared" ca="1" si="94"/>
        <v>0</v>
      </c>
      <c r="BG94" s="395">
        <f t="shared" ca="1" si="94"/>
        <v>0</v>
      </c>
      <c r="BH94" s="395">
        <f t="shared" ca="1" si="94"/>
        <v>0</v>
      </c>
      <c r="BI94" s="395">
        <f t="shared" ca="1" si="94"/>
        <v>0</v>
      </c>
      <c r="BJ94" s="395">
        <f t="shared" ca="1" si="94"/>
        <v>0</v>
      </c>
      <c r="BK94" s="395">
        <f t="shared" ca="1" si="94"/>
        <v>0</v>
      </c>
      <c r="BL94" s="395">
        <f t="shared" ca="1" si="94"/>
        <v>0</v>
      </c>
      <c r="BM94" s="395">
        <f t="shared" ca="1" si="94"/>
        <v>0</v>
      </c>
      <c r="BN94" s="395">
        <f t="shared" ca="1" si="94"/>
        <v>0</v>
      </c>
      <c r="BO94" s="395">
        <f t="shared" ca="1" si="94"/>
        <v>0</v>
      </c>
      <c r="BP94" s="395">
        <f t="shared" ca="1" si="94"/>
        <v>0</v>
      </c>
      <c r="BQ94" s="395">
        <f t="shared" ca="1" si="94"/>
        <v>0</v>
      </c>
      <c r="BR94" s="395">
        <f t="shared" ref="BR94:CK94" ca="1" si="95">SUM(BR90,BR69)</f>
        <v>0</v>
      </c>
      <c r="BS94" s="395">
        <f t="shared" ca="1" si="95"/>
        <v>0</v>
      </c>
      <c r="BT94" s="395">
        <f t="shared" ca="1" si="95"/>
        <v>0</v>
      </c>
      <c r="BU94" s="395">
        <f t="shared" ca="1" si="95"/>
        <v>0</v>
      </c>
      <c r="BV94" s="395">
        <f t="shared" ca="1" si="95"/>
        <v>0</v>
      </c>
      <c r="BW94" s="395">
        <f t="shared" ca="1" si="95"/>
        <v>0</v>
      </c>
      <c r="BX94" s="395">
        <f t="shared" ca="1" si="95"/>
        <v>0</v>
      </c>
      <c r="BY94" s="395">
        <f t="shared" ca="1" si="95"/>
        <v>0</v>
      </c>
      <c r="BZ94" s="395">
        <f t="shared" ca="1" si="95"/>
        <v>0</v>
      </c>
      <c r="CA94" s="395">
        <f t="shared" ca="1" si="95"/>
        <v>0</v>
      </c>
      <c r="CB94" s="395">
        <f t="shared" ca="1" si="95"/>
        <v>0</v>
      </c>
      <c r="CC94" s="395">
        <f t="shared" ca="1" si="95"/>
        <v>0</v>
      </c>
      <c r="CD94" s="395">
        <f t="shared" ca="1" si="95"/>
        <v>0</v>
      </c>
      <c r="CE94" s="395">
        <f t="shared" ca="1" si="95"/>
        <v>0</v>
      </c>
      <c r="CF94" s="395">
        <f t="shared" ca="1" si="95"/>
        <v>0</v>
      </c>
      <c r="CG94" s="395">
        <f t="shared" ca="1" si="95"/>
        <v>0</v>
      </c>
      <c r="CH94" s="395">
        <f t="shared" ca="1" si="95"/>
        <v>0</v>
      </c>
      <c r="CI94" s="395">
        <f t="shared" ca="1" si="95"/>
        <v>0</v>
      </c>
      <c r="CJ94" s="395">
        <f t="shared" ca="1" si="95"/>
        <v>0</v>
      </c>
      <c r="CK94" s="395">
        <f t="shared" ca="1" si="95"/>
        <v>0</v>
      </c>
      <c r="CL94" s="133" t="s">
        <v>15</v>
      </c>
    </row>
    <row r="95" spans="2:90" s="133" customFormat="1" ht="15" customHeight="1" x14ac:dyDescent="0.2"/>
    <row r="96" spans="2:90" s="133" customFormat="1" ht="15" customHeight="1" x14ac:dyDescent="0.25">
      <c r="B96" s="146" t="s">
        <v>276</v>
      </c>
      <c r="C96" s="146"/>
      <c r="D96" s="146"/>
      <c r="E96" s="134" t="s">
        <v>164</v>
      </c>
      <c r="F96" s="134" t="s">
        <v>161</v>
      </c>
      <c r="G96" s="134" t="s">
        <v>30</v>
      </c>
    </row>
    <row r="97" spans="2:90" s="133" customFormat="1" ht="15" customHeight="1" x14ac:dyDescent="0.2">
      <c r="B97" s="272" t="s">
        <v>217</v>
      </c>
      <c r="C97" s="309"/>
      <c r="D97" s="309"/>
      <c r="E97" s="404">
        <f ca="1">XIRR(E92:CK92,HoldingDates)</f>
        <v>0.12669399380683899</v>
      </c>
      <c r="F97" s="404">
        <f ca="1">XIRR(E93:CK93,HoldingDates)</f>
        <v>0.40131719708442692</v>
      </c>
      <c r="G97" s="405">
        <f ca="1">XIRR(E94:CK94,HoldingDates)</f>
        <v>0.15993008017539986</v>
      </c>
    </row>
    <row r="98" spans="2:90" s="133" customFormat="1" ht="15" customHeight="1" x14ac:dyDescent="0.2">
      <c r="B98" s="275" t="s">
        <v>218</v>
      </c>
      <c r="E98" s="400">
        <f ca="1">-SUMIF(E92:CK92,"&gt;"&amp;0)/SUMIF(E92:CK92,"&lt;"&amp;0)</f>
        <v>1.3999999999999972</v>
      </c>
      <c r="F98" s="400">
        <f ca="1">-SUMIF(E93:CK93,"&gt;"&amp;0)/SUMIF(E93:CK93,"&lt;"&amp;0)</f>
        <v>2.5999999999999956</v>
      </c>
      <c r="G98" s="393">
        <f ca="1">-SUMIF(E94:CK94,"&gt;"&amp;0)/SUMIF(E94:CK94,"&lt;"&amp;0)</f>
        <v>1.5200000000000011</v>
      </c>
    </row>
    <row r="99" spans="2:90" s="133" customFormat="1" ht="15" customHeight="1" x14ac:dyDescent="0.2">
      <c r="B99" s="277" t="s">
        <v>220</v>
      </c>
      <c r="C99" s="311"/>
      <c r="D99" s="311"/>
      <c r="E99" s="406">
        <f ca="1">SUM(E92:CK92)</f>
        <v>4489685.7015907783</v>
      </c>
      <c r="F99" s="406">
        <f ca="1">SUM(E93:CK93)</f>
        <v>1995415.867373684</v>
      </c>
      <c r="G99" s="394">
        <f ca="1">SUM(E94:CK94)</f>
        <v>6485101.5689644963</v>
      </c>
    </row>
    <row r="100" spans="2:90" ht="15" customHeight="1" x14ac:dyDescent="0.2">
      <c r="CL100" s="133"/>
    </row>
    <row r="101" spans="2:90" ht="15" customHeight="1" x14ac:dyDescent="0.25">
      <c r="B101" s="132" t="s">
        <v>277</v>
      </c>
      <c r="CL101" s="133"/>
    </row>
    <row r="102" spans="2:90" s="21" customFormat="1" ht="10.15" customHeight="1" x14ac:dyDescent="0.25">
      <c r="B102" s="22"/>
      <c r="C102" s="23"/>
      <c r="D102" s="23"/>
      <c r="E102" s="23"/>
      <c r="O102" s="13"/>
      <c r="P102" s="13"/>
      <c r="Q102" s="13"/>
      <c r="R102" s="13"/>
      <c r="S102" s="13"/>
      <c r="T102" s="13"/>
      <c r="U102" s="13"/>
      <c r="V102" s="13"/>
      <c r="W102" s="13"/>
      <c r="X102" s="13"/>
      <c r="Y102" s="13"/>
      <c r="Z102" s="13"/>
      <c r="AA102" s="13"/>
      <c r="AB102" s="13"/>
      <c r="AC102" s="13"/>
      <c r="AD102" s="13"/>
      <c r="AE102" s="13"/>
      <c r="AF102" s="13"/>
      <c r="AG102" s="13"/>
    </row>
    <row r="103" spans="2:90" ht="15" customHeight="1" outlineLevel="1" x14ac:dyDescent="0.2">
      <c r="B103" s="133" t="s">
        <v>278</v>
      </c>
      <c r="C103" s="133"/>
      <c r="D103" s="133"/>
      <c r="E103" s="395">
        <f ca="1">E78-E90</f>
        <v>0</v>
      </c>
      <c r="F103" s="395">
        <f t="shared" ref="F103:BQ103" ca="1" si="96">F78-F90</f>
        <v>0</v>
      </c>
      <c r="G103" s="395">
        <f t="shared" ca="1" si="96"/>
        <v>0</v>
      </c>
      <c r="H103" s="395">
        <f t="shared" ca="1" si="96"/>
        <v>0</v>
      </c>
      <c r="I103" s="395">
        <f t="shared" ca="1" si="96"/>
        <v>0</v>
      </c>
      <c r="J103" s="395">
        <f t="shared" ca="1" si="96"/>
        <v>0</v>
      </c>
      <c r="K103" s="395">
        <f t="shared" ca="1" si="96"/>
        <v>0</v>
      </c>
      <c r="L103" s="395">
        <f t="shared" ca="1" si="96"/>
        <v>0</v>
      </c>
      <c r="M103" s="395">
        <f t="shared" ca="1" si="96"/>
        <v>0</v>
      </c>
      <c r="N103" s="395">
        <f t="shared" ca="1" si="96"/>
        <v>0</v>
      </c>
      <c r="O103" s="395">
        <f t="shared" ca="1" si="96"/>
        <v>0</v>
      </c>
      <c r="P103" s="395">
        <f t="shared" ca="1" si="96"/>
        <v>0</v>
      </c>
      <c r="Q103" s="395">
        <f t="shared" ca="1" si="96"/>
        <v>0</v>
      </c>
      <c r="R103" s="395">
        <f t="shared" ca="1" si="96"/>
        <v>0</v>
      </c>
      <c r="S103" s="395">
        <f t="shared" ca="1" si="96"/>
        <v>0</v>
      </c>
      <c r="T103" s="395">
        <f t="shared" ca="1" si="96"/>
        <v>0</v>
      </c>
      <c r="U103" s="395">
        <f t="shared" ca="1" si="96"/>
        <v>0</v>
      </c>
      <c r="V103" s="395">
        <f t="shared" ca="1" si="96"/>
        <v>0</v>
      </c>
      <c r="W103" s="395">
        <f t="shared" ca="1" si="96"/>
        <v>0</v>
      </c>
      <c r="X103" s="395">
        <f t="shared" ca="1" si="96"/>
        <v>0</v>
      </c>
      <c r="Y103" s="395">
        <f t="shared" ca="1" si="96"/>
        <v>0</v>
      </c>
      <c r="Z103" s="395">
        <f t="shared" ca="1" si="96"/>
        <v>0</v>
      </c>
      <c r="AA103" s="395">
        <f t="shared" ca="1" si="96"/>
        <v>0</v>
      </c>
      <c r="AB103" s="395">
        <f t="shared" ca="1" si="96"/>
        <v>0</v>
      </c>
      <c r="AC103" s="395">
        <f t="shared" ca="1" si="96"/>
        <v>0</v>
      </c>
      <c r="AD103" s="395">
        <f t="shared" ca="1" si="96"/>
        <v>0</v>
      </c>
      <c r="AE103" s="395">
        <f t="shared" ca="1" si="96"/>
        <v>0</v>
      </c>
      <c r="AF103" s="395">
        <f t="shared" ca="1" si="96"/>
        <v>0</v>
      </c>
      <c r="AG103" s="395">
        <f t="shared" ca="1" si="96"/>
        <v>0</v>
      </c>
      <c r="AH103" s="395">
        <f t="shared" ca="1" si="96"/>
        <v>0</v>
      </c>
      <c r="AI103" s="395">
        <f t="shared" ca="1" si="96"/>
        <v>0</v>
      </c>
      <c r="AJ103" s="395">
        <f t="shared" ca="1" si="96"/>
        <v>0</v>
      </c>
      <c r="AK103" s="395">
        <f t="shared" ca="1" si="96"/>
        <v>0</v>
      </c>
      <c r="AL103" s="395">
        <f t="shared" ca="1" si="96"/>
        <v>0</v>
      </c>
      <c r="AM103" s="395">
        <f t="shared" ca="1" si="96"/>
        <v>0</v>
      </c>
      <c r="AN103" s="395">
        <f t="shared" ca="1" si="96"/>
        <v>0</v>
      </c>
      <c r="AO103" s="395">
        <f t="shared" ca="1" si="96"/>
        <v>1421003.6151321242</v>
      </c>
      <c r="AP103" s="395">
        <f t="shared" ca="1" si="96"/>
        <v>110073.79706883527</v>
      </c>
      <c r="AQ103" s="395">
        <f t="shared" ca="1" si="96"/>
        <v>110073.79706883527</v>
      </c>
      <c r="AR103" s="395">
        <f t="shared" ca="1" si="96"/>
        <v>110073.79706883527</v>
      </c>
      <c r="AS103" s="395">
        <f t="shared" ca="1" si="96"/>
        <v>110073.79706883527</v>
      </c>
      <c r="AT103" s="395">
        <f t="shared" ca="1" si="96"/>
        <v>110073.79706883527</v>
      </c>
      <c r="AU103" s="395">
        <f t="shared" ca="1" si="96"/>
        <v>110073.79706883527</v>
      </c>
      <c r="AV103" s="395">
        <f t="shared" ca="1" si="96"/>
        <v>110073.79706883527</v>
      </c>
      <c r="AW103" s="395">
        <f t="shared" ca="1" si="96"/>
        <v>110073.79706883527</v>
      </c>
      <c r="AX103" s="395">
        <f t="shared" ca="1" si="96"/>
        <v>110073.79706883527</v>
      </c>
      <c r="AY103" s="395">
        <f t="shared" ca="1" si="96"/>
        <v>110073.79706883527</v>
      </c>
      <c r="AZ103" s="395">
        <f t="shared" ca="1" si="96"/>
        <v>110073.79706883527</v>
      </c>
      <c r="BA103" s="395">
        <f t="shared" ca="1" si="96"/>
        <v>110073.79706883527</v>
      </c>
      <c r="BB103" s="395">
        <f t="shared" ca="1" si="96"/>
        <v>92276.448121092428</v>
      </c>
      <c r="BC103" s="395">
        <f t="shared" ca="1" si="96"/>
        <v>92276.448121092428</v>
      </c>
      <c r="BD103" s="395">
        <f t="shared" ca="1" si="96"/>
        <v>92276.448121092428</v>
      </c>
      <c r="BE103" s="395">
        <f t="shared" ca="1" si="96"/>
        <v>92276.448121092428</v>
      </c>
      <c r="BF103" s="395">
        <f t="shared" ca="1" si="96"/>
        <v>92276.448121092428</v>
      </c>
      <c r="BG103" s="395">
        <f t="shared" ca="1" si="96"/>
        <v>92276.448121092428</v>
      </c>
      <c r="BH103" s="395">
        <f t="shared" ca="1" si="96"/>
        <v>92276.448121092428</v>
      </c>
      <c r="BI103" s="395">
        <f t="shared" ca="1" si="96"/>
        <v>92276.448121092428</v>
      </c>
      <c r="BJ103" s="395">
        <f t="shared" ca="1" si="96"/>
        <v>92276.448121092428</v>
      </c>
      <c r="BK103" s="395">
        <f t="shared" ca="1" si="96"/>
        <v>92276.448121092428</v>
      </c>
      <c r="BL103" s="395">
        <f t="shared" ca="1" si="96"/>
        <v>92276.448121092428</v>
      </c>
      <c r="BM103" s="395">
        <f t="shared" ca="1" si="96"/>
        <v>92276.448121092428</v>
      </c>
      <c r="BN103" s="395">
        <f t="shared" ca="1" si="96"/>
        <v>106921.35986988785</v>
      </c>
      <c r="BO103" s="395">
        <f t="shared" ca="1" si="96"/>
        <v>106921.35986988785</v>
      </c>
      <c r="BP103" s="395">
        <f t="shared" ca="1" si="96"/>
        <v>106921.35986988785</v>
      </c>
      <c r="BQ103" s="395">
        <f t="shared" ca="1" si="96"/>
        <v>106921.35986988785</v>
      </c>
      <c r="BR103" s="395">
        <f t="shared" ref="BR103:CK103" ca="1" si="97">BR78-BR90</f>
        <v>106921.35986988785</v>
      </c>
      <c r="BS103" s="395">
        <f t="shared" ca="1" si="97"/>
        <v>106921.35986988785</v>
      </c>
      <c r="BT103" s="395">
        <f t="shared" ca="1" si="97"/>
        <v>106921.35986988785</v>
      </c>
      <c r="BU103" s="395">
        <f t="shared" ca="1" si="97"/>
        <v>106921.35986988785</v>
      </c>
      <c r="BV103" s="395">
        <f t="shared" ca="1" si="97"/>
        <v>106921.35986988785</v>
      </c>
      <c r="BW103" s="395">
        <f t="shared" ca="1" si="97"/>
        <v>106921.35986988785</v>
      </c>
      <c r="BX103" s="395">
        <f t="shared" ca="1" si="97"/>
        <v>106921.35986988785</v>
      </c>
      <c r="BY103" s="395">
        <f t="shared" ca="1" si="97"/>
        <v>12719474.3621164</v>
      </c>
      <c r="BZ103" s="395">
        <f t="shared" ca="1" si="97"/>
        <v>0</v>
      </c>
      <c r="CA103" s="395">
        <f t="shared" ca="1" si="97"/>
        <v>0</v>
      </c>
      <c r="CB103" s="395">
        <f t="shared" ca="1" si="97"/>
        <v>0</v>
      </c>
      <c r="CC103" s="395">
        <f t="shared" ca="1" si="97"/>
        <v>0</v>
      </c>
      <c r="CD103" s="395">
        <f t="shared" ca="1" si="97"/>
        <v>0</v>
      </c>
      <c r="CE103" s="395">
        <f t="shared" ca="1" si="97"/>
        <v>0</v>
      </c>
      <c r="CF103" s="395">
        <f t="shared" ca="1" si="97"/>
        <v>0</v>
      </c>
      <c r="CG103" s="395">
        <f t="shared" ca="1" si="97"/>
        <v>0</v>
      </c>
      <c r="CH103" s="395">
        <f t="shared" ca="1" si="97"/>
        <v>0</v>
      </c>
      <c r="CI103" s="395">
        <f t="shared" ca="1" si="97"/>
        <v>0</v>
      </c>
      <c r="CJ103" s="395">
        <f t="shared" ca="1" si="97"/>
        <v>0</v>
      </c>
      <c r="CK103" s="395">
        <f t="shared" ca="1" si="97"/>
        <v>0</v>
      </c>
      <c r="CL103" s="133" t="s">
        <v>15</v>
      </c>
    </row>
    <row r="104" spans="2:90" ht="15" customHeight="1" outlineLevel="1" x14ac:dyDescent="0.2">
      <c r="B104" s="133" t="str">
        <f>TEXT(H13,"0.0%")&amp;" to Co-Investor"</f>
        <v>40.0% to Co-Investor</v>
      </c>
      <c r="C104" s="133"/>
      <c r="D104" s="133"/>
      <c r="E104" s="395">
        <f t="shared" ref="E104:AJ104" ca="1" si="98">E103*Tier4_CoInvestorPctCF_Case1</f>
        <v>0</v>
      </c>
      <c r="F104" s="395">
        <f t="shared" ca="1" si="98"/>
        <v>0</v>
      </c>
      <c r="G104" s="395">
        <f t="shared" ca="1" si="98"/>
        <v>0</v>
      </c>
      <c r="H104" s="395">
        <f t="shared" ca="1" si="98"/>
        <v>0</v>
      </c>
      <c r="I104" s="395">
        <f t="shared" ca="1" si="98"/>
        <v>0</v>
      </c>
      <c r="J104" s="395">
        <f t="shared" ca="1" si="98"/>
        <v>0</v>
      </c>
      <c r="K104" s="395">
        <f t="shared" ca="1" si="98"/>
        <v>0</v>
      </c>
      <c r="L104" s="395">
        <f t="shared" ca="1" si="98"/>
        <v>0</v>
      </c>
      <c r="M104" s="395">
        <f t="shared" ca="1" si="98"/>
        <v>0</v>
      </c>
      <c r="N104" s="395">
        <f t="shared" ca="1" si="98"/>
        <v>0</v>
      </c>
      <c r="O104" s="395">
        <f t="shared" ca="1" si="98"/>
        <v>0</v>
      </c>
      <c r="P104" s="395">
        <f t="shared" ca="1" si="98"/>
        <v>0</v>
      </c>
      <c r="Q104" s="395">
        <f t="shared" ca="1" si="98"/>
        <v>0</v>
      </c>
      <c r="R104" s="395">
        <f t="shared" ca="1" si="98"/>
        <v>0</v>
      </c>
      <c r="S104" s="395">
        <f t="shared" ca="1" si="98"/>
        <v>0</v>
      </c>
      <c r="T104" s="395">
        <f t="shared" ca="1" si="98"/>
        <v>0</v>
      </c>
      <c r="U104" s="395">
        <f t="shared" ca="1" si="98"/>
        <v>0</v>
      </c>
      <c r="V104" s="395">
        <f t="shared" ca="1" si="98"/>
        <v>0</v>
      </c>
      <c r="W104" s="395">
        <f t="shared" ca="1" si="98"/>
        <v>0</v>
      </c>
      <c r="X104" s="395">
        <f t="shared" ca="1" si="98"/>
        <v>0</v>
      </c>
      <c r="Y104" s="395">
        <f t="shared" ca="1" si="98"/>
        <v>0</v>
      </c>
      <c r="Z104" s="395">
        <f t="shared" ca="1" si="98"/>
        <v>0</v>
      </c>
      <c r="AA104" s="395">
        <f t="shared" ca="1" si="98"/>
        <v>0</v>
      </c>
      <c r="AB104" s="395">
        <f t="shared" ca="1" si="98"/>
        <v>0</v>
      </c>
      <c r="AC104" s="395">
        <f t="shared" ca="1" si="98"/>
        <v>0</v>
      </c>
      <c r="AD104" s="395">
        <f t="shared" ca="1" si="98"/>
        <v>0</v>
      </c>
      <c r="AE104" s="395">
        <f t="shared" ca="1" si="98"/>
        <v>0</v>
      </c>
      <c r="AF104" s="395">
        <f t="shared" ca="1" si="98"/>
        <v>0</v>
      </c>
      <c r="AG104" s="395">
        <f t="shared" ca="1" si="98"/>
        <v>0</v>
      </c>
      <c r="AH104" s="395">
        <f t="shared" ca="1" si="98"/>
        <v>0</v>
      </c>
      <c r="AI104" s="395">
        <f t="shared" ca="1" si="98"/>
        <v>0</v>
      </c>
      <c r="AJ104" s="395">
        <f t="shared" ca="1" si="98"/>
        <v>0</v>
      </c>
      <c r="AK104" s="395">
        <f t="shared" ref="AK104:BP104" ca="1" si="99">AK103*Tier4_CoInvestorPctCF_Case1</f>
        <v>0</v>
      </c>
      <c r="AL104" s="395">
        <f t="shared" ca="1" si="99"/>
        <v>0</v>
      </c>
      <c r="AM104" s="395">
        <f t="shared" ca="1" si="99"/>
        <v>0</v>
      </c>
      <c r="AN104" s="395">
        <f t="shared" ca="1" si="99"/>
        <v>0</v>
      </c>
      <c r="AO104" s="395">
        <f t="shared" ca="1" si="99"/>
        <v>568401.44605284964</v>
      </c>
      <c r="AP104" s="395">
        <f t="shared" ca="1" si="99"/>
        <v>44029.518827534106</v>
      </c>
      <c r="AQ104" s="395">
        <f t="shared" ca="1" si="99"/>
        <v>44029.518827534106</v>
      </c>
      <c r="AR104" s="395">
        <f t="shared" ca="1" si="99"/>
        <v>44029.518827534106</v>
      </c>
      <c r="AS104" s="395">
        <f t="shared" ca="1" si="99"/>
        <v>44029.518827534106</v>
      </c>
      <c r="AT104" s="395">
        <f t="shared" ca="1" si="99"/>
        <v>44029.518827534106</v>
      </c>
      <c r="AU104" s="395">
        <f t="shared" ca="1" si="99"/>
        <v>44029.518827534106</v>
      </c>
      <c r="AV104" s="395">
        <f t="shared" ca="1" si="99"/>
        <v>44029.518827534106</v>
      </c>
      <c r="AW104" s="395">
        <f t="shared" ca="1" si="99"/>
        <v>44029.518827534106</v>
      </c>
      <c r="AX104" s="395">
        <f t="shared" ca="1" si="99"/>
        <v>44029.518827534106</v>
      </c>
      <c r="AY104" s="395">
        <f t="shared" ca="1" si="99"/>
        <v>44029.518827534106</v>
      </c>
      <c r="AZ104" s="395">
        <f t="shared" ca="1" si="99"/>
        <v>44029.518827534106</v>
      </c>
      <c r="BA104" s="395">
        <f t="shared" ca="1" si="99"/>
        <v>44029.518827534106</v>
      </c>
      <c r="BB104" s="395">
        <f t="shared" ca="1" si="99"/>
        <v>36910.579248436974</v>
      </c>
      <c r="BC104" s="395">
        <f t="shared" ca="1" si="99"/>
        <v>36910.579248436974</v>
      </c>
      <c r="BD104" s="395">
        <f t="shared" ca="1" si="99"/>
        <v>36910.579248436974</v>
      </c>
      <c r="BE104" s="395">
        <f t="shared" ca="1" si="99"/>
        <v>36910.579248436974</v>
      </c>
      <c r="BF104" s="395">
        <f t="shared" ca="1" si="99"/>
        <v>36910.579248436974</v>
      </c>
      <c r="BG104" s="395">
        <f t="shared" ca="1" si="99"/>
        <v>36910.579248436974</v>
      </c>
      <c r="BH104" s="395">
        <f t="shared" ca="1" si="99"/>
        <v>36910.579248436974</v>
      </c>
      <c r="BI104" s="395">
        <f t="shared" ca="1" si="99"/>
        <v>36910.579248436974</v>
      </c>
      <c r="BJ104" s="395">
        <f t="shared" ca="1" si="99"/>
        <v>36910.579248436974</v>
      </c>
      <c r="BK104" s="395">
        <f t="shared" ca="1" si="99"/>
        <v>36910.579248436974</v>
      </c>
      <c r="BL104" s="395">
        <f t="shared" ca="1" si="99"/>
        <v>36910.579248436974</v>
      </c>
      <c r="BM104" s="395">
        <f t="shared" ca="1" si="99"/>
        <v>36910.579248436974</v>
      </c>
      <c r="BN104" s="395">
        <f t="shared" ca="1" si="99"/>
        <v>42768.543947955142</v>
      </c>
      <c r="BO104" s="395">
        <f t="shared" ca="1" si="99"/>
        <v>42768.543947955142</v>
      </c>
      <c r="BP104" s="395">
        <f t="shared" ca="1" si="99"/>
        <v>42768.543947955142</v>
      </c>
      <c r="BQ104" s="395">
        <f t="shared" ref="BQ104:CK104" ca="1" si="100">BQ103*Tier4_CoInvestorPctCF_Case1</f>
        <v>42768.543947955142</v>
      </c>
      <c r="BR104" s="395">
        <f t="shared" ca="1" si="100"/>
        <v>42768.543947955142</v>
      </c>
      <c r="BS104" s="395">
        <f t="shared" ca="1" si="100"/>
        <v>42768.543947955142</v>
      </c>
      <c r="BT104" s="395">
        <f t="shared" ca="1" si="100"/>
        <v>42768.543947955142</v>
      </c>
      <c r="BU104" s="395">
        <f t="shared" ca="1" si="100"/>
        <v>42768.543947955142</v>
      </c>
      <c r="BV104" s="395">
        <f t="shared" ca="1" si="100"/>
        <v>42768.543947955142</v>
      </c>
      <c r="BW104" s="395">
        <f t="shared" ca="1" si="100"/>
        <v>42768.543947955142</v>
      </c>
      <c r="BX104" s="395">
        <f t="shared" ca="1" si="100"/>
        <v>42768.543947955142</v>
      </c>
      <c r="BY104" s="395">
        <f t="shared" ca="1" si="100"/>
        <v>5087789.7448465601</v>
      </c>
      <c r="BZ104" s="395">
        <f t="shared" ca="1" si="100"/>
        <v>0</v>
      </c>
      <c r="CA104" s="395">
        <f t="shared" ca="1" si="100"/>
        <v>0</v>
      </c>
      <c r="CB104" s="395">
        <f t="shared" ca="1" si="100"/>
        <v>0</v>
      </c>
      <c r="CC104" s="395">
        <f t="shared" ca="1" si="100"/>
        <v>0</v>
      </c>
      <c r="CD104" s="395">
        <f t="shared" ca="1" si="100"/>
        <v>0</v>
      </c>
      <c r="CE104" s="395">
        <f t="shared" ca="1" si="100"/>
        <v>0</v>
      </c>
      <c r="CF104" s="395">
        <f t="shared" ca="1" si="100"/>
        <v>0</v>
      </c>
      <c r="CG104" s="395">
        <f t="shared" ca="1" si="100"/>
        <v>0</v>
      </c>
      <c r="CH104" s="395">
        <f t="shared" ca="1" si="100"/>
        <v>0</v>
      </c>
      <c r="CI104" s="395">
        <f t="shared" ca="1" si="100"/>
        <v>0</v>
      </c>
      <c r="CJ104" s="395">
        <f t="shared" ca="1" si="100"/>
        <v>0</v>
      </c>
      <c r="CK104" s="395">
        <f t="shared" ca="1" si="100"/>
        <v>0</v>
      </c>
      <c r="CL104" s="133" t="s">
        <v>15</v>
      </c>
    </row>
    <row r="105" spans="2:90" ht="15" customHeight="1" outlineLevel="1" x14ac:dyDescent="0.2">
      <c r="B105" s="133" t="str">
        <f>TEXT(I13,"0.0%")&amp;" to Sponsor"</f>
        <v>60.0% to Sponsor</v>
      </c>
      <c r="C105" s="133"/>
      <c r="D105" s="133"/>
      <c r="E105" s="395">
        <f t="shared" ref="E105:AJ105" ca="1" si="101">E103*Tier4_SponsorPctCF_Case1</f>
        <v>0</v>
      </c>
      <c r="F105" s="395">
        <f t="shared" ca="1" si="101"/>
        <v>0</v>
      </c>
      <c r="G105" s="395">
        <f t="shared" ca="1" si="101"/>
        <v>0</v>
      </c>
      <c r="H105" s="395">
        <f t="shared" ca="1" si="101"/>
        <v>0</v>
      </c>
      <c r="I105" s="395">
        <f t="shared" ca="1" si="101"/>
        <v>0</v>
      </c>
      <c r="J105" s="395">
        <f t="shared" ca="1" si="101"/>
        <v>0</v>
      </c>
      <c r="K105" s="395">
        <f t="shared" ca="1" si="101"/>
        <v>0</v>
      </c>
      <c r="L105" s="395">
        <f t="shared" ca="1" si="101"/>
        <v>0</v>
      </c>
      <c r="M105" s="395">
        <f t="shared" ca="1" si="101"/>
        <v>0</v>
      </c>
      <c r="N105" s="395">
        <f t="shared" ca="1" si="101"/>
        <v>0</v>
      </c>
      <c r="O105" s="395">
        <f t="shared" ca="1" si="101"/>
        <v>0</v>
      </c>
      <c r="P105" s="395">
        <f t="shared" ca="1" si="101"/>
        <v>0</v>
      </c>
      <c r="Q105" s="395">
        <f t="shared" ca="1" si="101"/>
        <v>0</v>
      </c>
      <c r="R105" s="395">
        <f t="shared" ca="1" si="101"/>
        <v>0</v>
      </c>
      <c r="S105" s="395">
        <f t="shared" ca="1" si="101"/>
        <v>0</v>
      </c>
      <c r="T105" s="395">
        <f t="shared" ca="1" si="101"/>
        <v>0</v>
      </c>
      <c r="U105" s="395">
        <f t="shared" ca="1" si="101"/>
        <v>0</v>
      </c>
      <c r="V105" s="395">
        <f t="shared" ca="1" si="101"/>
        <v>0</v>
      </c>
      <c r="W105" s="395">
        <f t="shared" ca="1" si="101"/>
        <v>0</v>
      </c>
      <c r="X105" s="395">
        <f t="shared" ca="1" si="101"/>
        <v>0</v>
      </c>
      <c r="Y105" s="395">
        <f t="shared" ca="1" si="101"/>
        <v>0</v>
      </c>
      <c r="Z105" s="395">
        <f t="shared" ca="1" si="101"/>
        <v>0</v>
      </c>
      <c r="AA105" s="395">
        <f t="shared" ca="1" si="101"/>
        <v>0</v>
      </c>
      <c r="AB105" s="395">
        <f t="shared" ca="1" si="101"/>
        <v>0</v>
      </c>
      <c r="AC105" s="395">
        <f t="shared" ca="1" si="101"/>
        <v>0</v>
      </c>
      <c r="AD105" s="395">
        <f t="shared" ca="1" si="101"/>
        <v>0</v>
      </c>
      <c r="AE105" s="395">
        <f t="shared" ca="1" si="101"/>
        <v>0</v>
      </c>
      <c r="AF105" s="395">
        <f t="shared" ca="1" si="101"/>
        <v>0</v>
      </c>
      <c r="AG105" s="395">
        <f t="shared" ca="1" si="101"/>
        <v>0</v>
      </c>
      <c r="AH105" s="395">
        <f t="shared" ca="1" si="101"/>
        <v>0</v>
      </c>
      <c r="AI105" s="395">
        <f t="shared" ca="1" si="101"/>
        <v>0</v>
      </c>
      <c r="AJ105" s="395">
        <f t="shared" ca="1" si="101"/>
        <v>0</v>
      </c>
      <c r="AK105" s="395">
        <f t="shared" ref="AK105:BP105" ca="1" si="102">AK103*Tier4_SponsorPctCF_Case1</f>
        <v>0</v>
      </c>
      <c r="AL105" s="395">
        <f t="shared" ca="1" si="102"/>
        <v>0</v>
      </c>
      <c r="AM105" s="395">
        <f t="shared" ca="1" si="102"/>
        <v>0</v>
      </c>
      <c r="AN105" s="395">
        <f t="shared" ca="1" si="102"/>
        <v>0</v>
      </c>
      <c r="AO105" s="395">
        <f t="shared" ca="1" si="102"/>
        <v>852602.16907927452</v>
      </c>
      <c r="AP105" s="395">
        <f t="shared" ca="1" si="102"/>
        <v>66044.278241301159</v>
      </c>
      <c r="AQ105" s="395">
        <f t="shared" ca="1" si="102"/>
        <v>66044.278241301159</v>
      </c>
      <c r="AR105" s="395">
        <f t="shared" ca="1" si="102"/>
        <v>66044.278241301159</v>
      </c>
      <c r="AS105" s="395">
        <f t="shared" ca="1" si="102"/>
        <v>66044.278241301159</v>
      </c>
      <c r="AT105" s="395">
        <f t="shared" ca="1" si="102"/>
        <v>66044.278241301159</v>
      </c>
      <c r="AU105" s="395">
        <f t="shared" ca="1" si="102"/>
        <v>66044.278241301159</v>
      </c>
      <c r="AV105" s="395">
        <f t="shared" ca="1" si="102"/>
        <v>66044.278241301159</v>
      </c>
      <c r="AW105" s="395">
        <f t="shared" ca="1" si="102"/>
        <v>66044.278241301159</v>
      </c>
      <c r="AX105" s="395">
        <f t="shared" ca="1" si="102"/>
        <v>66044.278241301159</v>
      </c>
      <c r="AY105" s="395">
        <f t="shared" ca="1" si="102"/>
        <v>66044.278241301159</v>
      </c>
      <c r="AZ105" s="395">
        <f t="shared" ca="1" si="102"/>
        <v>66044.278241301159</v>
      </c>
      <c r="BA105" s="395">
        <f t="shared" ca="1" si="102"/>
        <v>66044.278241301159</v>
      </c>
      <c r="BB105" s="395">
        <f t="shared" ca="1" si="102"/>
        <v>55365.868872655454</v>
      </c>
      <c r="BC105" s="395">
        <f t="shared" ca="1" si="102"/>
        <v>55365.868872655454</v>
      </c>
      <c r="BD105" s="395">
        <f t="shared" ca="1" si="102"/>
        <v>55365.868872655454</v>
      </c>
      <c r="BE105" s="395">
        <f t="shared" ca="1" si="102"/>
        <v>55365.868872655454</v>
      </c>
      <c r="BF105" s="395">
        <f t="shared" ca="1" si="102"/>
        <v>55365.868872655454</v>
      </c>
      <c r="BG105" s="395">
        <f t="shared" ca="1" si="102"/>
        <v>55365.868872655454</v>
      </c>
      <c r="BH105" s="395">
        <f t="shared" ca="1" si="102"/>
        <v>55365.868872655454</v>
      </c>
      <c r="BI105" s="395">
        <f t="shared" ca="1" si="102"/>
        <v>55365.868872655454</v>
      </c>
      <c r="BJ105" s="395">
        <f t="shared" ca="1" si="102"/>
        <v>55365.868872655454</v>
      </c>
      <c r="BK105" s="395">
        <f t="shared" ca="1" si="102"/>
        <v>55365.868872655454</v>
      </c>
      <c r="BL105" s="395">
        <f t="shared" ca="1" si="102"/>
        <v>55365.868872655454</v>
      </c>
      <c r="BM105" s="395">
        <f t="shared" ca="1" si="102"/>
        <v>55365.868872655454</v>
      </c>
      <c r="BN105" s="395">
        <f t="shared" ca="1" si="102"/>
        <v>64152.815921932706</v>
      </c>
      <c r="BO105" s="395">
        <f t="shared" ca="1" si="102"/>
        <v>64152.815921932706</v>
      </c>
      <c r="BP105" s="395">
        <f t="shared" ca="1" si="102"/>
        <v>64152.815921932706</v>
      </c>
      <c r="BQ105" s="395">
        <f t="shared" ref="BQ105:CK105" ca="1" si="103">BQ103*Tier4_SponsorPctCF_Case1</f>
        <v>64152.815921932706</v>
      </c>
      <c r="BR105" s="395">
        <f t="shared" ca="1" si="103"/>
        <v>64152.815921932706</v>
      </c>
      <c r="BS105" s="395">
        <f t="shared" ca="1" si="103"/>
        <v>64152.815921932706</v>
      </c>
      <c r="BT105" s="395">
        <f t="shared" ca="1" si="103"/>
        <v>64152.815921932706</v>
      </c>
      <c r="BU105" s="395">
        <f t="shared" ca="1" si="103"/>
        <v>64152.815921932706</v>
      </c>
      <c r="BV105" s="395">
        <f t="shared" ca="1" si="103"/>
        <v>64152.815921932706</v>
      </c>
      <c r="BW105" s="395">
        <f t="shared" ca="1" si="103"/>
        <v>64152.815921932706</v>
      </c>
      <c r="BX105" s="395">
        <f t="shared" ca="1" si="103"/>
        <v>64152.815921932706</v>
      </c>
      <c r="BY105" s="395">
        <f t="shared" ca="1" si="103"/>
        <v>7631684.6172698401</v>
      </c>
      <c r="BZ105" s="395">
        <f t="shared" ca="1" si="103"/>
        <v>0</v>
      </c>
      <c r="CA105" s="395">
        <f t="shared" ca="1" si="103"/>
        <v>0</v>
      </c>
      <c r="CB105" s="395">
        <f t="shared" ca="1" si="103"/>
        <v>0</v>
      </c>
      <c r="CC105" s="395">
        <f t="shared" ca="1" si="103"/>
        <v>0</v>
      </c>
      <c r="CD105" s="395">
        <f t="shared" ca="1" si="103"/>
        <v>0</v>
      </c>
      <c r="CE105" s="395">
        <f t="shared" ca="1" si="103"/>
        <v>0</v>
      </c>
      <c r="CF105" s="395">
        <f t="shared" ca="1" si="103"/>
        <v>0</v>
      </c>
      <c r="CG105" s="395">
        <f t="shared" ca="1" si="103"/>
        <v>0</v>
      </c>
      <c r="CH105" s="395">
        <f t="shared" ca="1" si="103"/>
        <v>0</v>
      </c>
      <c r="CI105" s="395">
        <f t="shared" ca="1" si="103"/>
        <v>0</v>
      </c>
      <c r="CJ105" s="395">
        <f t="shared" ca="1" si="103"/>
        <v>0</v>
      </c>
      <c r="CK105" s="395">
        <f t="shared" ca="1" si="103"/>
        <v>0</v>
      </c>
      <c r="CL105" s="133" t="s">
        <v>15</v>
      </c>
    </row>
    <row r="106" spans="2:90" ht="15" customHeight="1" outlineLevel="1" x14ac:dyDescent="0.2">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row>
    <row r="107" spans="2:90" ht="15" customHeight="1" outlineLevel="1" x14ac:dyDescent="0.2">
      <c r="B107" s="133" t="s">
        <v>279</v>
      </c>
      <c r="C107" s="133"/>
      <c r="D107" s="133"/>
      <c r="E107" s="395">
        <f ca="1">E104</f>
        <v>0</v>
      </c>
      <c r="F107" s="395">
        <f t="shared" ref="F107:BQ107" ca="1" si="104">F104</f>
        <v>0</v>
      </c>
      <c r="G107" s="395">
        <f t="shared" ca="1" si="104"/>
        <v>0</v>
      </c>
      <c r="H107" s="395">
        <f t="shared" ca="1" si="104"/>
        <v>0</v>
      </c>
      <c r="I107" s="395">
        <f t="shared" ca="1" si="104"/>
        <v>0</v>
      </c>
      <c r="J107" s="395">
        <f t="shared" ca="1" si="104"/>
        <v>0</v>
      </c>
      <c r="K107" s="395">
        <f t="shared" ca="1" si="104"/>
        <v>0</v>
      </c>
      <c r="L107" s="395">
        <f t="shared" ca="1" si="104"/>
        <v>0</v>
      </c>
      <c r="M107" s="395">
        <f t="shared" ca="1" si="104"/>
        <v>0</v>
      </c>
      <c r="N107" s="395">
        <f t="shared" ca="1" si="104"/>
        <v>0</v>
      </c>
      <c r="O107" s="395">
        <f t="shared" ca="1" si="104"/>
        <v>0</v>
      </c>
      <c r="P107" s="395">
        <f t="shared" ca="1" si="104"/>
        <v>0</v>
      </c>
      <c r="Q107" s="395">
        <f t="shared" ca="1" si="104"/>
        <v>0</v>
      </c>
      <c r="R107" s="395">
        <f t="shared" ca="1" si="104"/>
        <v>0</v>
      </c>
      <c r="S107" s="395">
        <f t="shared" ca="1" si="104"/>
        <v>0</v>
      </c>
      <c r="T107" s="395">
        <f t="shared" ca="1" si="104"/>
        <v>0</v>
      </c>
      <c r="U107" s="395">
        <f t="shared" ca="1" si="104"/>
        <v>0</v>
      </c>
      <c r="V107" s="395">
        <f t="shared" ca="1" si="104"/>
        <v>0</v>
      </c>
      <c r="W107" s="395">
        <f t="shared" ca="1" si="104"/>
        <v>0</v>
      </c>
      <c r="X107" s="395">
        <f t="shared" ca="1" si="104"/>
        <v>0</v>
      </c>
      <c r="Y107" s="395">
        <f t="shared" ca="1" si="104"/>
        <v>0</v>
      </c>
      <c r="Z107" s="395">
        <f t="shared" ca="1" si="104"/>
        <v>0</v>
      </c>
      <c r="AA107" s="395">
        <f t="shared" ca="1" si="104"/>
        <v>0</v>
      </c>
      <c r="AB107" s="395">
        <f t="shared" ca="1" si="104"/>
        <v>0</v>
      </c>
      <c r="AC107" s="395">
        <f t="shared" ca="1" si="104"/>
        <v>0</v>
      </c>
      <c r="AD107" s="395">
        <f t="shared" ca="1" si="104"/>
        <v>0</v>
      </c>
      <c r="AE107" s="395">
        <f t="shared" ca="1" si="104"/>
        <v>0</v>
      </c>
      <c r="AF107" s="395">
        <f t="shared" ca="1" si="104"/>
        <v>0</v>
      </c>
      <c r="AG107" s="395">
        <f t="shared" ca="1" si="104"/>
        <v>0</v>
      </c>
      <c r="AH107" s="395">
        <f t="shared" ca="1" si="104"/>
        <v>0</v>
      </c>
      <c r="AI107" s="395">
        <f t="shared" ca="1" si="104"/>
        <v>0</v>
      </c>
      <c r="AJ107" s="395">
        <f t="shared" ca="1" si="104"/>
        <v>0</v>
      </c>
      <c r="AK107" s="395">
        <f t="shared" ca="1" si="104"/>
        <v>0</v>
      </c>
      <c r="AL107" s="395">
        <f t="shared" ca="1" si="104"/>
        <v>0</v>
      </c>
      <c r="AM107" s="395">
        <f t="shared" ca="1" si="104"/>
        <v>0</v>
      </c>
      <c r="AN107" s="395">
        <f t="shared" ca="1" si="104"/>
        <v>0</v>
      </c>
      <c r="AO107" s="395">
        <f t="shared" ca="1" si="104"/>
        <v>568401.44605284964</v>
      </c>
      <c r="AP107" s="395">
        <f t="shared" ca="1" si="104"/>
        <v>44029.518827534106</v>
      </c>
      <c r="AQ107" s="395">
        <f t="shared" ca="1" si="104"/>
        <v>44029.518827534106</v>
      </c>
      <c r="AR107" s="395">
        <f t="shared" ca="1" si="104"/>
        <v>44029.518827534106</v>
      </c>
      <c r="AS107" s="395">
        <f t="shared" ca="1" si="104"/>
        <v>44029.518827534106</v>
      </c>
      <c r="AT107" s="395">
        <f t="shared" ca="1" si="104"/>
        <v>44029.518827534106</v>
      </c>
      <c r="AU107" s="395">
        <f t="shared" ca="1" si="104"/>
        <v>44029.518827534106</v>
      </c>
      <c r="AV107" s="395">
        <f t="shared" ca="1" si="104"/>
        <v>44029.518827534106</v>
      </c>
      <c r="AW107" s="395">
        <f t="shared" ca="1" si="104"/>
        <v>44029.518827534106</v>
      </c>
      <c r="AX107" s="395">
        <f t="shared" ca="1" si="104"/>
        <v>44029.518827534106</v>
      </c>
      <c r="AY107" s="395">
        <f t="shared" ca="1" si="104"/>
        <v>44029.518827534106</v>
      </c>
      <c r="AZ107" s="395">
        <f t="shared" ca="1" si="104"/>
        <v>44029.518827534106</v>
      </c>
      <c r="BA107" s="395">
        <f t="shared" ca="1" si="104"/>
        <v>44029.518827534106</v>
      </c>
      <c r="BB107" s="395">
        <f t="shared" ca="1" si="104"/>
        <v>36910.579248436974</v>
      </c>
      <c r="BC107" s="395">
        <f t="shared" ca="1" si="104"/>
        <v>36910.579248436974</v>
      </c>
      <c r="BD107" s="395">
        <f t="shared" ca="1" si="104"/>
        <v>36910.579248436974</v>
      </c>
      <c r="BE107" s="395">
        <f t="shared" ca="1" si="104"/>
        <v>36910.579248436974</v>
      </c>
      <c r="BF107" s="395">
        <f t="shared" ca="1" si="104"/>
        <v>36910.579248436974</v>
      </c>
      <c r="BG107" s="395">
        <f t="shared" ca="1" si="104"/>
        <v>36910.579248436974</v>
      </c>
      <c r="BH107" s="395">
        <f t="shared" ca="1" si="104"/>
        <v>36910.579248436974</v>
      </c>
      <c r="BI107" s="395">
        <f t="shared" ca="1" si="104"/>
        <v>36910.579248436974</v>
      </c>
      <c r="BJ107" s="395">
        <f t="shared" ca="1" si="104"/>
        <v>36910.579248436974</v>
      </c>
      <c r="BK107" s="395">
        <f t="shared" ca="1" si="104"/>
        <v>36910.579248436974</v>
      </c>
      <c r="BL107" s="395">
        <f t="shared" ca="1" si="104"/>
        <v>36910.579248436974</v>
      </c>
      <c r="BM107" s="395">
        <f t="shared" ca="1" si="104"/>
        <v>36910.579248436974</v>
      </c>
      <c r="BN107" s="395">
        <f t="shared" ca="1" si="104"/>
        <v>42768.543947955142</v>
      </c>
      <c r="BO107" s="395">
        <f t="shared" ca="1" si="104"/>
        <v>42768.543947955142</v>
      </c>
      <c r="BP107" s="395">
        <f t="shared" ca="1" si="104"/>
        <v>42768.543947955142</v>
      </c>
      <c r="BQ107" s="395">
        <f t="shared" ca="1" si="104"/>
        <v>42768.543947955142</v>
      </c>
      <c r="BR107" s="395">
        <f t="shared" ref="BR107:CK107" ca="1" si="105">BR104</f>
        <v>42768.543947955142</v>
      </c>
      <c r="BS107" s="395">
        <f t="shared" ca="1" si="105"/>
        <v>42768.543947955142</v>
      </c>
      <c r="BT107" s="395">
        <f t="shared" ca="1" si="105"/>
        <v>42768.543947955142</v>
      </c>
      <c r="BU107" s="395">
        <f t="shared" ca="1" si="105"/>
        <v>42768.543947955142</v>
      </c>
      <c r="BV107" s="395">
        <f t="shared" ca="1" si="105"/>
        <v>42768.543947955142</v>
      </c>
      <c r="BW107" s="395">
        <f t="shared" ca="1" si="105"/>
        <v>42768.543947955142</v>
      </c>
      <c r="BX107" s="395">
        <f t="shared" ca="1" si="105"/>
        <v>42768.543947955142</v>
      </c>
      <c r="BY107" s="395">
        <f t="shared" ca="1" si="105"/>
        <v>5087789.7448465601</v>
      </c>
      <c r="BZ107" s="395">
        <f t="shared" ca="1" si="105"/>
        <v>0</v>
      </c>
      <c r="CA107" s="395">
        <f t="shared" ca="1" si="105"/>
        <v>0</v>
      </c>
      <c r="CB107" s="395">
        <f t="shared" ca="1" si="105"/>
        <v>0</v>
      </c>
      <c r="CC107" s="395">
        <f t="shared" ca="1" si="105"/>
        <v>0</v>
      </c>
      <c r="CD107" s="395">
        <f t="shared" ca="1" si="105"/>
        <v>0</v>
      </c>
      <c r="CE107" s="395">
        <f t="shared" ca="1" si="105"/>
        <v>0</v>
      </c>
      <c r="CF107" s="395">
        <f t="shared" ca="1" si="105"/>
        <v>0</v>
      </c>
      <c r="CG107" s="395">
        <f t="shared" ca="1" si="105"/>
        <v>0</v>
      </c>
      <c r="CH107" s="395">
        <f t="shared" ca="1" si="105"/>
        <v>0</v>
      </c>
      <c r="CI107" s="395">
        <f t="shared" ca="1" si="105"/>
        <v>0</v>
      </c>
      <c r="CJ107" s="395">
        <f t="shared" ca="1" si="105"/>
        <v>0</v>
      </c>
      <c r="CK107" s="395">
        <f t="shared" ca="1" si="105"/>
        <v>0</v>
      </c>
      <c r="CL107" s="133" t="s">
        <v>15</v>
      </c>
    </row>
    <row r="108" spans="2:90" ht="15" customHeight="1" outlineLevel="1" x14ac:dyDescent="0.2">
      <c r="B108" s="133" t="s">
        <v>280</v>
      </c>
      <c r="C108" s="133"/>
      <c r="D108" s="133"/>
      <c r="E108" s="395">
        <f ca="1">E105</f>
        <v>0</v>
      </c>
      <c r="F108" s="395">
        <f t="shared" ref="F108:BQ108" ca="1" si="106">F105</f>
        <v>0</v>
      </c>
      <c r="G108" s="395">
        <f t="shared" ca="1" si="106"/>
        <v>0</v>
      </c>
      <c r="H108" s="395">
        <f t="shared" ca="1" si="106"/>
        <v>0</v>
      </c>
      <c r="I108" s="395">
        <f t="shared" ca="1" si="106"/>
        <v>0</v>
      </c>
      <c r="J108" s="395">
        <f t="shared" ca="1" si="106"/>
        <v>0</v>
      </c>
      <c r="K108" s="395">
        <f t="shared" ca="1" si="106"/>
        <v>0</v>
      </c>
      <c r="L108" s="395">
        <f t="shared" ca="1" si="106"/>
        <v>0</v>
      </c>
      <c r="M108" s="395">
        <f t="shared" ca="1" si="106"/>
        <v>0</v>
      </c>
      <c r="N108" s="395">
        <f t="shared" ca="1" si="106"/>
        <v>0</v>
      </c>
      <c r="O108" s="395">
        <f t="shared" ca="1" si="106"/>
        <v>0</v>
      </c>
      <c r="P108" s="395">
        <f t="shared" ca="1" si="106"/>
        <v>0</v>
      </c>
      <c r="Q108" s="395">
        <f t="shared" ca="1" si="106"/>
        <v>0</v>
      </c>
      <c r="R108" s="395">
        <f t="shared" ca="1" si="106"/>
        <v>0</v>
      </c>
      <c r="S108" s="395">
        <f t="shared" ca="1" si="106"/>
        <v>0</v>
      </c>
      <c r="T108" s="395">
        <f t="shared" ca="1" si="106"/>
        <v>0</v>
      </c>
      <c r="U108" s="395">
        <f t="shared" ca="1" si="106"/>
        <v>0</v>
      </c>
      <c r="V108" s="395">
        <f t="shared" ca="1" si="106"/>
        <v>0</v>
      </c>
      <c r="W108" s="395">
        <f t="shared" ca="1" si="106"/>
        <v>0</v>
      </c>
      <c r="X108" s="395">
        <f t="shared" ca="1" si="106"/>
        <v>0</v>
      </c>
      <c r="Y108" s="395">
        <f t="shared" ca="1" si="106"/>
        <v>0</v>
      </c>
      <c r="Z108" s="395">
        <f t="shared" ca="1" si="106"/>
        <v>0</v>
      </c>
      <c r="AA108" s="395">
        <f t="shared" ca="1" si="106"/>
        <v>0</v>
      </c>
      <c r="AB108" s="395">
        <f t="shared" ca="1" si="106"/>
        <v>0</v>
      </c>
      <c r="AC108" s="395">
        <f t="shared" ca="1" si="106"/>
        <v>0</v>
      </c>
      <c r="AD108" s="395">
        <f t="shared" ca="1" si="106"/>
        <v>0</v>
      </c>
      <c r="AE108" s="395">
        <f t="shared" ca="1" si="106"/>
        <v>0</v>
      </c>
      <c r="AF108" s="395">
        <f t="shared" ca="1" si="106"/>
        <v>0</v>
      </c>
      <c r="AG108" s="395">
        <f t="shared" ca="1" si="106"/>
        <v>0</v>
      </c>
      <c r="AH108" s="395">
        <f t="shared" ca="1" si="106"/>
        <v>0</v>
      </c>
      <c r="AI108" s="395">
        <f t="shared" ca="1" si="106"/>
        <v>0</v>
      </c>
      <c r="AJ108" s="395">
        <f t="shared" ca="1" si="106"/>
        <v>0</v>
      </c>
      <c r="AK108" s="395">
        <f t="shared" ca="1" si="106"/>
        <v>0</v>
      </c>
      <c r="AL108" s="395">
        <f t="shared" ca="1" si="106"/>
        <v>0</v>
      </c>
      <c r="AM108" s="395">
        <f t="shared" ca="1" si="106"/>
        <v>0</v>
      </c>
      <c r="AN108" s="395">
        <f t="shared" ca="1" si="106"/>
        <v>0</v>
      </c>
      <c r="AO108" s="395">
        <f t="shared" ca="1" si="106"/>
        <v>852602.16907927452</v>
      </c>
      <c r="AP108" s="395">
        <f t="shared" ca="1" si="106"/>
        <v>66044.278241301159</v>
      </c>
      <c r="AQ108" s="395">
        <f t="shared" ca="1" si="106"/>
        <v>66044.278241301159</v>
      </c>
      <c r="AR108" s="395">
        <f t="shared" ca="1" si="106"/>
        <v>66044.278241301159</v>
      </c>
      <c r="AS108" s="395">
        <f t="shared" ca="1" si="106"/>
        <v>66044.278241301159</v>
      </c>
      <c r="AT108" s="395">
        <f t="shared" ca="1" si="106"/>
        <v>66044.278241301159</v>
      </c>
      <c r="AU108" s="395">
        <f t="shared" ca="1" si="106"/>
        <v>66044.278241301159</v>
      </c>
      <c r="AV108" s="395">
        <f t="shared" ca="1" si="106"/>
        <v>66044.278241301159</v>
      </c>
      <c r="AW108" s="395">
        <f t="shared" ca="1" si="106"/>
        <v>66044.278241301159</v>
      </c>
      <c r="AX108" s="395">
        <f t="shared" ca="1" si="106"/>
        <v>66044.278241301159</v>
      </c>
      <c r="AY108" s="395">
        <f t="shared" ca="1" si="106"/>
        <v>66044.278241301159</v>
      </c>
      <c r="AZ108" s="395">
        <f t="shared" ca="1" si="106"/>
        <v>66044.278241301159</v>
      </c>
      <c r="BA108" s="395">
        <f t="shared" ca="1" si="106"/>
        <v>66044.278241301159</v>
      </c>
      <c r="BB108" s="395">
        <f t="shared" ca="1" si="106"/>
        <v>55365.868872655454</v>
      </c>
      <c r="BC108" s="395">
        <f t="shared" ca="1" si="106"/>
        <v>55365.868872655454</v>
      </c>
      <c r="BD108" s="395">
        <f t="shared" ca="1" si="106"/>
        <v>55365.868872655454</v>
      </c>
      <c r="BE108" s="395">
        <f t="shared" ca="1" si="106"/>
        <v>55365.868872655454</v>
      </c>
      <c r="BF108" s="395">
        <f t="shared" ca="1" si="106"/>
        <v>55365.868872655454</v>
      </c>
      <c r="BG108" s="395">
        <f t="shared" ca="1" si="106"/>
        <v>55365.868872655454</v>
      </c>
      <c r="BH108" s="395">
        <f t="shared" ca="1" si="106"/>
        <v>55365.868872655454</v>
      </c>
      <c r="BI108" s="395">
        <f t="shared" ca="1" si="106"/>
        <v>55365.868872655454</v>
      </c>
      <c r="BJ108" s="395">
        <f t="shared" ca="1" si="106"/>
        <v>55365.868872655454</v>
      </c>
      <c r="BK108" s="395">
        <f t="shared" ca="1" si="106"/>
        <v>55365.868872655454</v>
      </c>
      <c r="BL108" s="395">
        <f t="shared" ca="1" si="106"/>
        <v>55365.868872655454</v>
      </c>
      <c r="BM108" s="395">
        <f t="shared" ca="1" si="106"/>
        <v>55365.868872655454</v>
      </c>
      <c r="BN108" s="395">
        <f t="shared" ca="1" si="106"/>
        <v>64152.815921932706</v>
      </c>
      <c r="BO108" s="395">
        <f t="shared" ca="1" si="106"/>
        <v>64152.815921932706</v>
      </c>
      <c r="BP108" s="395">
        <f t="shared" ca="1" si="106"/>
        <v>64152.815921932706</v>
      </c>
      <c r="BQ108" s="395">
        <f t="shared" ca="1" si="106"/>
        <v>64152.815921932706</v>
      </c>
      <c r="BR108" s="395">
        <f t="shared" ref="BR108:CK108" ca="1" si="107">BR105</f>
        <v>64152.815921932706</v>
      </c>
      <c r="BS108" s="395">
        <f t="shared" ca="1" si="107"/>
        <v>64152.815921932706</v>
      </c>
      <c r="BT108" s="395">
        <f t="shared" ca="1" si="107"/>
        <v>64152.815921932706</v>
      </c>
      <c r="BU108" s="395">
        <f t="shared" ca="1" si="107"/>
        <v>64152.815921932706</v>
      </c>
      <c r="BV108" s="395">
        <f t="shared" ca="1" si="107"/>
        <v>64152.815921932706</v>
      </c>
      <c r="BW108" s="395">
        <f t="shared" ca="1" si="107"/>
        <v>64152.815921932706</v>
      </c>
      <c r="BX108" s="395">
        <f t="shared" ca="1" si="107"/>
        <v>64152.815921932706</v>
      </c>
      <c r="BY108" s="395">
        <f t="shared" ca="1" si="107"/>
        <v>7631684.6172698401</v>
      </c>
      <c r="BZ108" s="395">
        <f t="shared" ca="1" si="107"/>
        <v>0</v>
      </c>
      <c r="CA108" s="395">
        <f t="shared" ca="1" si="107"/>
        <v>0</v>
      </c>
      <c r="CB108" s="395">
        <f t="shared" ca="1" si="107"/>
        <v>0</v>
      </c>
      <c r="CC108" s="395">
        <f t="shared" ca="1" si="107"/>
        <v>0</v>
      </c>
      <c r="CD108" s="395">
        <f t="shared" ca="1" si="107"/>
        <v>0</v>
      </c>
      <c r="CE108" s="395">
        <f t="shared" ca="1" si="107"/>
        <v>0</v>
      </c>
      <c r="CF108" s="395">
        <f t="shared" ca="1" si="107"/>
        <v>0</v>
      </c>
      <c r="CG108" s="395">
        <f t="shared" ca="1" si="107"/>
        <v>0</v>
      </c>
      <c r="CH108" s="395">
        <f t="shared" ca="1" si="107"/>
        <v>0</v>
      </c>
      <c r="CI108" s="395">
        <f t="shared" ca="1" si="107"/>
        <v>0</v>
      </c>
      <c r="CJ108" s="395">
        <f t="shared" ca="1" si="107"/>
        <v>0</v>
      </c>
      <c r="CK108" s="395">
        <f t="shared" ca="1" si="107"/>
        <v>0</v>
      </c>
      <c r="CL108" s="133" t="s">
        <v>15</v>
      </c>
    </row>
    <row r="109" spans="2:90" ht="15" customHeight="1" outlineLevel="1" x14ac:dyDescent="0.2">
      <c r="B109" s="133" t="s">
        <v>30</v>
      </c>
      <c r="C109" s="133"/>
      <c r="D109" s="133"/>
      <c r="E109" s="395">
        <f ca="1">SUM(E107:E108)</f>
        <v>0</v>
      </c>
      <c r="F109" s="395">
        <f t="shared" ref="F109:BQ109" ca="1" si="108">SUM(F107:F108)</f>
        <v>0</v>
      </c>
      <c r="G109" s="395">
        <f t="shared" ca="1" si="108"/>
        <v>0</v>
      </c>
      <c r="H109" s="395">
        <f t="shared" ca="1" si="108"/>
        <v>0</v>
      </c>
      <c r="I109" s="395">
        <f t="shared" ca="1" si="108"/>
        <v>0</v>
      </c>
      <c r="J109" s="395">
        <f t="shared" ca="1" si="108"/>
        <v>0</v>
      </c>
      <c r="K109" s="395">
        <f t="shared" ca="1" si="108"/>
        <v>0</v>
      </c>
      <c r="L109" s="395">
        <f t="shared" ca="1" si="108"/>
        <v>0</v>
      </c>
      <c r="M109" s="395">
        <f t="shared" ca="1" si="108"/>
        <v>0</v>
      </c>
      <c r="N109" s="395">
        <f t="shared" ca="1" si="108"/>
        <v>0</v>
      </c>
      <c r="O109" s="395">
        <f t="shared" ca="1" si="108"/>
        <v>0</v>
      </c>
      <c r="P109" s="395">
        <f t="shared" ca="1" si="108"/>
        <v>0</v>
      </c>
      <c r="Q109" s="395">
        <f t="shared" ca="1" si="108"/>
        <v>0</v>
      </c>
      <c r="R109" s="395">
        <f t="shared" ca="1" si="108"/>
        <v>0</v>
      </c>
      <c r="S109" s="395">
        <f t="shared" ca="1" si="108"/>
        <v>0</v>
      </c>
      <c r="T109" s="395">
        <f t="shared" ca="1" si="108"/>
        <v>0</v>
      </c>
      <c r="U109" s="395">
        <f t="shared" ca="1" si="108"/>
        <v>0</v>
      </c>
      <c r="V109" s="395">
        <f t="shared" ca="1" si="108"/>
        <v>0</v>
      </c>
      <c r="W109" s="395">
        <f t="shared" ca="1" si="108"/>
        <v>0</v>
      </c>
      <c r="X109" s="395">
        <f t="shared" ca="1" si="108"/>
        <v>0</v>
      </c>
      <c r="Y109" s="395">
        <f t="shared" ca="1" si="108"/>
        <v>0</v>
      </c>
      <c r="Z109" s="395">
        <f t="shared" ca="1" si="108"/>
        <v>0</v>
      </c>
      <c r="AA109" s="395">
        <f t="shared" ca="1" si="108"/>
        <v>0</v>
      </c>
      <c r="AB109" s="395">
        <f t="shared" ca="1" si="108"/>
        <v>0</v>
      </c>
      <c r="AC109" s="395">
        <f t="shared" ca="1" si="108"/>
        <v>0</v>
      </c>
      <c r="AD109" s="395">
        <f t="shared" ca="1" si="108"/>
        <v>0</v>
      </c>
      <c r="AE109" s="395">
        <f t="shared" ca="1" si="108"/>
        <v>0</v>
      </c>
      <c r="AF109" s="395">
        <f t="shared" ca="1" si="108"/>
        <v>0</v>
      </c>
      <c r="AG109" s="395">
        <f t="shared" ca="1" si="108"/>
        <v>0</v>
      </c>
      <c r="AH109" s="395">
        <f t="shared" ca="1" si="108"/>
        <v>0</v>
      </c>
      <c r="AI109" s="395">
        <f t="shared" ca="1" si="108"/>
        <v>0</v>
      </c>
      <c r="AJ109" s="395">
        <f t="shared" ca="1" si="108"/>
        <v>0</v>
      </c>
      <c r="AK109" s="395">
        <f t="shared" ca="1" si="108"/>
        <v>0</v>
      </c>
      <c r="AL109" s="395">
        <f t="shared" ca="1" si="108"/>
        <v>0</v>
      </c>
      <c r="AM109" s="395">
        <f t="shared" ca="1" si="108"/>
        <v>0</v>
      </c>
      <c r="AN109" s="395">
        <f t="shared" ca="1" si="108"/>
        <v>0</v>
      </c>
      <c r="AO109" s="395">
        <f t="shared" ca="1" si="108"/>
        <v>1421003.6151321242</v>
      </c>
      <c r="AP109" s="395">
        <f t="shared" ca="1" si="108"/>
        <v>110073.79706883527</v>
      </c>
      <c r="AQ109" s="395">
        <f t="shared" ca="1" si="108"/>
        <v>110073.79706883527</v>
      </c>
      <c r="AR109" s="395">
        <f t="shared" ca="1" si="108"/>
        <v>110073.79706883527</v>
      </c>
      <c r="AS109" s="395">
        <f t="shared" ca="1" si="108"/>
        <v>110073.79706883527</v>
      </c>
      <c r="AT109" s="395">
        <f t="shared" ca="1" si="108"/>
        <v>110073.79706883527</v>
      </c>
      <c r="AU109" s="395">
        <f t="shared" ca="1" si="108"/>
        <v>110073.79706883527</v>
      </c>
      <c r="AV109" s="395">
        <f t="shared" ca="1" si="108"/>
        <v>110073.79706883527</v>
      </c>
      <c r="AW109" s="395">
        <f t="shared" ca="1" si="108"/>
        <v>110073.79706883527</v>
      </c>
      <c r="AX109" s="395">
        <f t="shared" ca="1" si="108"/>
        <v>110073.79706883527</v>
      </c>
      <c r="AY109" s="395">
        <f t="shared" ca="1" si="108"/>
        <v>110073.79706883527</v>
      </c>
      <c r="AZ109" s="395">
        <f t="shared" ca="1" si="108"/>
        <v>110073.79706883527</v>
      </c>
      <c r="BA109" s="395">
        <f t="shared" ca="1" si="108"/>
        <v>110073.79706883527</v>
      </c>
      <c r="BB109" s="395">
        <f t="shared" ca="1" si="108"/>
        <v>92276.448121092428</v>
      </c>
      <c r="BC109" s="395">
        <f t="shared" ca="1" si="108"/>
        <v>92276.448121092428</v>
      </c>
      <c r="BD109" s="395">
        <f t="shared" ca="1" si="108"/>
        <v>92276.448121092428</v>
      </c>
      <c r="BE109" s="395">
        <f t="shared" ca="1" si="108"/>
        <v>92276.448121092428</v>
      </c>
      <c r="BF109" s="395">
        <f t="shared" ca="1" si="108"/>
        <v>92276.448121092428</v>
      </c>
      <c r="BG109" s="395">
        <f t="shared" ca="1" si="108"/>
        <v>92276.448121092428</v>
      </c>
      <c r="BH109" s="395">
        <f t="shared" ca="1" si="108"/>
        <v>92276.448121092428</v>
      </c>
      <c r="BI109" s="395">
        <f t="shared" ca="1" si="108"/>
        <v>92276.448121092428</v>
      </c>
      <c r="BJ109" s="395">
        <f t="shared" ca="1" si="108"/>
        <v>92276.448121092428</v>
      </c>
      <c r="BK109" s="395">
        <f t="shared" ca="1" si="108"/>
        <v>92276.448121092428</v>
      </c>
      <c r="BL109" s="395">
        <f t="shared" ca="1" si="108"/>
        <v>92276.448121092428</v>
      </c>
      <c r="BM109" s="395">
        <f t="shared" ca="1" si="108"/>
        <v>92276.448121092428</v>
      </c>
      <c r="BN109" s="395">
        <f t="shared" ca="1" si="108"/>
        <v>106921.35986988785</v>
      </c>
      <c r="BO109" s="395">
        <f t="shared" ca="1" si="108"/>
        <v>106921.35986988785</v>
      </c>
      <c r="BP109" s="395">
        <f t="shared" ca="1" si="108"/>
        <v>106921.35986988785</v>
      </c>
      <c r="BQ109" s="395">
        <f t="shared" ca="1" si="108"/>
        <v>106921.35986988785</v>
      </c>
      <c r="BR109" s="395">
        <f t="shared" ref="BR109:CK109" ca="1" si="109">SUM(BR107:BR108)</f>
        <v>106921.35986988785</v>
      </c>
      <c r="BS109" s="395">
        <f t="shared" ca="1" si="109"/>
        <v>106921.35986988785</v>
      </c>
      <c r="BT109" s="395">
        <f t="shared" ca="1" si="109"/>
        <v>106921.35986988785</v>
      </c>
      <c r="BU109" s="395">
        <f t="shared" ca="1" si="109"/>
        <v>106921.35986988785</v>
      </c>
      <c r="BV109" s="395">
        <f t="shared" ca="1" si="109"/>
        <v>106921.35986988785</v>
      </c>
      <c r="BW109" s="395">
        <f t="shared" ca="1" si="109"/>
        <v>106921.35986988785</v>
      </c>
      <c r="BX109" s="395">
        <f t="shared" ca="1" si="109"/>
        <v>106921.35986988785</v>
      </c>
      <c r="BY109" s="395">
        <f t="shared" ca="1" si="109"/>
        <v>12719474.3621164</v>
      </c>
      <c r="BZ109" s="395">
        <f t="shared" ca="1" si="109"/>
        <v>0</v>
      </c>
      <c r="CA109" s="395">
        <f t="shared" ca="1" si="109"/>
        <v>0</v>
      </c>
      <c r="CB109" s="395">
        <f t="shared" ca="1" si="109"/>
        <v>0</v>
      </c>
      <c r="CC109" s="395">
        <f t="shared" ca="1" si="109"/>
        <v>0</v>
      </c>
      <c r="CD109" s="395">
        <f t="shared" ca="1" si="109"/>
        <v>0</v>
      </c>
      <c r="CE109" s="395">
        <f t="shared" ca="1" si="109"/>
        <v>0</v>
      </c>
      <c r="CF109" s="395">
        <f t="shared" ca="1" si="109"/>
        <v>0</v>
      </c>
      <c r="CG109" s="395">
        <f t="shared" ca="1" si="109"/>
        <v>0</v>
      </c>
      <c r="CH109" s="395">
        <f t="shared" ca="1" si="109"/>
        <v>0</v>
      </c>
      <c r="CI109" s="395">
        <f t="shared" ca="1" si="109"/>
        <v>0</v>
      </c>
      <c r="CJ109" s="395">
        <f t="shared" ca="1" si="109"/>
        <v>0</v>
      </c>
      <c r="CK109" s="395">
        <f t="shared" ca="1" si="109"/>
        <v>0</v>
      </c>
      <c r="CL109" s="133" t="s">
        <v>15</v>
      </c>
    </row>
    <row r="110" spans="2:90" ht="15" customHeight="1" outlineLevel="1" x14ac:dyDescent="0.2">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row>
    <row r="111" spans="2:90" ht="15" customHeight="1" x14ac:dyDescent="0.2">
      <c r="B111" s="133" t="s">
        <v>267</v>
      </c>
      <c r="C111" s="133"/>
      <c r="D111" s="133"/>
      <c r="E111" s="395">
        <f ca="1">E92+E107</f>
        <v>-7407606.645626572</v>
      </c>
      <c r="F111" s="395">
        <f t="shared" ref="F111:BQ111" ca="1" si="110">F92+F107</f>
        <v>-285383.29077599995</v>
      </c>
      <c r="G111" s="395">
        <f t="shared" ca="1" si="110"/>
        <v>-285570.15163971425</v>
      </c>
      <c r="H111" s="395">
        <f t="shared" ca="1" si="110"/>
        <v>-306776.83638342854</v>
      </c>
      <c r="I111" s="395">
        <f t="shared" ca="1" si="110"/>
        <v>-291212.83321714279</v>
      </c>
      <c r="J111" s="395">
        <f t="shared" ca="1" si="110"/>
        <v>-247261.56490285715</v>
      </c>
      <c r="K111" s="395">
        <f t="shared" ca="1" si="110"/>
        <v>-416184.54954857141</v>
      </c>
      <c r="L111" s="395">
        <f t="shared" ca="1" si="110"/>
        <v>-634013.1134575489</v>
      </c>
      <c r="M111" s="395">
        <f t="shared" ca="1" si="110"/>
        <v>-634431.44036652625</v>
      </c>
      <c r="N111" s="395">
        <f t="shared" ca="1" si="110"/>
        <v>-526309.4412586448</v>
      </c>
      <c r="O111" s="395">
        <f t="shared" ca="1" si="110"/>
        <v>-7287.0918000000001</v>
      </c>
      <c r="P111" s="395">
        <f t="shared" ca="1" si="110"/>
        <v>-7287.0918000000001</v>
      </c>
      <c r="Q111" s="395">
        <f t="shared" ca="1" si="110"/>
        <v>-7287.0918000000001</v>
      </c>
      <c r="R111" s="395">
        <f t="shared" ca="1" si="110"/>
        <v>-7287.0918000000001</v>
      </c>
      <c r="S111" s="395">
        <f t="shared" ca="1" si="110"/>
        <v>-7287.0918000000001</v>
      </c>
      <c r="T111" s="395">
        <f t="shared" ca="1" si="110"/>
        <v>-7287.0918000000001</v>
      </c>
      <c r="U111" s="395">
        <f t="shared" ca="1" si="110"/>
        <v>-7287.0918000000001</v>
      </c>
      <c r="V111" s="395">
        <f t="shared" ca="1" si="110"/>
        <v>-7287.0918000000001</v>
      </c>
      <c r="W111" s="395">
        <f t="shared" ca="1" si="110"/>
        <v>-7287.0918000000001</v>
      </c>
      <c r="X111" s="395">
        <f t="shared" ca="1" si="110"/>
        <v>-7287.0918000000001</v>
      </c>
      <c r="Y111" s="395">
        <f t="shared" ca="1" si="110"/>
        <v>-7287.0918000000001</v>
      </c>
      <c r="Z111" s="395">
        <f t="shared" ca="1" si="110"/>
        <v>-7287.0918000000001</v>
      </c>
      <c r="AA111" s="395">
        <f t="shared" ca="1" si="110"/>
        <v>-7287.0918000000001</v>
      </c>
      <c r="AB111" s="395">
        <f t="shared" ca="1" si="110"/>
        <v>-7287.0918000000001</v>
      </c>
      <c r="AC111" s="395">
        <f t="shared" ca="1" si="110"/>
        <v>-7287.0918000000001</v>
      </c>
      <c r="AD111" s="395">
        <f t="shared" ca="1" si="110"/>
        <v>-7287.0918000000001</v>
      </c>
      <c r="AE111" s="395">
        <f t="shared" ca="1" si="110"/>
        <v>-7287.0918000000001</v>
      </c>
      <c r="AF111" s="395">
        <f t="shared" ca="1" si="110"/>
        <v>-7287.0918000000001</v>
      </c>
      <c r="AG111" s="395">
        <f t="shared" ca="1" si="110"/>
        <v>-7287.0918000000001</v>
      </c>
      <c r="AH111" s="395">
        <f t="shared" ca="1" si="110"/>
        <v>-7287.0918000000001</v>
      </c>
      <c r="AI111" s="395">
        <f t="shared" ca="1" si="110"/>
        <v>-7287.0918000000001</v>
      </c>
      <c r="AJ111" s="395">
        <f t="shared" ca="1" si="110"/>
        <v>-7287.0918000000001</v>
      </c>
      <c r="AK111" s="395">
        <f t="shared" ca="1" si="110"/>
        <v>-7287.0918000000001</v>
      </c>
      <c r="AL111" s="395">
        <f t="shared" ca="1" si="110"/>
        <v>-7287.0918000000001</v>
      </c>
      <c r="AM111" s="395">
        <f t="shared" ca="1" si="110"/>
        <v>-7287.0918000000001</v>
      </c>
      <c r="AN111" s="395">
        <f t="shared" ca="1" si="110"/>
        <v>-7287.0918000000001</v>
      </c>
      <c r="AO111" s="395">
        <f t="shared" ca="1" si="110"/>
        <v>16282301.401620649</v>
      </c>
      <c r="AP111" s="395">
        <f t="shared" ca="1" si="110"/>
        <v>44029.518827534106</v>
      </c>
      <c r="AQ111" s="395">
        <f t="shared" ca="1" si="110"/>
        <v>44029.518827534106</v>
      </c>
      <c r="AR111" s="395">
        <f t="shared" ca="1" si="110"/>
        <v>44029.518827534106</v>
      </c>
      <c r="AS111" s="395">
        <f t="shared" ca="1" si="110"/>
        <v>44029.518827534106</v>
      </c>
      <c r="AT111" s="395">
        <f t="shared" ca="1" si="110"/>
        <v>44029.518827534106</v>
      </c>
      <c r="AU111" s="395">
        <f t="shared" ca="1" si="110"/>
        <v>44029.518827534106</v>
      </c>
      <c r="AV111" s="395">
        <f t="shared" ca="1" si="110"/>
        <v>44029.518827534106</v>
      </c>
      <c r="AW111" s="395">
        <f t="shared" ca="1" si="110"/>
        <v>44029.518827534106</v>
      </c>
      <c r="AX111" s="395">
        <f t="shared" ca="1" si="110"/>
        <v>44029.518827534106</v>
      </c>
      <c r="AY111" s="395">
        <f t="shared" ca="1" si="110"/>
        <v>44029.518827534106</v>
      </c>
      <c r="AZ111" s="395">
        <f t="shared" ca="1" si="110"/>
        <v>44029.518827534106</v>
      </c>
      <c r="BA111" s="395">
        <f t="shared" ca="1" si="110"/>
        <v>44029.518827534106</v>
      </c>
      <c r="BB111" s="395">
        <f t="shared" ca="1" si="110"/>
        <v>36910.579248436974</v>
      </c>
      <c r="BC111" s="395">
        <f t="shared" ca="1" si="110"/>
        <v>36910.579248436974</v>
      </c>
      <c r="BD111" s="395">
        <f t="shared" ca="1" si="110"/>
        <v>36910.579248436974</v>
      </c>
      <c r="BE111" s="395">
        <f t="shared" ca="1" si="110"/>
        <v>36910.579248436974</v>
      </c>
      <c r="BF111" s="395">
        <f t="shared" ca="1" si="110"/>
        <v>36910.579248436974</v>
      </c>
      <c r="BG111" s="395">
        <f t="shared" ca="1" si="110"/>
        <v>36910.579248436974</v>
      </c>
      <c r="BH111" s="395">
        <f t="shared" ca="1" si="110"/>
        <v>36910.579248436974</v>
      </c>
      <c r="BI111" s="395">
        <f t="shared" ca="1" si="110"/>
        <v>36910.579248436974</v>
      </c>
      <c r="BJ111" s="395">
        <f t="shared" ca="1" si="110"/>
        <v>36910.579248436974</v>
      </c>
      <c r="BK111" s="395">
        <f t="shared" ca="1" si="110"/>
        <v>36910.579248436974</v>
      </c>
      <c r="BL111" s="395">
        <f t="shared" ca="1" si="110"/>
        <v>36910.579248436974</v>
      </c>
      <c r="BM111" s="395">
        <f t="shared" ca="1" si="110"/>
        <v>36910.579248436974</v>
      </c>
      <c r="BN111" s="395">
        <f t="shared" ca="1" si="110"/>
        <v>42768.543947955142</v>
      </c>
      <c r="BO111" s="395">
        <f t="shared" ca="1" si="110"/>
        <v>42768.543947955142</v>
      </c>
      <c r="BP111" s="395">
        <f t="shared" ca="1" si="110"/>
        <v>42768.543947955142</v>
      </c>
      <c r="BQ111" s="395">
        <f t="shared" ca="1" si="110"/>
        <v>42768.543947955142</v>
      </c>
      <c r="BR111" s="395">
        <f t="shared" ref="BR111:CK111" ca="1" si="111">BR92+BR107</f>
        <v>42768.543947955142</v>
      </c>
      <c r="BS111" s="395">
        <f t="shared" ca="1" si="111"/>
        <v>42768.543947955142</v>
      </c>
      <c r="BT111" s="395">
        <f t="shared" ca="1" si="111"/>
        <v>42768.543947955142</v>
      </c>
      <c r="BU111" s="395">
        <f t="shared" ca="1" si="111"/>
        <v>42768.543947955142</v>
      </c>
      <c r="BV111" s="395">
        <f t="shared" ca="1" si="111"/>
        <v>42768.543947955142</v>
      </c>
      <c r="BW111" s="395">
        <f t="shared" ca="1" si="111"/>
        <v>42768.543947955142</v>
      </c>
      <c r="BX111" s="395">
        <f t="shared" ca="1" si="111"/>
        <v>42768.543947955142</v>
      </c>
      <c r="BY111" s="395">
        <f t="shared" ca="1" si="111"/>
        <v>5087789.7448465601</v>
      </c>
      <c r="BZ111" s="395">
        <f t="shared" ca="1" si="111"/>
        <v>0</v>
      </c>
      <c r="CA111" s="395">
        <f t="shared" ca="1" si="111"/>
        <v>0</v>
      </c>
      <c r="CB111" s="395">
        <f t="shared" ca="1" si="111"/>
        <v>0</v>
      </c>
      <c r="CC111" s="395">
        <f t="shared" ca="1" si="111"/>
        <v>0</v>
      </c>
      <c r="CD111" s="395">
        <f t="shared" ca="1" si="111"/>
        <v>0</v>
      </c>
      <c r="CE111" s="395">
        <f t="shared" ca="1" si="111"/>
        <v>0</v>
      </c>
      <c r="CF111" s="395">
        <f t="shared" ca="1" si="111"/>
        <v>0</v>
      </c>
      <c r="CG111" s="395">
        <f t="shared" ca="1" si="111"/>
        <v>0</v>
      </c>
      <c r="CH111" s="395">
        <f t="shared" ca="1" si="111"/>
        <v>0</v>
      </c>
      <c r="CI111" s="395">
        <f t="shared" ca="1" si="111"/>
        <v>0</v>
      </c>
      <c r="CJ111" s="395">
        <f t="shared" ca="1" si="111"/>
        <v>0</v>
      </c>
      <c r="CK111" s="395">
        <f t="shared" ca="1" si="111"/>
        <v>0</v>
      </c>
      <c r="CL111" s="133" t="s">
        <v>15</v>
      </c>
    </row>
    <row r="112" spans="2:90" ht="15" customHeight="1" x14ac:dyDescent="0.2">
      <c r="B112" s="133" t="s">
        <v>268</v>
      </c>
      <c r="C112" s="133"/>
      <c r="D112" s="133"/>
      <c r="E112" s="395">
        <f ca="1">E93+E108</f>
        <v>-823067.40506961918</v>
      </c>
      <c r="F112" s="395">
        <f t="shared" ref="F112:BQ112" ca="1" si="112">F93+F108</f>
        <v>-31709.254530666658</v>
      </c>
      <c r="G112" s="395">
        <f t="shared" ca="1" si="112"/>
        <v>-31730.016848857136</v>
      </c>
      <c r="H112" s="395">
        <f t="shared" ca="1" si="112"/>
        <v>-34086.315153714284</v>
      </c>
      <c r="I112" s="395">
        <f t="shared" ca="1" si="112"/>
        <v>-32356.981468571423</v>
      </c>
      <c r="J112" s="395">
        <f t="shared" ca="1" si="112"/>
        <v>-27473.507211428572</v>
      </c>
      <c r="K112" s="395">
        <f t="shared" ca="1" si="112"/>
        <v>-46242.727727619051</v>
      </c>
      <c r="L112" s="395">
        <f t="shared" ca="1" si="112"/>
        <v>-70445.901495283222</v>
      </c>
      <c r="M112" s="395">
        <f t="shared" ca="1" si="112"/>
        <v>-70492.382262947373</v>
      </c>
      <c r="N112" s="395">
        <f t="shared" ca="1" si="112"/>
        <v>-58478.826806516088</v>
      </c>
      <c r="O112" s="395">
        <f t="shared" ca="1" si="112"/>
        <v>-809.67686666666668</v>
      </c>
      <c r="P112" s="395">
        <f t="shared" ca="1" si="112"/>
        <v>-809.67686666666668</v>
      </c>
      <c r="Q112" s="395">
        <f t="shared" ca="1" si="112"/>
        <v>-809.67686666666668</v>
      </c>
      <c r="R112" s="395">
        <f t="shared" ca="1" si="112"/>
        <v>-809.67686666666668</v>
      </c>
      <c r="S112" s="395">
        <f t="shared" ca="1" si="112"/>
        <v>-809.67686666666668</v>
      </c>
      <c r="T112" s="395">
        <f t="shared" ca="1" si="112"/>
        <v>-809.67686666666668</v>
      </c>
      <c r="U112" s="395">
        <f t="shared" ca="1" si="112"/>
        <v>-809.67686666666668</v>
      </c>
      <c r="V112" s="395">
        <f t="shared" ca="1" si="112"/>
        <v>-809.67686666666668</v>
      </c>
      <c r="W112" s="395">
        <f t="shared" ca="1" si="112"/>
        <v>-809.67686666666668</v>
      </c>
      <c r="X112" s="395">
        <f t="shared" ca="1" si="112"/>
        <v>-809.67686666666668</v>
      </c>
      <c r="Y112" s="395">
        <f t="shared" ca="1" si="112"/>
        <v>-809.67686666666668</v>
      </c>
      <c r="Z112" s="395">
        <f t="shared" ca="1" si="112"/>
        <v>-809.67686666666668</v>
      </c>
      <c r="AA112" s="395">
        <f t="shared" ca="1" si="112"/>
        <v>-809.67686666666668</v>
      </c>
      <c r="AB112" s="395">
        <f t="shared" ca="1" si="112"/>
        <v>-809.67686666666668</v>
      </c>
      <c r="AC112" s="395">
        <f t="shared" ca="1" si="112"/>
        <v>-809.67686666666668</v>
      </c>
      <c r="AD112" s="395">
        <f t="shared" ca="1" si="112"/>
        <v>-809.67686666666668</v>
      </c>
      <c r="AE112" s="395">
        <f t="shared" ca="1" si="112"/>
        <v>-809.67686666666668</v>
      </c>
      <c r="AF112" s="395">
        <f t="shared" ca="1" si="112"/>
        <v>-809.67686666666668</v>
      </c>
      <c r="AG112" s="395">
        <f t="shared" ca="1" si="112"/>
        <v>-809.67686666666668</v>
      </c>
      <c r="AH112" s="395">
        <f t="shared" ca="1" si="112"/>
        <v>-809.67686666666668</v>
      </c>
      <c r="AI112" s="395">
        <f t="shared" ca="1" si="112"/>
        <v>-809.67686666666668</v>
      </c>
      <c r="AJ112" s="395">
        <f t="shared" ca="1" si="112"/>
        <v>-809.67686666666668</v>
      </c>
      <c r="AK112" s="395">
        <f t="shared" ca="1" si="112"/>
        <v>-809.67686666666668</v>
      </c>
      <c r="AL112" s="395">
        <f t="shared" ca="1" si="112"/>
        <v>-809.67686666666668</v>
      </c>
      <c r="AM112" s="395">
        <f t="shared" ca="1" si="112"/>
        <v>-809.67686666666668</v>
      </c>
      <c r="AN112" s="395">
        <f t="shared" ca="1" si="112"/>
        <v>-809.67686666666668</v>
      </c>
      <c r="AO112" s="395">
        <f t="shared" ca="1" si="112"/>
        <v>4095152.9535615142</v>
      </c>
      <c r="AP112" s="395">
        <f t="shared" ca="1" si="112"/>
        <v>66044.278241301159</v>
      </c>
      <c r="AQ112" s="395">
        <f t="shared" ca="1" si="112"/>
        <v>66044.278241301159</v>
      </c>
      <c r="AR112" s="395">
        <f t="shared" ca="1" si="112"/>
        <v>66044.278241301159</v>
      </c>
      <c r="AS112" s="395">
        <f t="shared" ca="1" si="112"/>
        <v>66044.278241301159</v>
      </c>
      <c r="AT112" s="395">
        <f t="shared" ca="1" si="112"/>
        <v>66044.278241301159</v>
      </c>
      <c r="AU112" s="395">
        <f t="shared" ca="1" si="112"/>
        <v>66044.278241301159</v>
      </c>
      <c r="AV112" s="395">
        <f t="shared" ca="1" si="112"/>
        <v>66044.278241301159</v>
      </c>
      <c r="AW112" s="395">
        <f t="shared" ca="1" si="112"/>
        <v>66044.278241301159</v>
      </c>
      <c r="AX112" s="395">
        <f t="shared" ca="1" si="112"/>
        <v>66044.278241301159</v>
      </c>
      <c r="AY112" s="395">
        <f t="shared" ca="1" si="112"/>
        <v>66044.278241301159</v>
      </c>
      <c r="AZ112" s="395">
        <f t="shared" ca="1" si="112"/>
        <v>66044.278241301159</v>
      </c>
      <c r="BA112" s="395">
        <f t="shared" ca="1" si="112"/>
        <v>66044.278241301159</v>
      </c>
      <c r="BB112" s="395">
        <f t="shared" ca="1" si="112"/>
        <v>55365.868872655454</v>
      </c>
      <c r="BC112" s="395">
        <f t="shared" ca="1" si="112"/>
        <v>55365.868872655454</v>
      </c>
      <c r="BD112" s="395">
        <f t="shared" ca="1" si="112"/>
        <v>55365.868872655454</v>
      </c>
      <c r="BE112" s="395">
        <f t="shared" ca="1" si="112"/>
        <v>55365.868872655454</v>
      </c>
      <c r="BF112" s="395">
        <f t="shared" ca="1" si="112"/>
        <v>55365.868872655454</v>
      </c>
      <c r="BG112" s="395">
        <f t="shared" ca="1" si="112"/>
        <v>55365.868872655454</v>
      </c>
      <c r="BH112" s="395">
        <f t="shared" ca="1" si="112"/>
        <v>55365.868872655454</v>
      </c>
      <c r="BI112" s="395">
        <f t="shared" ca="1" si="112"/>
        <v>55365.868872655454</v>
      </c>
      <c r="BJ112" s="395">
        <f t="shared" ca="1" si="112"/>
        <v>55365.868872655454</v>
      </c>
      <c r="BK112" s="395">
        <f t="shared" ca="1" si="112"/>
        <v>55365.868872655454</v>
      </c>
      <c r="BL112" s="395">
        <f t="shared" ca="1" si="112"/>
        <v>55365.868872655454</v>
      </c>
      <c r="BM112" s="395">
        <f t="shared" ca="1" si="112"/>
        <v>55365.868872655454</v>
      </c>
      <c r="BN112" s="395">
        <f t="shared" ca="1" si="112"/>
        <v>64152.815921932706</v>
      </c>
      <c r="BO112" s="395">
        <f t="shared" ca="1" si="112"/>
        <v>64152.815921932706</v>
      </c>
      <c r="BP112" s="395">
        <f t="shared" ca="1" si="112"/>
        <v>64152.815921932706</v>
      </c>
      <c r="BQ112" s="395">
        <f t="shared" ca="1" si="112"/>
        <v>64152.815921932706</v>
      </c>
      <c r="BR112" s="395">
        <f t="shared" ref="BR112:CK112" ca="1" si="113">BR93+BR108</f>
        <v>64152.815921932706</v>
      </c>
      <c r="BS112" s="395">
        <f t="shared" ca="1" si="113"/>
        <v>64152.815921932706</v>
      </c>
      <c r="BT112" s="395">
        <f t="shared" ca="1" si="113"/>
        <v>64152.815921932706</v>
      </c>
      <c r="BU112" s="395">
        <f t="shared" ca="1" si="113"/>
        <v>64152.815921932706</v>
      </c>
      <c r="BV112" s="395">
        <f t="shared" ca="1" si="113"/>
        <v>64152.815921932706</v>
      </c>
      <c r="BW112" s="395">
        <f t="shared" ca="1" si="113"/>
        <v>64152.815921932706</v>
      </c>
      <c r="BX112" s="395">
        <f t="shared" ca="1" si="113"/>
        <v>64152.815921932706</v>
      </c>
      <c r="BY112" s="395">
        <f t="shared" ca="1" si="113"/>
        <v>7631684.6172698401</v>
      </c>
      <c r="BZ112" s="395">
        <f t="shared" ca="1" si="113"/>
        <v>0</v>
      </c>
      <c r="CA112" s="395">
        <f t="shared" ca="1" si="113"/>
        <v>0</v>
      </c>
      <c r="CB112" s="395">
        <f t="shared" ca="1" si="113"/>
        <v>0</v>
      </c>
      <c r="CC112" s="395">
        <f t="shared" ca="1" si="113"/>
        <v>0</v>
      </c>
      <c r="CD112" s="395">
        <f t="shared" ca="1" si="113"/>
        <v>0</v>
      </c>
      <c r="CE112" s="395">
        <f t="shared" ca="1" si="113"/>
        <v>0</v>
      </c>
      <c r="CF112" s="395">
        <f t="shared" ca="1" si="113"/>
        <v>0</v>
      </c>
      <c r="CG112" s="395">
        <f t="shared" ca="1" si="113"/>
        <v>0</v>
      </c>
      <c r="CH112" s="395">
        <f t="shared" ca="1" si="113"/>
        <v>0</v>
      </c>
      <c r="CI112" s="395">
        <f t="shared" ca="1" si="113"/>
        <v>0</v>
      </c>
      <c r="CJ112" s="395">
        <f t="shared" ca="1" si="113"/>
        <v>0</v>
      </c>
      <c r="CK112" s="395">
        <f t="shared" ca="1" si="113"/>
        <v>0</v>
      </c>
      <c r="CL112" s="133" t="s">
        <v>15</v>
      </c>
    </row>
    <row r="113" spans="2:90" ht="15" customHeight="1" x14ac:dyDescent="0.2">
      <c r="B113" s="133" t="s">
        <v>30</v>
      </c>
      <c r="C113" s="133"/>
      <c r="D113" s="133"/>
      <c r="E113" s="395">
        <f ca="1">E94+E109</f>
        <v>-8230674.0506961914</v>
      </c>
      <c r="F113" s="395">
        <f t="shared" ref="F113:BQ113" ca="1" si="114">F94+F109</f>
        <v>-317092.54530666664</v>
      </c>
      <c r="G113" s="395">
        <f t="shared" ca="1" si="114"/>
        <v>-317300.16848857142</v>
      </c>
      <c r="H113" s="395">
        <f t="shared" ca="1" si="114"/>
        <v>-340863.15153714281</v>
      </c>
      <c r="I113" s="395">
        <f t="shared" ca="1" si="114"/>
        <v>-323569.8146857142</v>
      </c>
      <c r="J113" s="395">
        <f t="shared" ca="1" si="114"/>
        <v>-274735.07211428572</v>
      </c>
      <c r="K113" s="395">
        <f t="shared" ca="1" si="114"/>
        <v>-462427.27727619046</v>
      </c>
      <c r="L113" s="395">
        <f t="shared" ca="1" si="114"/>
        <v>-704459.01495283213</v>
      </c>
      <c r="M113" s="395">
        <f t="shared" ca="1" si="114"/>
        <v>-704923.82262947364</v>
      </c>
      <c r="N113" s="395">
        <f t="shared" ca="1" si="114"/>
        <v>-584788.26806516084</v>
      </c>
      <c r="O113" s="395">
        <f t="shared" ca="1" si="114"/>
        <v>-8096.7686666666668</v>
      </c>
      <c r="P113" s="395">
        <f t="shared" ca="1" si="114"/>
        <v>-8096.7686666666668</v>
      </c>
      <c r="Q113" s="395">
        <f t="shared" ca="1" si="114"/>
        <v>-8096.7686666666668</v>
      </c>
      <c r="R113" s="395">
        <f t="shared" ca="1" si="114"/>
        <v>-8096.7686666666668</v>
      </c>
      <c r="S113" s="395">
        <f t="shared" ca="1" si="114"/>
        <v>-8096.7686666666668</v>
      </c>
      <c r="T113" s="395">
        <f t="shared" ca="1" si="114"/>
        <v>-8096.7686666666668</v>
      </c>
      <c r="U113" s="395">
        <f t="shared" ca="1" si="114"/>
        <v>-8096.7686666666668</v>
      </c>
      <c r="V113" s="395">
        <f t="shared" ca="1" si="114"/>
        <v>-8096.7686666666668</v>
      </c>
      <c r="W113" s="395">
        <f t="shared" ca="1" si="114"/>
        <v>-8096.7686666666668</v>
      </c>
      <c r="X113" s="395">
        <f t="shared" ca="1" si="114"/>
        <v>-8096.7686666666668</v>
      </c>
      <c r="Y113" s="395">
        <f t="shared" ca="1" si="114"/>
        <v>-8096.7686666666668</v>
      </c>
      <c r="Z113" s="395">
        <f t="shared" ca="1" si="114"/>
        <v>-8096.7686666666668</v>
      </c>
      <c r="AA113" s="395">
        <f t="shared" ca="1" si="114"/>
        <v>-8096.7686666666668</v>
      </c>
      <c r="AB113" s="395">
        <f t="shared" ca="1" si="114"/>
        <v>-8096.7686666666668</v>
      </c>
      <c r="AC113" s="395">
        <f t="shared" ca="1" si="114"/>
        <v>-8096.7686666666668</v>
      </c>
      <c r="AD113" s="395">
        <f t="shared" ca="1" si="114"/>
        <v>-8096.7686666666668</v>
      </c>
      <c r="AE113" s="395">
        <f t="shared" ca="1" si="114"/>
        <v>-8096.7686666666668</v>
      </c>
      <c r="AF113" s="395">
        <f t="shared" ca="1" si="114"/>
        <v>-8096.7686666666668</v>
      </c>
      <c r="AG113" s="395">
        <f t="shared" ca="1" si="114"/>
        <v>-8096.7686666666668</v>
      </c>
      <c r="AH113" s="395">
        <f t="shared" ca="1" si="114"/>
        <v>-8096.7686666666668</v>
      </c>
      <c r="AI113" s="395">
        <f t="shared" ca="1" si="114"/>
        <v>-8096.7686666666668</v>
      </c>
      <c r="AJ113" s="395">
        <f t="shared" ca="1" si="114"/>
        <v>-8096.7686666666668</v>
      </c>
      <c r="AK113" s="395">
        <f t="shared" ca="1" si="114"/>
        <v>-8096.7686666666668</v>
      </c>
      <c r="AL113" s="395">
        <f t="shared" ca="1" si="114"/>
        <v>-8096.7686666666668</v>
      </c>
      <c r="AM113" s="395">
        <f t="shared" ca="1" si="114"/>
        <v>-8096.7686666666668</v>
      </c>
      <c r="AN113" s="395">
        <f t="shared" ca="1" si="114"/>
        <v>-8096.7686666666668</v>
      </c>
      <c r="AO113" s="395">
        <f t="shared" ca="1" si="114"/>
        <v>20377454.355182163</v>
      </c>
      <c r="AP113" s="395">
        <f t="shared" ca="1" si="114"/>
        <v>110073.79706883527</v>
      </c>
      <c r="AQ113" s="395">
        <f t="shared" ca="1" si="114"/>
        <v>110073.79706883527</v>
      </c>
      <c r="AR113" s="395">
        <f t="shared" ca="1" si="114"/>
        <v>110073.79706883527</v>
      </c>
      <c r="AS113" s="395">
        <f t="shared" ca="1" si="114"/>
        <v>110073.79706883527</v>
      </c>
      <c r="AT113" s="395">
        <f t="shared" ca="1" si="114"/>
        <v>110073.79706883527</v>
      </c>
      <c r="AU113" s="395">
        <f t="shared" ca="1" si="114"/>
        <v>110073.79706883527</v>
      </c>
      <c r="AV113" s="395">
        <f t="shared" ca="1" si="114"/>
        <v>110073.79706883527</v>
      </c>
      <c r="AW113" s="395">
        <f t="shared" ca="1" si="114"/>
        <v>110073.79706883527</v>
      </c>
      <c r="AX113" s="395">
        <f t="shared" ca="1" si="114"/>
        <v>110073.79706883527</v>
      </c>
      <c r="AY113" s="395">
        <f t="shared" ca="1" si="114"/>
        <v>110073.79706883527</v>
      </c>
      <c r="AZ113" s="395">
        <f t="shared" ca="1" si="114"/>
        <v>110073.79706883527</v>
      </c>
      <c r="BA113" s="395">
        <f t="shared" ca="1" si="114"/>
        <v>110073.79706883527</v>
      </c>
      <c r="BB113" s="395">
        <f t="shared" ca="1" si="114"/>
        <v>92276.448121092428</v>
      </c>
      <c r="BC113" s="395">
        <f t="shared" ca="1" si="114"/>
        <v>92276.448121092428</v>
      </c>
      <c r="BD113" s="395">
        <f t="shared" ca="1" si="114"/>
        <v>92276.448121092428</v>
      </c>
      <c r="BE113" s="395">
        <f t="shared" ca="1" si="114"/>
        <v>92276.448121092428</v>
      </c>
      <c r="BF113" s="395">
        <f t="shared" ca="1" si="114"/>
        <v>92276.448121092428</v>
      </c>
      <c r="BG113" s="395">
        <f t="shared" ca="1" si="114"/>
        <v>92276.448121092428</v>
      </c>
      <c r="BH113" s="395">
        <f t="shared" ca="1" si="114"/>
        <v>92276.448121092428</v>
      </c>
      <c r="BI113" s="395">
        <f t="shared" ca="1" si="114"/>
        <v>92276.448121092428</v>
      </c>
      <c r="BJ113" s="395">
        <f t="shared" ca="1" si="114"/>
        <v>92276.448121092428</v>
      </c>
      <c r="BK113" s="395">
        <f t="shared" ca="1" si="114"/>
        <v>92276.448121092428</v>
      </c>
      <c r="BL113" s="395">
        <f t="shared" ca="1" si="114"/>
        <v>92276.448121092428</v>
      </c>
      <c r="BM113" s="395">
        <f t="shared" ca="1" si="114"/>
        <v>92276.448121092428</v>
      </c>
      <c r="BN113" s="395">
        <f t="shared" ca="1" si="114"/>
        <v>106921.35986988785</v>
      </c>
      <c r="BO113" s="395">
        <f t="shared" ca="1" si="114"/>
        <v>106921.35986988785</v>
      </c>
      <c r="BP113" s="395">
        <f t="shared" ca="1" si="114"/>
        <v>106921.35986988785</v>
      </c>
      <c r="BQ113" s="395">
        <f t="shared" ca="1" si="114"/>
        <v>106921.35986988785</v>
      </c>
      <c r="BR113" s="395">
        <f t="shared" ref="BR113:CK113" ca="1" si="115">BR94+BR109</f>
        <v>106921.35986988785</v>
      </c>
      <c r="BS113" s="395">
        <f t="shared" ca="1" si="115"/>
        <v>106921.35986988785</v>
      </c>
      <c r="BT113" s="395">
        <f t="shared" ca="1" si="115"/>
        <v>106921.35986988785</v>
      </c>
      <c r="BU113" s="395">
        <f t="shared" ca="1" si="115"/>
        <v>106921.35986988785</v>
      </c>
      <c r="BV113" s="395">
        <f t="shared" ca="1" si="115"/>
        <v>106921.35986988785</v>
      </c>
      <c r="BW113" s="395">
        <f t="shared" ca="1" si="115"/>
        <v>106921.35986988785</v>
      </c>
      <c r="BX113" s="395">
        <f t="shared" ca="1" si="115"/>
        <v>106921.35986988785</v>
      </c>
      <c r="BY113" s="395">
        <f t="shared" ca="1" si="115"/>
        <v>12719474.3621164</v>
      </c>
      <c r="BZ113" s="395">
        <f t="shared" ca="1" si="115"/>
        <v>0</v>
      </c>
      <c r="CA113" s="395">
        <f t="shared" ca="1" si="115"/>
        <v>0</v>
      </c>
      <c r="CB113" s="395">
        <f t="shared" ca="1" si="115"/>
        <v>0</v>
      </c>
      <c r="CC113" s="395">
        <f t="shared" ca="1" si="115"/>
        <v>0</v>
      </c>
      <c r="CD113" s="395">
        <f t="shared" ca="1" si="115"/>
        <v>0</v>
      </c>
      <c r="CE113" s="395">
        <f t="shared" ca="1" si="115"/>
        <v>0</v>
      </c>
      <c r="CF113" s="395">
        <f t="shared" ca="1" si="115"/>
        <v>0</v>
      </c>
      <c r="CG113" s="395">
        <f t="shared" ca="1" si="115"/>
        <v>0</v>
      </c>
      <c r="CH113" s="395">
        <f t="shared" ca="1" si="115"/>
        <v>0</v>
      </c>
      <c r="CI113" s="395">
        <f t="shared" ca="1" si="115"/>
        <v>0</v>
      </c>
      <c r="CJ113" s="395">
        <f t="shared" ca="1" si="115"/>
        <v>0</v>
      </c>
      <c r="CK113" s="395">
        <f t="shared" ca="1" si="115"/>
        <v>0</v>
      </c>
      <c r="CL113" s="133" t="s">
        <v>15</v>
      </c>
    </row>
    <row r="114" spans="2:90" ht="15" customHeight="1" x14ac:dyDescent="0.2">
      <c r="CL114" s="133"/>
    </row>
    <row r="115" spans="2:90" ht="15" customHeight="1" x14ac:dyDescent="0.25">
      <c r="B115" s="146" t="s">
        <v>281</v>
      </c>
      <c r="C115" s="146"/>
      <c r="D115" s="146"/>
      <c r="E115" s="134" t="s">
        <v>164</v>
      </c>
      <c r="F115" s="134" t="s">
        <v>161</v>
      </c>
      <c r="G115" s="134" t="s">
        <v>30</v>
      </c>
      <c r="CL115" s="133"/>
    </row>
    <row r="116" spans="2:90" ht="15" customHeight="1" x14ac:dyDescent="0.2">
      <c r="B116" s="272" t="s">
        <v>217</v>
      </c>
      <c r="C116" s="309"/>
      <c r="D116" s="309"/>
      <c r="E116" s="404">
        <f ca="1">XIRR(E111:CK111,HoldingDates)</f>
        <v>0.22900502085685734</v>
      </c>
      <c r="F116" s="404">
        <f ca="1">XIRR(E112:CK112,HoldingDates)</f>
        <v>0.78426007032394418</v>
      </c>
      <c r="G116" s="405">
        <f ca="1">XIRR(E113:CK113,HoldingDates)</f>
        <v>0.33352790474891658</v>
      </c>
      <c r="CL116" s="133"/>
    </row>
    <row r="117" spans="2:90" ht="15" customHeight="1" x14ac:dyDescent="0.2">
      <c r="B117" s="275" t="s">
        <v>218</v>
      </c>
      <c r="C117" s="133"/>
      <c r="D117" s="133"/>
      <c r="E117" s="400">
        <f ca="1">-SUMIF(E111:CK111,"&gt;"&amp;0)/SUMIF(E111:CK111,"&lt;"&amp;0)</f>
        <v>2.0323762350423351</v>
      </c>
      <c r="F117" s="400">
        <f ca="1">-SUMIF(E112:CK112,"&gt;"&amp;0)/SUMIF(E112:CK112,"&lt;"&amp;0)</f>
        <v>11.137079173071614</v>
      </c>
      <c r="G117" s="393">
        <f ca="1">-SUMIF(E113:CK113,"&gt;"&amp;0)/SUMIF(E113:CK113,"&lt;"&amp;0)</f>
        <v>2.942846528845271</v>
      </c>
      <c r="CL117" s="133"/>
    </row>
    <row r="118" spans="2:90" ht="15" customHeight="1" x14ac:dyDescent="0.2">
      <c r="B118" s="277" t="s">
        <v>220</v>
      </c>
      <c r="C118" s="311"/>
      <c r="D118" s="311"/>
      <c r="E118" s="406">
        <f ca="1">SUM(E111:CK111)</f>
        <v>11587612.052829351</v>
      </c>
      <c r="F118" s="406">
        <f ca="1">SUM(E112:CK112)</f>
        <v>12642305.394231534</v>
      </c>
      <c r="G118" s="394">
        <f ca="1">SUM(E113:CK113)</f>
        <v>24229917.447060935</v>
      </c>
      <c r="CL118" s="133"/>
    </row>
    <row r="119" spans="2:90" ht="15" customHeight="1" x14ac:dyDescent="0.2">
      <c r="CL119" s="133"/>
    </row>
    <row r="120" spans="2:90" ht="15" customHeight="1" x14ac:dyDescent="0.25">
      <c r="B120" s="132" t="s">
        <v>285</v>
      </c>
      <c r="CL120" s="133"/>
    </row>
    <row r="121" spans="2:90" s="21" customFormat="1" ht="10.15" customHeight="1" x14ac:dyDescent="0.25">
      <c r="B121" s="22"/>
      <c r="C121" s="23"/>
      <c r="D121" s="23"/>
      <c r="E121" s="23"/>
      <c r="O121" s="13"/>
      <c r="P121" s="13"/>
      <c r="Q121" s="13"/>
      <c r="R121" s="13"/>
      <c r="S121" s="13"/>
      <c r="T121" s="13"/>
      <c r="U121" s="13"/>
      <c r="V121" s="13"/>
      <c r="W121" s="13"/>
      <c r="X121" s="13"/>
      <c r="Y121" s="13"/>
      <c r="Z121" s="13"/>
      <c r="AA121" s="13"/>
      <c r="AB121" s="13"/>
      <c r="AC121" s="13"/>
      <c r="AD121" s="13"/>
      <c r="AE121" s="13"/>
      <c r="AF121" s="13"/>
      <c r="AG121" s="13"/>
    </row>
    <row r="122" spans="2:90" ht="15" customHeight="1" x14ac:dyDescent="0.2">
      <c r="B122" s="133" t="s">
        <v>268</v>
      </c>
      <c r="E122" s="395">
        <f ca="1">E112</f>
        <v>-823067.40506961918</v>
      </c>
      <c r="F122" s="395">
        <f t="shared" ref="F122:BQ122" ca="1" si="116">F112</f>
        <v>-31709.254530666658</v>
      </c>
      <c r="G122" s="395">
        <f t="shared" ca="1" si="116"/>
        <v>-31730.016848857136</v>
      </c>
      <c r="H122" s="395">
        <f t="shared" ca="1" si="116"/>
        <v>-34086.315153714284</v>
      </c>
      <c r="I122" s="395">
        <f t="shared" ca="1" si="116"/>
        <v>-32356.981468571423</v>
      </c>
      <c r="J122" s="395">
        <f t="shared" ca="1" si="116"/>
        <v>-27473.507211428572</v>
      </c>
      <c r="K122" s="395">
        <f t="shared" ca="1" si="116"/>
        <v>-46242.727727619051</v>
      </c>
      <c r="L122" s="395">
        <f t="shared" ca="1" si="116"/>
        <v>-70445.901495283222</v>
      </c>
      <c r="M122" s="395">
        <f t="shared" ca="1" si="116"/>
        <v>-70492.382262947373</v>
      </c>
      <c r="N122" s="395">
        <f t="shared" ca="1" si="116"/>
        <v>-58478.826806516088</v>
      </c>
      <c r="O122" s="395">
        <f t="shared" ca="1" si="116"/>
        <v>-809.67686666666668</v>
      </c>
      <c r="P122" s="395">
        <f t="shared" ca="1" si="116"/>
        <v>-809.67686666666668</v>
      </c>
      <c r="Q122" s="395">
        <f t="shared" ca="1" si="116"/>
        <v>-809.67686666666668</v>
      </c>
      <c r="R122" s="395">
        <f t="shared" ca="1" si="116"/>
        <v>-809.67686666666668</v>
      </c>
      <c r="S122" s="395">
        <f t="shared" ca="1" si="116"/>
        <v>-809.67686666666668</v>
      </c>
      <c r="T122" s="395">
        <f t="shared" ca="1" si="116"/>
        <v>-809.67686666666668</v>
      </c>
      <c r="U122" s="395">
        <f t="shared" ca="1" si="116"/>
        <v>-809.67686666666668</v>
      </c>
      <c r="V122" s="395">
        <f t="shared" ca="1" si="116"/>
        <v>-809.67686666666668</v>
      </c>
      <c r="W122" s="395">
        <f t="shared" ca="1" si="116"/>
        <v>-809.67686666666668</v>
      </c>
      <c r="X122" s="395">
        <f t="shared" ca="1" si="116"/>
        <v>-809.67686666666668</v>
      </c>
      <c r="Y122" s="395">
        <f t="shared" ca="1" si="116"/>
        <v>-809.67686666666668</v>
      </c>
      <c r="Z122" s="395">
        <f t="shared" ca="1" si="116"/>
        <v>-809.67686666666668</v>
      </c>
      <c r="AA122" s="395">
        <f t="shared" ca="1" si="116"/>
        <v>-809.67686666666668</v>
      </c>
      <c r="AB122" s="395">
        <f t="shared" ca="1" si="116"/>
        <v>-809.67686666666668</v>
      </c>
      <c r="AC122" s="395">
        <f t="shared" ca="1" si="116"/>
        <v>-809.67686666666668</v>
      </c>
      <c r="AD122" s="395">
        <f t="shared" ca="1" si="116"/>
        <v>-809.67686666666668</v>
      </c>
      <c r="AE122" s="395">
        <f t="shared" ca="1" si="116"/>
        <v>-809.67686666666668</v>
      </c>
      <c r="AF122" s="395">
        <f t="shared" ca="1" si="116"/>
        <v>-809.67686666666668</v>
      </c>
      <c r="AG122" s="395">
        <f t="shared" ca="1" si="116"/>
        <v>-809.67686666666668</v>
      </c>
      <c r="AH122" s="395">
        <f t="shared" ca="1" si="116"/>
        <v>-809.67686666666668</v>
      </c>
      <c r="AI122" s="395">
        <f t="shared" ca="1" si="116"/>
        <v>-809.67686666666668</v>
      </c>
      <c r="AJ122" s="395">
        <f t="shared" ca="1" si="116"/>
        <v>-809.67686666666668</v>
      </c>
      <c r="AK122" s="395">
        <f t="shared" ca="1" si="116"/>
        <v>-809.67686666666668</v>
      </c>
      <c r="AL122" s="395">
        <f t="shared" ca="1" si="116"/>
        <v>-809.67686666666668</v>
      </c>
      <c r="AM122" s="395">
        <f t="shared" ca="1" si="116"/>
        <v>-809.67686666666668</v>
      </c>
      <c r="AN122" s="395">
        <f t="shared" ca="1" si="116"/>
        <v>-809.67686666666668</v>
      </c>
      <c r="AO122" s="395">
        <f t="shared" ca="1" si="116"/>
        <v>4095152.9535615142</v>
      </c>
      <c r="AP122" s="395">
        <f t="shared" ca="1" si="116"/>
        <v>66044.278241301159</v>
      </c>
      <c r="AQ122" s="395">
        <f t="shared" ca="1" si="116"/>
        <v>66044.278241301159</v>
      </c>
      <c r="AR122" s="395">
        <f t="shared" ca="1" si="116"/>
        <v>66044.278241301159</v>
      </c>
      <c r="AS122" s="395">
        <f t="shared" ca="1" si="116"/>
        <v>66044.278241301159</v>
      </c>
      <c r="AT122" s="395">
        <f t="shared" ca="1" si="116"/>
        <v>66044.278241301159</v>
      </c>
      <c r="AU122" s="395">
        <f t="shared" ca="1" si="116"/>
        <v>66044.278241301159</v>
      </c>
      <c r="AV122" s="395">
        <f t="shared" ca="1" si="116"/>
        <v>66044.278241301159</v>
      </c>
      <c r="AW122" s="395">
        <f t="shared" ca="1" si="116"/>
        <v>66044.278241301159</v>
      </c>
      <c r="AX122" s="395">
        <f t="shared" ca="1" si="116"/>
        <v>66044.278241301159</v>
      </c>
      <c r="AY122" s="395">
        <f t="shared" ca="1" si="116"/>
        <v>66044.278241301159</v>
      </c>
      <c r="AZ122" s="395">
        <f t="shared" ca="1" si="116"/>
        <v>66044.278241301159</v>
      </c>
      <c r="BA122" s="395">
        <f t="shared" ca="1" si="116"/>
        <v>66044.278241301159</v>
      </c>
      <c r="BB122" s="395">
        <f t="shared" ca="1" si="116"/>
        <v>55365.868872655454</v>
      </c>
      <c r="BC122" s="395">
        <f t="shared" ca="1" si="116"/>
        <v>55365.868872655454</v>
      </c>
      <c r="BD122" s="395">
        <f t="shared" ca="1" si="116"/>
        <v>55365.868872655454</v>
      </c>
      <c r="BE122" s="395">
        <f t="shared" ca="1" si="116"/>
        <v>55365.868872655454</v>
      </c>
      <c r="BF122" s="395">
        <f t="shared" ca="1" si="116"/>
        <v>55365.868872655454</v>
      </c>
      <c r="BG122" s="395">
        <f t="shared" ca="1" si="116"/>
        <v>55365.868872655454</v>
      </c>
      <c r="BH122" s="395">
        <f t="shared" ca="1" si="116"/>
        <v>55365.868872655454</v>
      </c>
      <c r="BI122" s="395">
        <f t="shared" ca="1" si="116"/>
        <v>55365.868872655454</v>
      </c>
      <c r="BJ122" s="395">
        <f t="shared" ca="1" si="116"/>
        <v>55365.868872655454</v>
      </c>
      <c r="BK122" s="395">
        <f t="shared" ca="1" si="116"/>
        <v>55365.868872655454</v>
      </c>
      <c r="BL122" s="395">
        <f t="shared" ca="1" si="116"/>
        <v>55365.868872655454</v>
      </c>
      <c r="BM122" s="395">
        <f t="shared" ca="1" si="116"/>
        <v>55365.868872655454</v>
      </c>
      <c r="BN122" s="395">
        <f t="shared" ca="1" si="116"/>
        <v>64152.815921932706</v>
      </c>
      <c r="BO122" s="395">
        <f t="shared" ca="1" si="116"/>
        <v>64152.815921932706</v>
      </c>
      <c r="BP122" s="395">
        <f t="shared" ca="1" si="116"/>
        <v>64152.815921932706</v>
      </c>
      <c r="BQ122" s="395">
        <f t="shared" ca="1" si="116"/>
        <v>64152.815921932706</v>
      </c>
      <c r="BR122" s="395">
        <f t="shared" ref="BR122:CK122" ca="1" si="117">BR112</f>
        <v>64152.815921932706</v>
      </c>
      <c r="BS122" s="395">
        <f t="shared" ca="1" si="117"/>
        <v>64152.815921932706</v>
      </c>
      <c r="BT122" s="395">
        <f t="shared" ca="1" si="117"/>
        <v>64152.815921932706</v>
      </c>
      <c r="BU122" s="395">
        <f t="shared" ca="1" si="117"/>
        <v>64152.815921932706</v>
      </c>
      <c r="BV122" s="395">
        <f t="shared" ca="1" si="117"/>
        <v>64152.815921932706</v>
      </c>
      <c r="BW122" s="395">
        <f t="shared" ca="1" si="117"/>
        <v>64152.815921932706</v>
      </c>
      <c r="BX122" s="395">
        <f t="shared" ca="1" si="117"/>
        <v>64152.815921932706</v>
      </c>
      <c r="BY122" s="395">
        <f t="shared" ca="1" si="117"/>
        <v>7631684.6172698401</v>
      </c>
      <c r="BZ122" s="395">
        <f t="shared" ca="1" si="117"/>
        <v>0</v>
      </c>
      <c r="CA122" s="395">
        <f t="shared" ca="1" si="117"/>
        <v>0</v>
      </c>
      <c r="CB122" s="395">
        <f t="shared" ca="1" si="117"/>
        <v>0</v>
      </c>
      <c r="CC122" s="395">
        <f t="shared" ca="1" si="117"/>
        <v>0</v>
      </c>
      <c r="CD122" s="395">
        <f t="shared" ca="1" si="117"/>
        <v>0</v>
      </c>
      <c r="CE122" s="395">
        <f t="shared" ca="1" si="117"/>
        <v>0</v>
      </c>
      <c r="CF122" s="395">
        <f t="shared" ca="1" si="117"/>
        <v>0</v>
      </c>
      <c r="CG122" s="395">
        <f t="shared" ca="1" si="117"/>
        <v>0</v>
      </c>
      <c r="CH122" s="395">
        <f t="shared" ca="1" si="117"/>
        <v>0</v>
      </c>
      <c r="CI122" s="395">
        <f t="shared" ca="1" si="117"/>
        <v>0</v>
      </c>
      <c r="CJ122" s="395">
        <f t="shared" ca="1" si="117"/>
        <v>0</v>
      </c>
      <c r="CK122" s="395">
        <f t="shared" ca="1" si="117"/>
        <v>0</v>
      </c>
      <c r="CL122" s="133" t="s">
        <v>15</v>
      </c>
    </row>
    <row r="123" spans="2:90" ht="15" customHeight="1" x14ac:dyDescent="0.2">
      <c r="B123" s="133" t="s">
        <v>286</v>
      </c>
      <c r="E123" s="395">
        <f ca="1">SUM('Provided - CAP Acct. 1'!I114:I116)</f>
        <v>-55450.149267619046</v>
      </c>
      <c r="F123" s="395">
        <f ca="1">SUM('Provided - CAP Acct. 1'!J114:J116)</f>
        <v>-5657.7724495238108</v>
      </c>
      <c r="G123" s="395">
        <f ca="1">SUM('Provided - CAP Acct. 1'!K114:K116)</f>
        <v>-5865.3956314285724</v>
      </c>
      <c r="H123" s="395">
        <f ca="1">SUM('Provided - CAP Acct. 1'!L114:L116)</f>
        <v>-6088.5786800000014</v>
      </c>
      <c r="I123" s="395">
        <f ca="1">SUM('Provided - CAP Acct. 1'!M114:M116)</f>
        <v>-6300.0918285714288</v>
      </c>
      <c r="J123" s="395">
        <f ca="1">SUM('Provided - CAP Acct. 1'!N114:N116)</f>
        <v>-6478.9292571428587</v>
      </c>
      <c r="K123" s="395">
        <f ca="1">SUM('Provided - CAP Acct. 1'!O114:O116)</f>
        <v>-6782.6923137844615</v>
      </c>
      <c r="L123" s="395">
        <f ca="1">SUM('Provided - CAP Acct. 1'!P114:P116)</f>
        <v>-7247.4999904260658</v>
      </c>
      <c r="M123" s="395">
        <f ca="1">SUM('Provided - CAP Acct. 1'!Q114:Q116)</f>
        <v>-7712.307667067671</v>
      </c>
      <c r="N123" s="395">
        <f ca="1">SUM('Provided - CAP Acct. 1'!R114:R116)</f>
        <v>-8096.7686666666668</v>
      </c>
      <c r="O123" s="395">
        <f ca="1">SUM('Provided - CAP Acct. 1'!S114:S116)</f>
        <v>-8096.7686666666668</v>
      </c>
      <c r="P123" s="395">
        <f ca="1">SUM('Provided - CAP Acct. 1'!T114:T116)</f>
        <v>-8096.7686666666668</v>
      </c>
      <c r="Q123" s="395">
        <f ca="1">SUM('Provided - CAP Acct. 1'!U114:U116)</f>
        <v>-8096.7686666666668</v>
      </c>
      <c r="R123" s="395">
        <f ca="1">SUM('Provided - CAP Acct. 1'!V114:V116)</f>
        <v>-8096.7686666666668</v>
      </c>
      <c r="S123" s="395">
        <f ca="1">SUM('Provided - CAP Acct. 1'!W114:W116)</f>
        <v>-8096.7686666666668</v>
      </c>
      <c r="T123" s="395">
        <f ca="1">SUM('Provided - CAP Acct. 1'!X114:X116)</f>
        <v>-8096.7686666666668</v>
      </c>
      <c r="U123" s="395">
        <f ca="1">SUM('Provided - CAP Acct. 1'!Y114:Y116)</f>
        <v>-8096.7686666666668</v>
      </c>
      <c r="V123" s="395">
        <f ca="1">SUM('Provided - CAP Acct. 1'!Z114:Z116)</f>
        <v>-8096.7686666666668</v>
      </c>
      <c r="W123" s="395">
        <f ca="1">SUM('Provided - CAP Acct. 1'!AA114:AA116)</f>
        <v>-8096.7686666666668</v>
      </c>
      <c r="X123" s="395">
        <f ca="1">SUM('Provided - CAP Acct. 1'!AB114:AB116)</f>
        <v>-8096.7686666666668</v>
      </c>
      <c r="Y123" s="395">
        <f ca="1">SUM('Provided - CAP Acct. 1'!AC114:AC116)</f>
        <v>-8096.7686666666668</v>
      </c>
      <c r="Z123" s="395">
        <f ca="1">SUM('Provided - CAP Acct. 1'!AD114:AD116)</f>
        <v>-8096.7686666666668</v>
      </c>
      <c r="AA123" s="395">
        <f ca="1">SUM('Provided - CAP Acct. 1'!AE114:AE116)</f>
        <v>-8096.7686666666668</v>
      </c>
      <c r="AB123" s="395">
        <f ca="1">SUM('Provided - CAP Acct. 1'!AF114:AF116)</f>
        <v>-8096.7686666666668</v>
      </c>
      <c r="AC123" s="395">
        <f ca="1">SUM('Provided - CAP Acct. 1'!AG114:AG116)</f>
        <v>-8096.7686666666668</v>
      </c>
      <c r="AD123" s="395">
        <f ca="1">SUM('Provided - CAP Acct. 1'!AH114:AH116)</f>
        <v>-8096.7686666666668</v>
      </c>
      <c r="AE123" s="395">
        <f ca="1">SUM('Provided - CAP Acct. 1'!AI114:AI116)</f>
        <v>-8096.7686666666668</v>
      </c>
      <c r="AF123" s="395">
        <f ca="1">SUM('Provided - CAP Acct. 1'!AJ114:AJ116)</f>
        <v>-8096.7686666666668</v>
      </c>
      <c r="AG123" s="395">
        <f ca="1">SUM('Provided - CAP Acct. 1'!AK114:AK116)</f>
        <v>-8096.7686666666668</v>
      </c>
      <c r="AH123" s="395">
        <f ca="1">SUM('Provided - CAP Acct. 1'!AL114:AL116)</f>
        <v>-8096.7686666666668</v>
      </c>
      <c r="AI123" s="395">
        <f ca="1">SUM('Provided - CAP Acct. 1'!AM114:AM116)</f>
        <v>-8096.7686666666668</v>
      </c>
      <c r="AJ123" s="395">
        <f ca="1">SUM('Provided - CAP Acct. 1'!AN114:AN116)</f>
        <v>-8096.7686666666668</v>
      </c>
      <c r="AK123" s="395">
        <f ca="1">SUM('Provided - CAP Acct. 1'!AO114:AO116)</f>
        <v>-8096.7686666666668</v>
      </c>
      <c r="AL123" s="395">
        <f ca="1">SUM('Provided - CAP Acct. 1'!AP114:AP116)</f>
        <v>-8096.7686666666668</v>
      </c>
      <c r="AM123" s="395">
        <f ca="1">SUM('Provided - CAP Acct. 1'!AQ114:AQ116)</f>
        <v>-8096.7686666666668</v>
      </c>
      <c r="AN123" s="395">
        <f ca="1">SUM('Provided - CAP Acct. 1'!AR114:AR116)</f>
        <v>-8096.7686666666668</v>
      </c>
      <c r="AO123" s="395">
        <f ca="1">SUM('Provided - CAP Acct. 1'!AS114:AS116)</f>
        <v>0</v>
      </c>
      <c r="AP123" s="395">
        <f ca="1">SUM('Provided - CAP Acct. 1'!AT114:AT116)</f>
        <v>0</v>
      </c>
      <c r="AQ123" s="395">
        <f ca="1">SUM('Provided - CAP Acct. 1'!AU114:AU116)</f>
        <v>0</v>
      </c>
      <c r="AR123" s="395">
        <f ca="1">SUM('Provided - CAP Acct. 1'!AV114:AV116)</f>
        <v>0</v>
      </c>
      <c r="AS123" s="395">
        <f ca="1">SUM('Provided - CAP Acct. 1'!AW114:AW116)</f>
        <v>0</v>
      </c>
      <c r="AT123" s="395">
        <f ca="1">SUM('Provided - CAP Acct. 1'!AX114:AX116)</f>
        <v>0</v>
      </c>
      <c r="AU123" s="395">
        <f ca="1">SUM('Provided - CAP Acct. 1'!AY114:AY116)</f>
        <v>0</v>
      </c>
      <c r="AV123" s="395">
        <f ca="1">SUM('Provided - CAP Acct. 1'!AZ114:AZ116)</f>
        <v>0</v>
      </c>
      <c r="AW123" s="395">
        <f ca="1">SUM('Provided - CAP Acct. 1'!BA114:BA116)</f>
        <v>0</v>
      </c>
      <c r="AX123" s="395">
        <f ca="1">SUM('Provided - CAP Acct. 1'!BB114:BB116)</f>
        <v>0</v>
      </c>
      <c r="AY123" s="395">
        <f ca="1">SUM('Provided - CAP Acct. 1'!BC114:BC116)</f>
        <v>0</v>
      </c>
      <c r="AZ123" s="395">
        <f ca="1">SUM('Provided - CAP Acct. 1'!BD114:BD116)</f>
        <v>0</v>
      </c>
      <c r="BA123" s="395">
        <f ca="1">SUM('Provided - CAP Acct. 1'!BE114:BE116)</f>
        <v>0</v>
      </c>
      <c r="BB123" s="395">
        <f ca="1">SUM('Provided - CAP Acct. 1'!BF114:BF116)</f>
        <v>0</v>
      </c>
      <c r="BC123" s="395">
        <f ca="1">SUM('Provided - CAP Acct. 1'!BG114:BG116)</f>
        <v>0</v>
      </c>
      <c r="BD123" s="395">
        <f ca="1">SUM('Provided - CAP Acct. 1'!BH114:BH116)</f>
        <v>0</v>
      </c>
      <c r="BE123" s="395">
        <f ca="1">SUM('Provided - CAP Acct. 1'!BI114:BI116)</f>
        <v>0</v>
      </c>
      <c r="BF123" s="395">
        <f ca="1">SUM('Provided - CAP Acct. 1'!BJ114:BJ116)</f>
        <v>0</v>
      </c>
      <c r="BG123" s="395">
        <f ca="1">SUM('Provided - CAP Acct. 1'!BK114:BK116)</f>
        <v>0</v>
      </c>
      <c r="BH123" s="395">
        <f ca="1">SUM('Provided - CAP Acct. 1'!BL114:BL116)</f>
        <v>0</v>
      </c>
      <c r="BI123" s="395">
        <f ca="1">SUM('Provided - CAP Acct. 1'!BM114:BM116)</f>
        <v>0</v>
      </c>
      <c r="BJ123" s="395">
        <f ca="1">SUM('Provided - CAP Acct. 1'!BN114:BN116)</f>
        <v>0</v>
      </c>
      <c r="BK123" s="395">
        <f ca="1">SUM('Provided - CAP Acct. 1'!BO114:BO116)</f>
        <v>0</v>
      </c>
      <c r="BL123" s="395">
        <f ca="1">SUM('Provided - CAP Acct. 1'!BP114:BP116)</f>
        <v>0</v>
      </c>
      <c r="BM123" s="395">
        <f ca="1">SUM('Provided - CAP Acct. 1'!BQ114:BQ116)</f>
        <v>0</v>
      </c>
      <c r="BN123" s="395">
        <f ca="1">SUM('Provided - CAP Acct. 1'!BR114:BR116)</f>
        <v>0</v>
      </c>
      <c r="BO123" s="395">
        <f ca="1">SUM('Provided - CAP Acct. 1'!BS114:BS116)</f>
        <v>0</v>
      </c>
      <c r="BP123" s="395">
        <f ca="1">SUM('Provided - CAP Acct. 1'!BT114:BT116)</f>
        <v>0</v>
      </c>
      <c r="BQ123" s="395">
        <f ca="1">SUM('Provided - CAP Acct. 1'!BU114:BU116)</f>
        <v>0</v>
      </c>
      <c r="BR123" s="395">
        <f ca="1">SUM('Provided - CAP Acct. 1'!BV114:BV116)</f>
        <v>0</v>
      </c>
      <c r="BS123" s="395">
        <f ca="1">SUM('Provided - CAP Acct. 1'!BW114:BW116)</f>
        <v>0</v>
      </c>
      <c r="BT123" s="395">
        <f ca="1">SUM('Provided - CAP Acct. 1'!BX114:BX116)</f>
        <v>0</v>
      </c>
      <c r="BU123" s="395">
        <f ca="1">SUM('Provided - CAP Acct. 1'!BY114:BY116)</f>
        <v>0</v>
      </c>
      <c r="BV123" s="395">
        <f ca="1">SUM('Provided - CAP Acct. 1'!BZ114:BZ116)</f>
        <v>0</v>
      </c>
      <c r="BW123" s="395">
        <f ca="1">SUM('Provided - CAP Acct. 1'!CA114:CA116)</f>
        <v>0</v>
      </c>
      <c r="BX123" s="395">
        <f ca="1">SUM('Provided - CAP Acct. 1'!CB114:CB116)</f>
        <v>0</v>
      </c>
      <c r="BY123" s="395">
        <f ca="1">SUM('Provided - CAP Acct. 1'!CC114:CC116)</f>
        <v>-62209.358048518152</v>
      </c>
      <c r="BZ123" s="395">
        <f ca="1">SUM('Provided - CAP Acct. 1'!CD114:CD116)</f>
        <v>0</v>
      </c>
      <c r="CA123" s="395">
        <f ca="1">SUM('Provided - CAP Acct. 1'!CE114:CE116)</f>
        <v>0</v>
      </c>
      <c r="CB123" s="395">
        <f ca="1">SUM('Provided - CAP Acct. 1'!CF114:CF116)</f>
        <v>0</v>
      </c>
      <c r="CC123" s="395">
        <f ca="1">SUM('Provided - CAP Acct. 1'!CG114:CG116)</f>
        <v>0</v>
      </c>
      <c r="CD123" s="395">
        <f ca="1">SUM('Provided - CAP Acct. 1'!CH114:CH116)</f>
        <v>0</v>
      </c>
      <c r="CE123" s="395">
        <f ca="1">SUM('Provided - CAP Acct. 1'!CI114:CI116)</f>
        <v>0</v>
      </c>
      <c r="CF123" s="395">
        <f ca="1">SUM('Provided - CAP Acct. 1'!CJ114:CJ116)</f>
        <v>0</v>
      </c>
      <c r="CG123" s="395">
        <f ca="1">SUM('Provided - CAP Acct. 1'!CK114:CK116)</f>
        <v>0</v>
      </c>
      <c r="CH123" s="395">
        <f ca="1">SUM('Provided - CAP Acct. 1'!CL114:CL116)</f>
        <v>0</v>
      </c>
      <c r="CI123" s="395">
        <f ca="1">SUM('Provided - CAP Acct. 1'!CM114:CM116)</f>
        <v>0</v>
      </c>
      <c r="CJ123" s="395">
        <f ca="1">SUM('Provided - CAP Acct. 1'!CN114:CN116)</f>
        <v>0</v>
      </c>
      <c r="CK123" s="395">
        <f ca="1">SUM('Provided - CAP Acct. 1'!CO114:CO116)</f>
        <v>0</v>
      </c>
      <c r="CL123" s="133" t="s">
        <v>15</v>
      </c>
    </row>
    <row r="124" spans="2:90" ht="15" customHeight="1" x14ac:dyDescent="0.2">
      <c r="B124" s="133" t="s">
        <v>356</v>
      </c>
      <c r="E124" s="395">
        <f ca="1">E122-E123</f>
        <v>-767617.25580200017</v>
      </c>
      <c r="F124" s="395">
        <f t="shared" ref="F124:BQ124" ca="1" si="118">F122-F123</f>
        <v>-26051.482081142847</v>
      </c>
      <c r="G124" s="395">
        <f t="shared" ca="1" si="118"/>
        <v>-25864.621217428565</v>
      </c>
      <c r="H124" s="395">
        <f t="shared" ca="1" si="118"/>
        <v>-27997.736473714282</v>
      </c>
      <c r="I124" s="395">
        <f t="shared" ca="1" si="118"/>
        <v>-26056.889639999994</v>
      </c>
      <c r="J124" s="395">
        <f t="shared" ca="1" si="118"/>
        <v>-20994.577954285713</v>
      </c>
      <c r="K124" s="395">
        <f t="shared" ca="1" si="118"/>
        <v>-39460.035413834587</v>
      </c>
      <c r="L124" s="395">
        <f t="shared" ca="1" si="118"/>
        <v>-63198.40150485716</v>
      </c>
      <c r="M124" s="395">
        <f t="shared" ca="1" si="118"/>
        <v>-62780.074595879705</v>
      </c>
      <c r="N124" s="395">
        <f t="shared" ca="1" si="118"/>
        <v>-50382.058139849425</v>
      </c>
      <c r="O124" s="395">
        <f t="shared" ca="1" si="118"/>
        <v>7287.0918000000001</v>
      </c>
      <c r="P124" s="395">
        <f t="shared" ca="1" si="118"/>
        <v>7287.0918000000001</v>
      </c>
      <c r="Q124" s="395">
        <f t="shared" ca="1" si="118"/>
        <v>7287.0918000000001</v>
      </c>
      <c r="R124" s="395">
        <f t="shared" ca="1" si="118"/>
        <v>7287.0918000000001</v>
      </c>
      <c r="S124" s="395">
        <f t="shared" ca="1" si="118"/>
        <v>7287.0918000000001</v>
      </c>
      <c r="T124" s="395">
        <f t="shared" ca="1" si="118"/>
        <v>7287.0918000000001</v>
      </c>
      <c r="U124" s="395">
        <f t="shared" ca="1" si="118"/>
        <v>7287.0918000000001</v>
      </c>
      <c r="V124" s="395">
        <f t="shared" ca="1" si="118"/>
        <v>7287.0918000000001</v>
      </c>
      <c r="W124" s="395">
        <f t="shared" ca="1" si="118"/>
        <v>7287.0918000000001</v>
      </c>
      <c r="X124" s="395">
        <f t="shared" ca="1" si="118"/>
        <v>7287.0918000000001</v>
      </c>
      <c r="Y124" s="395">
        <f t="shared" ca="1" si="118"/>
        <v>7287.0918000000001</v>
      </c>
      <c r="Z124" s="395">
        <f t="shared" ca="1" si="118"/>
        <v>7287.0918000000001</v>
      </c>
      <c r="AA124" s="395">
        <f t="shared" ca="1" si="118"/>
        <v>7287.0918000000001</v>
      </c>
      <c r="AB124" s="395">
        <f t="shared" ca="1" si="118"/>
        <v>7287.0918000000001</v>
      </c>
      <c r="AC124" s="395">
        <f t="shared" ca="1" si="118"/>
        <v>7287.0918000000001</v>
      </c>
      <c r="AD124" s="395">
        <f t="shared" ca="1" si="118"/>
        <v>7287.0918000000001</v>
      </c>
      <c r="AE124" s="395">
        <f t="shared" ca="1" si="118"/>
        <v>7287.0918000000001</v>
      </c>
      <c r="AF124" s="395">
        <f t="shared" ca="1" si="118"/>
        <v>7287.0918000000001</v>
      </c>
      <c r="AG124" s="395">
        <f t="shared" ca="1" si="118"/>
        <v>7287.0918000000001</v>
      </c>
      <c r="AH124" s="395">
        <f t="shared" ca="1" si="118"/>
        <v>7287.0918000000001</v>
      </c>
      <c r="AI124" s="395">
        <f t="shared" ca="1" si="118"/>
        <v>7287.0918000000001</v>
      </c>
      <c r="AJ124" s="395">
        <f t="shared" ca="1" si="118"/>
        <v>7287.0918000000001</v>
      </c>
      <c r="AK124" s="395">
        <f t="shared" ca="1" si="118"/>
        <v>7287.0918000000001</v>
      </c>
      <c r="AL124" s="395">
        <f t="shared" ca="1" si="118"/>
        <v>7287.0918000000001</v>
      </c>
      <c r="AM124" s="395">
        <f t="shared" ca="1" si="118"/>
        <v>7287.0918000000001</v>
      </c>
      <c r="AN124" s="395">
        <f t="shared" ca="1" si="118"/>
        <v>7287.0918000000001</v>
      </c>
      <c r="AO124" s="395">
        <f t="shared" ca="1" si="118"/>
        <v>4095152.9535615142</v>
      </c>
      <c r="AP124" s="395">
        <f t="shared" ca="1" si="118"/>
        <v>66044.278241301159</v>
      </c>
      <c r="AQ124" s="395">
        <f t="shared" ca="1" si="118"/>
        <v>66044.278241301159</v>
      </c>
      <c r="AR124" s="395">
        <f t="shared" ca="1" si="118"/>
        <v>66044.278241301159</v>
      </c>
      <c r="AS124" s="395">
        <f t="shared" ca="1" si="118"/>
        <v>66044.278241301159</v>
      </c>
      <c r="AT124" s="395">
        <f t="shared" ca="1" si="118"/>
        <v>66044.278241301159</v>
      </c>
      <c r="AU124" s="395">
        <f t="shared" ca="1" si="118"/>
        <v>66044.278241301159</v>
      </c>
      <c r="AV124" s="395">
        <f t="shared" ca="1" si="118"/>
        <v>66044.278241301159</v>
      </c>
      <c r="AW124" s="395">
        <f t="shared" ca="1" si="118"/>
        <v>66044.278241301159</v>
      </c>
      <c r="AX124" s="395">
        <f t="shared" ca="1" si="118"/>
        <v>66044.278241301159</v>
      </c>
      <c r="AY124" s="395">
        <f t="shared" ca="1" si="118"/>
        <v>66044.278241301159</v>
      </c>
      <c r="AZ124" s="395">
        <f t="shared" ca="1" si="118"/>
        <v>66044.278241301159</v>
      </c>
      <c r="BA124" s="395">
        <f t="shared" ca="1" si="118"/>
        <v>66044.278241301159</v>
      </c>
      <c r="BB124" s="395">
        <f t="shared" ca="1" si="118"/>
        <v>55365.868872655454</v>
      </c>
      <c r="BC124" s="395">
        <f t="shared" ca="1" si="118"/>
        <v>55365.868872655454</v>
      </c>
      <c r="BD124" s="395">
        <f t="shared" ca="1" si="118"/>
        <v>55365.868872655454</v>
      </c>
      <c r="BE124" s="395">
        <f t="shared" ca="1" si="118"/>
        <v>55365.868872655454</v>
      </c>
      <c r="BF124" s="395">
        <f t="shared" ca="1" si="118"/>
        <v>55365.868872655454</v>
      </c>
      <c r="BG124" s="395">
        <f t="shared" ca="1" si="118"/>
        <v>55365.868872655454</v>
      </c>
      <c r="BH124" s="395">
        <f t="shared" ca="1" si="118"/>
        <v>55365.868872655454</v>
      </c>
      <c r="BI124" s="395">
        <f t="shared" ca="1" si="118"/>
        <v>55365.868872655454</v>
      </c>
      <c r="BJ124" s="395">
        <f t="shared" ca="1" si="118"/>
        <v>55365.868872655454</v>
      </c>
      <c r="BK124" s="395">
        <f t="shared" ca="1" si="118"/>
        <v>55365.868872655454</v>
      </c>
      <c r="BL124" s="395">
        <f t="shared" ca="1" si="118"/>
        <v>55365.868872655454</v>
      </c>
      <c r="BM124" s="395">
        <f t="shared" ca="1" si="118"/>
        <v>55365.868872655454</v>
      </c>
      <c r="BN124" s="395">
        <f t="shared" ca="1" si="118"/>
        <v>64152.815921932706</v>
      </c>
      <c r="BO124" s="395">
        <f t="shared" ca="1" si="118"/>
        <v>64152.815921932706</v>
      </c>
      <c r="BP124" s="395">
        <f t="shared" ca="1" si="118"/>
        <v>64152.815921932706</v>
      </c>
      <c r="BQ124" s="395">
        <f t="shared" ca="1" si="118"/>
        <v>64152.815921932706</v>
      </c>
      <c r="BR124" s="395">
        <f t="shared" ref="BR124:CK124" ca="1" si="119">BR122-BR123</f>
        <v>64152.815921932706</v>
      </c>
      <c r="BS124" s="395">
        <f t="shared" ca="1" si="119"/>
        <v>64152.815921932706</v>
      </c>
      <c r="BT124" s="395">
        <f t="shared" ca="1" si="119"/>
        <v>64152.815921932706</v>
      </c>
      <c r="BU124" s="395">
        <f t="shared" ca="1" si="119"/>
        <v>64152.815921932706</v>
      </c>
      <c r="BV124" s="395">
        <f t="shared" ca="1" si="119"/>
        <v>64152.815921932706</v>
      </c>
      <c r="BW124" s="395">
        <f t="shared" ca="1" si="119"/>
        <v>64152.815921932706</v>
      </c>
      <c r="BX124" s="395">
        <f t="shared" ca="1" si="119"/>
        <v>64152.815921932706</v>
      </c>
      <c r="BY124" s="395">
        <f t="shared" ca="1" si="119"/>
        <v>7693893.9753183583</v>
      </c>
      <c r="BZ124" s="395">
        <f t="shared" ca="1" si="119"/>
        <v>0</v>
      </c>
      <c r="CA124" s="395">
        <f t="shared" ca="1" si="119"/>
        <v>0</v>
      </c>
      <c r="CB124" s="395">
        <f t="shared" ca="1" si="119"/>
        <v>0</v>
      </c>
      <c r="CC124" s="395">
        <f t="shared" ca="1" si="119"/>
        <v>0</v>
      </c>
      <c r="CD124" s="395">
        <f t="shared" ca="1" si="119"/>
        <v>0</v>
      </c>
      <c r="CE124" s="395">
        <f t="shared" ca="1" si="119"/>
        <v>0</v>
      </c>
      <c r="CF124" s="395">
        <f t="shared" ca="1" si="119"/>
        <v>0</v>
      </c>
      <c r="CG124" s="395">
        <f t="shared" ca="1" si="119"/>
        <v>0</v>
      </c>
      <c r="CH124" s="395">
        <f t="shared" ca="1" si="119"/>
        <v>0</v>
      </c>
      <c r="CI124" s="395">
        <f t="shared" ca="1" si="119"/>
        <v>0</v>
      </c>
      <c r="CJ124" s="395">
        <f t="shared" ca="1" si="119"/>
        <v>0</v>
      </c>
      <c r="CK124" s="395">
        <f t="shared" ca="1" si="119"/>
        <v>0</v>
      </c>
      <c r="CL124" s="133" t="s">
        <v>15</v>
      </c>
    </row>
    <row r="125" spans="2:90" ht="15" customHeight="1" x14ac:dyDescent="0.2">
      <c r="B125" s="133"/>
      <c r="CL125" s="133"/>
    </row>
    <row r="126" spans="2:90" ht="15" customHeight="1" x14ac:dyDescent="0.2">
      <c r="B126" s="272" t="s">
        <v>287</v>
      </c>
      <c r="C126" s="273"/>
      <c r="D126" s="273"/>
      <c r="E126" s="310">
        <f ca="1">IFERROR(XIRR(E124:CK124,HoldingDates,-0.1),XIRR(E124:CK124,HoldingDates))</f>
        <v>0.8679852366447447</v>
      </c>
      <c r="CL126" s="133"/>
    </row>
    <row r="127" spans="2:90" ht="15" customHeight="1" x14ac:dyDescent="0.2">
      <c r="B127" s="275" t="s">
        <v>218</v>
      </c>
      <c r="E127" s="276">
        <f ca="1">-SUMIF(E124:CK124,"&gt;"&amp;0)/SUMIF(E124:CK124,"&lt;"&amp;0)</f>
        <v>12.7351172184083</v>
      </c>
      <c r="CL127" s="133"/>
    </row>
    <row r="128" spans="2:90" ht="15" customHeight="1" x14ac:dyDescent="0.2">
      <c r="B128" s="277" t="s">
        <v>220</v>
      </c>
      <c r="C128" s="278"/>
      <c r="D128" s="278"/>
      <c r="E128" s="279">
        <f ca="1">SUM(E124:CK124)</f>
        <v>13030710.923365615</v>
      </c>
      <c r="CL128" s="133"/>
    </row>
    <row r="129" spans="1:90" s="329" customFormat="1" ht="15" customHeight="1" x14ac:dyDescent="0.2">
      <c r="CL129" s="330"/>
    </row>
    <row r="130" spans="1:90" s="329" customFormat="1" ht="10.35" customHeight="1" x14ac:dyDescent="0.2">
      <c r="B130" s="330"/>
      <c r="C130" s="330"/>
      <c r="D130" s="330"/>
    </row>
    <row r="131" spans="1:90" s="329" customFormat="1" ht="15" customHeight="1" x14ac:dyDescent="0.2">
      <c r="A131" s="11"/>
      <c r="B131" s="338"/>
      <c r="C131" s="339"/>
      <c r="D131" s="341"/>
      <c r="J131" s="419"/>
      <c r="K131" s="419"/>
      <c r="L131" s="419"/>
    </row>
    <row r="132" spans="1:90" s="329" customFormat="1" ht="15" customHeight="1" x14ac:dyDescent="0.2">
      <c r="A132" s="11"/>
      <c r="B132" s="338"/>
      <c r="C132" s="339"/>
      <c r="D132" s="341"/>
      <c r="J132" s="419"/>
      <c r="K132" s="419"/>
      <c r="L132" s="419"/>
    </row>
    <row r="133" spans="1:90" s="329" customFormat="1" ht="15" customHeight="1" x14ac:dyDescent="0.2">
      <c r="A133" s="11"/>
      <c r="B133" s="338"/>
      <c r="D133" s="341"/>
    </row>
    <row r="134" spans="1:90" s="329" customFormat="1" ht="15" customHeight="1" x14ac:dyDescent="0.2">
      <c r="A134" s="11"/>
      <c r="B134" s="338"/>
      <c r="D134" s="325"/>
      <c r="E134" s="325"/>
      <c r="F134" s="321"/>
    </row>
    <row r="135" spans="1:90" s="329" customFormat="1" ht="15" customHeight="1" x14ac:dyDescent="0.2">
      <c r="CL135" s="330"/>
    </row>
    <row r="136" spans="1:90" ht="15" customHeight="1" x14ac:dyDescent="0.2">
      <c r="CL136" s="133"/>
    </row>
    <row r="137" spans="1:90" ht="15" customHeight="1" x14ac:dyDescent="0.2">
      <c r="CL137" s="133"/>
    </row>
    <row r="138" spans="1:90" ht="15" customHeight="1" x14ac:dyDescent="0.2">
      <c r="CL138" s="133"/>
    </row>
    <row r="139" spans="1:90" ht="15" customHeight="1" x14ac:dyDescent="0.2">
      <c r="CL139" s="133"/>
    </row>
    <row r="140" spans="1:90" ht="15" customHeight="1" x14ac:dyDescent="0.2">
      <c r="CL140" s="133"/>
    </row>
    <row r="141" spans="1:90" ht="15" customHeight="1" x14ac:dyDescent="0.2">
      <c r="CL141" s="133"/>
    </row>
    <row r="142" spans="1:90" ht="15" customHeight="1" x14ac:dyDescent="0.2">
      <c r="CL142" s="133"/>
    </row>
    <row r="143" spans="1:90" ht="15" customHeight="1" x14ac:dyDescent="0.2">
      <c r="CL143" s="133"/>
    </row>
    <row r="144" spans="1:90" ht="15" customHeight="1" x14ac:dyDescent="0.2">
      <c r="CL144" s="133"/>
    </row>
    <row r="145" spans="90:90" ht="15" customHeight="1" x14ac:dyDescent="0.2">
      <c r="CL145" s="133"/>
    </row>
    <row r="146" spans="90:90" ht="15" customHeight="1" x14ac:dyDescent="0.2">
      <c r="CL146" s="133"/>
    </row>
    <row r="147" spans="90:90" ht="15" customHeight="1" x14ac:dyDescent="0.2">
      <c r="CL147" s="133"/>
    </row>
    <row r="148" spans="90:90" ht="15" customHeight="1" x14ac:dyDescent="0.2">
      <c r="CL148" s="133"/>
    </row>
    <row r="149" spans="90:90" ht="15" customHeight="1" x14ac:dyDescent="0.2">
      <c r="CL149" s="133"/>
    </row>
    <row r="150" spans="90:90" ht="15" customHeight="1" x14ac:dyDescent="0.2">
      <c r="CL150" s="133"/>
    </row>
    <row r="151" spans="90:90" ht="15" customHeight="1" x14ac:dyDescent="0.2">
      <c r="CL151" s="133"/>
    </row>
    <row r="152" spans="90:90" ht="15" customHeight="1" x14ac:dyDescent="0.2">
      <c r="CL152" s="133"/>
    </row>
    <row r="153" spans="90:90" ht="15" customHeight="1" x14ac:dyDescent="0.2">
      <c r="CL153" s="133"/>
    </row>
    <row r="154" spans="90:90" ht="15" customHeight="1" x14ac:dyDescent="0.2">
      <c r="CL154" s="133"/>
    </row>
    <row r="155" spans="90:90" ht="15" customHeight="1" x14ac:dyDescent="0.2">
      <c r="CL155" s="133"/>
    </row>
    <row r="156" spans="90:90" ht="15" customHeight="1" x14ac:dyDescent="0.2">
      <c r="CL156" s="133"/>
    </row>
    <row r="157" spans="90:90" ht="15" customHeight="1" x14ac:dyDescent="0.2">
      <c r="CL157" s="133"/>
    </row>
    <row r="158" spans="90:90" ht="15" customHeight="1" x14ac:dyDescent="0.2">
      <c r="CL158" s="133"/>
    </row>
    <row r="159" spans="90:90" ht="15" customHeight="1" x14ac:dyDescent="0.2">
      <c r="CL159" s="133"/>
    </row>
    <row r="160" spans="90:90" ht="15" customHeight="1" x14ac:dyDescent="0.2">
      <c r="CL160" s="133"/>
    </row>
    <row r="161" spans="90:90" ht="15" customHeight="1" x14ac:dyDescent="0.2">
      <c r="CL161" s="133"/>
    </row>
    <row r="162" spans="90:90" ht="15" customHeight="1" x14ac:dyDescent="0.2">
      <c r="CL162" s="133"/>
    </row>
    <row r="163" spans="90:90" ht="15" customHeight="1" x14ac:dyDescent="0.2">
      <c r="CL163" s="133"/>
    </row>
    <row r="164" spans="90:90" ht="15" customHeight="1" x14ac:dyDescent="0.2">
      <c r="CL164" s="133"/>
    </row>
    <row r="165" spans="90:90" ht="15" customHeight="1" x14ac:dyDescent="0.2">
      <c r="CL165" s="133"/>
    </row>
    <row r="166" spans="90:90" ht="15" customHeight="1" x14ac:dyDescent="0.2">
      <c r="CL166" s="133"/>
    </row>
    <row r="167" spans="90:90" ht="15" customHeight="1" x14ac:dyDescent="0.2">
      <c r="CL167" s="133"/>
    </row>
    <row r="168" spans="90:90" ht="15" customHeight="1" x14ac:dyDescent="0.2">
      <c r="CL168" s="133"/>
    </row>
    <row r="169" spans="90:90" ht="15" customHeight="1" x14ac:dyDescent="0.2">
      <c r="CL169" s="133"/>
    </row>
    <row r="170" spans="90:90" ht="15" customHeight="1" x14ac:dyDescent="0.2">
      <c r="CL170" s="133"/>
    </row>
    <row r="171" spans="90:90" ht="15" customHeight="1" x14ac:dyDescent="0.2">
      <c r="CL171" s="133"/>
    </row>
    <row r="172" spans="90:90" ht="15" customHeight="1" x14ac:dyDescent="0.2">
      <c r="CL172" s="133"/>
    </row>
    <row r="173" spans="90:90" ht="15" customHeight="1" x14ac:dyDescent="0.2">
      <c r="CL173" s="133"/>
    </row>
    <row r="174" spans="90:90" ht="15" customHeight="1" x14ac:dyDescent="0.2">
      <c r="CL174" s="133"/>
    </row>
    <row r="175" spans="90:90" ht="15" customHeight="1" x14ac:dyDescent="0.2">
      <c r="CL175" s="133"/>
    </row>
    <row r="176" spans="90:90" ht="15" customHeight="1" x14ac:dyDescent="0.2">
      <c r="CL176" s="133"/>
    </row>
    <row r="177" spans="90:90" ht="15" customHeight="1" x14ac:dyDescent="0.2">
      <c r="CL177" s="133"/>
    </row>
    <row r="178" spans="90:90" ht="15" customHeight="1" x14ac:dyDescent="0.2">
      <c r="CL178" s="133"/>
    </row>
    <row r="179" spans="90:90" ht="15" customHeight="1" x14ac:dyDescent="0.2">
      <c r="CL179" s="133"/>
    </row>
    <row r="180" spans="90:90" ht="15" customHeight="1" x14ac:dyDescent="0.2">
      <c r="CL180" s="133"/>
    </row>
    <row r="181" spans="90:90" ht="15" customHeight="1" x14ac:dyDescent="0.2">
      <c r="CL181" s="133"/>
    </row>
    <row r="182" spans="90:90" ht="15" customHeight="1" x14ac:dyDescent="0.2">
      <c r="CL182" s="133"/>
    </row>
    <row r="183" spans="90:90" ht="15" customHeight="1" x14ac:dyDescent="0.2">
      <c r="CL183" s="133"/>
    </row>
    <row r="184" spans="90:90" ht="15" customHeight="1" x14ac:dyDescent="0.2">
      <c r="CL184" s="133"/>
    </row>
    <row r="185" spans="90:90" ht="15" customHeight="1" x14ac:dyDescent="0.2">
      <c r="CL185" s="133"/>
    </row>
    <row r="186" spans="90:90" ht="15" customHeight="1" x14ac:dyDescent="0.2">
      <c r="CL186" s="133"/>
    </row>
    <row r="187" spans="90:90" ht="15" customHeight="1" x14ac:dyDescent="0.2">
      <c r="CL187" s="133"/>
    </row>
    <row r="188" spans="90:90" ht="15" customHeight="1" x14ac:dyDescent="0.2">
      <c r="CL188" s="133"/>
    </row>
    <row r="189" spans="90:90" ht="15" customHeight="1" x14ac:dyDescent="0.2">
      <c r="CL189" s="133"/>
    </row>
    <row r="190" spans="90:90" ht="15" customHeight="1" x14ac:dyDescent="0.2">
      <c r="CL190" s="133"/>
    </row>
    <row r="191" spans="90:90" ht="15" customHeight="1" x14ac:dyDescent="0.2">
      <c r="CL191" s="133"/>
    </row>
    <row r="192" spans="90:90" ht="15" customHeight="1" x14ac:dyDescent="0.2">
      <c r="CL192" s="133"/>
    </row>
    <row r="193" spans="90:90" ht="15" customHeight="1" x14ac:dyDescent="0.2">
      <c r="CL193" s="133"/>
    </row>
    <row r="194" spans="90:90" ht="15" customHeight="1" x14ac:dyDescent="0.2">
      <c r="CL194" s="133"/>
    </row>
    <row r="195" spans="90:90" ht="15" customHeight="1" x14ac:dyDescent="0.2">
      <c r="CL195" s="133"/>
    </row>
    <row r="196" spans="90:90" ht="15" customHeight="1" x14ac:dyDescent="0.2">
      <c r="CL196" s="133"/>
    </row>
    <row r="197" spans="90:90" ht="15" customHeight="1" x14ac:dyDescent="0.2">
      <c r="CL197" s="133"/>
    </row>
    <row r="198" spans="90:90" ht="15" customHeight="1" x14ac:dyDescent="0.2">
      <c r="CL198" s="133"/>
    </row>
    <row r="199" spans="90:90" ht="15" customHeight="1" x14ac:dyDescent="0.2">
      <c r="CL199" s="133"/>
    </row>
    <row r="200" spans="90:90" ht="15" customHeight="1" x14ac:dyDescent="0.2">
      <c r="CL200" s="133"/>
    </row>
    <row r="201" spans="90:90" ht="15" customHeight="1" x14ac:dyDescent="0.2">
      <c r="CL201" s="133"/>
    </row>
    <row r="202" spans="90:90" ht="15" customHeight="1" x14ac:dyDescent="0.2">
      <c r="CL202" s="133"/>
    </row>
    <row r="203" spans="90:90" ht="15" customHeight="1" x14ac:dyDescent="0.2">
      <c r="CL203" s="133"/>
    </row>
    <row r="204" spans="90:90" ht="15" customHeight="1" x14ac:dyDescent="0.2">
      <c r="CL204" s="133"/>
    </row>
    <row r="205" spans="90:90" ht="15" customHeight="1" x14ac:dyDescent="0.2">
      <c r="CL205" s="133"/>
    </row>
    <row r="206" spans="90:90" ht="15" customHeight="1" x14ac:dyDescent="0.2">
      <c r="CL206" s="133"/>
    </row>
    <row r="207" spans="90:90" ht="15" customHeight="1" x14ac:dyDescent="0.2">
      <c r="CL207" s="133"/>
    </row>
    <row r="208" spans="90:90" ht="15" customHeight="1" x14ac:dyDescent="0.2">
      <c r="CL208" s="133"/>
    </row>
    <row r="209" spans="90:90" ht="15" customHeight="1" x14ac:dyDescent="0.2">
      <c r="CL209" s="133"/>
    </row>
    <row r="210" spans="90:90" ht="15" customHeight="1" x14ac:dyDescent="0.2">
      <c r="CL210" s="133"/>
    </row>
    <row r="211" spans="90:90" ht="15" customHeight="1" x14ac:dyDescent="0.2">
      <c r="CL211" s="133"/>
    </row>
    <row r="212" spans="90:90" ht="15" customHeight="1" x14ac:dyDescent="0.2">
      <c r="CL212" s="133"/>
    </row>
    <row r="213" spans="90:90" ht="15" customHeight="1" x14ac:dyDescent="0.2">
      <c r="CL213" s="133"/>
    </row>
    <row r="214" spans="90:90" ht="15" customHeight="1" x14ac:dyDescent="0.2">
      <c r="CL214" s="133"/>
    </row>
    <row r="215" spans="90:90" ht="15" customHeight="1" x14ac:dyDescent="0.2">
      <c r="CL215" s="133"/>
    </row>
    <row r="216" spans="90:90" ht="15" customHeight="1" x14ac:dyDescent="0.2">
      <c r="CL216" s="133"/>
    </row>
    <row r="217" spans="90:90" ht="15" customHeight="1" x14ac:dyDescent="0.2">
      <c r="CL217" s="133"/>
    </row>
    <row r="218" spans="90:90" ht="15" customHeight="1" x14ac:dyDescent="0.2">
      <c r="CL218" s="133"/>
    </row>
    <row r="219" spans="90:90" ht="15" customHeight="1" x14ac:dyDescent="0.2">
      <c r="CL219" s="133"/>
    </row>
    <row r="220" spans="90:90" ht="15" customHeight="1" x14ac:dyDescent="0.2">
      <c r="CL220" s="133"/>
    </row>
    <row r="221" spans="90:90" ht="15" customHeight="1" x14ac:dyDescent="0.2">
      <c r="CL221" s="133"/>
    </row>
    <row r="222" spans="90:90" ht="15" customHeight="1" x14ac:dyDescent="0.2">
      <c r="CL222" s="133"/>
    </row>
    <row r="223" spans="90:90" ht="15" customHeight="1" x14ac:dyDescent="0.2">
      <c r="CL223" s="133"/>
    </row>
    <row r="224" spans="90:90" ht="15" customHeight="1" x14ac:dyDescent="0.2">
      <c r="CL224" s="133"/>
    </row>
    <row r="225" spans="90:90" ht="15" customHeight="1" x14ac:dyDescent="0.2">
      <c r="CL225" s="133"/>
    </row>
    <row r="226" spans="90:90" ht="15" customHeight="1" x14ac:dyDescent="0.2">
      <c r="CL226" s="133"/>
    </row>
    <row r="227" spans="90:90" ht="15" customHeight="1" x14ac:dyDescent="0.2">
      <c r="CL227" s="133"/>
    </row>
    <row r="228" spans="90:90" ht="15" customHeight="1" x14ac:dyDescent="0.2">
      <c r="CL228" s="133"/>
    </row>
    <row r="229" spans="90:90" ht="15" customHeight="1" x14ac:dyDescent="0.2">
      <c r="CL229" s="133"/>
    </row>
    <row r="230" spans="90:90" ht="15" customHeight="1" x14ac:dyDescent="0.2">
      <c r="CL230" s="133"/>
    </row>
    <row r="231" spans="90:90" ht="15" customHeight="1" x14ac:dyDescent="0.2">
      <c r="CL231" s="133"/>
    </row>
    <row r="232" spans="90:90" ht="15" customHeight="1" x14ac:dyDescent="0.2">
      <c r="CL232" s="133"/>
    </row>
    <row r="233" spans="90:90" ht="15" customHeight="1" x14ac:dyDescent="0.2">
      <c r="CL233" s="133"/>
    </row>
    <row r="234" spans="90:90" ht="15" customHeight="1" x14ac:dyDescent="0.2">
      <c r="CL234" s="133"/>
    </row>
    <row r="235" spans="90:90" ht="15" customHeight="1" x14ac:dyDescent="0.2">
      <c r="CL235" s="133"/>
    </row>
    <row r="236" spans="90:90" ht="15" customHeight="1" x14ac:dyDescent="0.2">
      <c r="CL236" s="133"/>
    </row>
    <row r="237" spans="90:90" ht="15" customHeight="1" x14ac:dyDescent="0.2">
      <c r="CL237" s="133"/>
    </row>
    <row r="238" spans="90:90" ht="15" customHeight="1" x14ac:dyDescent="0.2">
      <c r="CL238" s="133"/>
    </row>
    <row r="239" spans="90:90" ht="15" customHeight="1" x14ac:dyDescent="0.2">
      <c r="CL239" s="133"/>
    </row>
    <row r="240" spans="90:90" ht="15" customHeight="1" x14ac:dyDescent="0.2">
      <c r="CL240" s="133"/>
    </row>
    <row r="241" spans="90:90" ht="15" customHeight="1" x14ac:dyDescent="0.2">
      <c r="CL241" s="133"/>
    </row>
    <row r="242" spans="90:90" ht="15" customHeight="1" x14ac:dyDescent="0.2">
      <c r="CL242" s="133"/>
    </row>
    <row r="243" spans="90:90" ht="15" customHeight="1" x14ac:dyDescent="0.2">
      <c r="CL243" s="133"/>
    </row>
    <row r="244" spans="90:90" ht="15" customHeight="1" x14ac:dyDescent="0.2">
      <c r="CL244" s="133"/>
    </row>
    <row r="245" spans="90:90" ht="15" customHeight="1" x14ac:dyDescent="0.2">
      <c r="CL245" s="133"/>
    </row>
    <row r="246" spans="90:90" ht="15" customHeight="1" x14ac:dyDescent="0.2">
      <c r="CL246" s="133"/>
    </row>
    <row r="247" spans="90:90" ht="15" customHeight="1" x14ac:dyDescent="0.2">
      <c r="CL247" s="133"/>
    </row>
    <row r="248" spans="90:90" ht="15" customHeight="1" x14ac:dyDescent="0.2">
      <c r="CL248" s="133"/>
    </row>
    <row r="249" spans="90:90" ht="15" customHeight="1" x14ac:dyDescent="0.2">
      <c r="CL249" s="133"/>
    </row>
    <row r="250" spans="90:90" ht="15" customHeight="1" x14ac:dyDescent="0.2">
      <c r="CL250" s="133"/>
    </row>
    <row r="251" spans="90:90" ht="15" customHeight="1" x14ac:dyDescent="0.2">
      <c r="CL251" s="133"/>
    </row>
    <row r="252" spans="90:90" ht="15" customHeight="1" x14ac:dyDescent="0.2">
      <c r="CL252" s="133"/>
    </row>
    <row r="253" spans="90:90" ht="15" customHeight="1" x14ac:dyDescent="0.2">
      <c r="CL253" s="133"/>
    </row>
    <row r="254" spans="90:90" ht="15" customHeight="1" x14ac:dyDescent="0.2">
      <c r="CL254" s="133"/>
    </row>
    <row r="255" spans="90:90" ht="15" customHeight="1" x14ac:dyDescent="0.2">
      <c r="CL255" s="133"/>
    </row>
    <row r="256" spans="90:90" ht="15" customHeight="1" x14ac:dyDescent="0.2">
      <c r="CL256" s="133"/>
    </row>
    <row r="257" spans="90:90" ht="15" customHeight="1" x14ac:dyDescent="0.2">
      <c r="CL257" s="133"/>
    </row>
    <row r="258" spans="90:90" ht="15" customHeight="1" x14ac:dyDescent="0.2">
      <c r="CL258" s="133"/>
    </row>
    <row r="259" spans="90:90" ht="15" customHeight="1" x14ac:dyDescent="0.2">
      <c r="CL259" s="133"/>
    </row>
    <row r="260" spans="90:90" ht="15" customHeight="1" x14ac:dyDescent="0.2">
      <c r="CL260" s="133"/>
    </row>
    <row r="261" spans="90:90" ht="15" customHeight="1" x14ac:dyDescent="0.2">
      <c r="CL261" s="133"/>
    </row>
    <row r="262" spans="90:90" ht="15" customHeight="1" x14ac:dyDescent="0.2">
      <c r="CL262" s="133"/>
    </row>
    <row r="263" spans="90:90" ht="15" customHeight="1" x14ac:dyDescent="0.2">
      <c r="CL263" s="133"/>
    </row>
    <row r="264" spans="90:90" ht="15" customHeight="1" x14ac:dyDescent="0.2">
      <c r="CL264" s="133"/>
    </row>
    <row r="265" spans="90:90" ht="15" customHeight="1" x14ac:dyDescent="0.2">
      <c r="CL265" s="133"/>
    </row>
    <row r="266" spans="90:90" ht="15" customHeight="1" x14ac:dyDescent="0.2">
      <c r="CL266" s="133"/>
    </row>
    <row r="267" spans="90:90" ht="15" customHeight="1" x14ac:dyDescent="0.2">
      <c r="CL267" s="133"/>
    </row>
    <row r="268" spans="90:90" ht="15" customHeight="1" x14ac:dyDescent="0.2">
      <c r="CL268" s="133"/>
    </row>
    <row r="269" spans="90:90" ht="15" customHeight="1" x14ac:dyDescent="0.2">
      <c r="CL269" s="133"/>
    </row>
    <row r="270" spans="90:90" ht="15" customHeight="1" x14ac:dyDescent="0.2">
      <c r="CL270" s="133"/>
    </row>
    <row r="271" spans="90:90" ht="15" customHeight="1" x14ac:dyDescent="0.2">
      <c r="CL271" s="133"/>
    </row>
    <row r="272" spans="90:90" ht="15" customHeight="1" x14ac:dyDescent="0.2">
      <c r="CL272" s="133"/>
    </row>
    <row r="273" spans="90:90" ht="15" customHeight="1" x14ac:dyDescent="0.2">
      <c r="CL273" s="133"/>
    </row>
    <row r="274" spans="90:90" ht="15" customHeight="1" x14ac:dyDescent="0.2">
      <c r="CL274" s="133"/>
    </row>
    <row r="275" spans="90:90" ht="15" customHeight="1" x14ac:dyDescent="0.2">
      <c r="CL275" s="133"/>
    </row>
    <row r="276" spans="90:90" ht="15" customHeight="1" x14ac:dyDescent="0.2">
      <c r="CL276" s="133"/>
    </row>
    <row r="277" spans="90:90" ht="15" customHeight="1" x14ac:dyDescent="0.2">
      <c r="CL277" s="133"/>
    </row>
    <row r="278" spans="90:90" ht="15" customHeight="1" x14ac:dyDescent="0.2">
      <c r="CL278" s="133"/>
    </row>
    <row r="279" spans="90:90" ht="15" customHeight="1" x14ac:dyDescent="0.2">
      <c r="CL279" s="133"/>
    </row>
    <row r="280" spans="90:90" ht="15" customHeight="1" x14ac:dyDescent="0.2">
      <c r="CL280" s="133"/>
    </row>
    <row r="281" spans="90:90" ht="15" customHeight="1" x14ac:dyDescent="0.2">
      <c r="CL281" s="133"/>
    </row>
  </sheetData>
  <mergeCells count="8">
    <mergeCell ref="J131:L131"/>
    <mergeCell ref="J132:L132"/>
    <mergeCell ref="H8:I8"/>
    <mergeCell ref="B4:D4"/>
    <mergeCell ref="E4:F4"/>
    <mergeCell ref="G4:H4"/>
    <mergeCell ref="J4:K4"/>
    <mergeCell ref="L4:O4"/>
  </mergeCells>
  <pageMargins left="0.7" right="0.7" top="0.75" bottom="0.75" header="0.3" footer="0.3"/>
  <pageSetup scale="26" fitToWidth="3"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259A-9650-42F4-968F-80D41D751D23}">
  <sheetPr codeName="Sheet14">
    <tabColor theme="3" tint="-0.249977111117893"/>
    <pageSetUpPr fitToPage="1"/>
  </sheetPr>
  <dimension ref="A1:CL294"/>
  <sheetViews>
    <sheetView tabSelected="1" topLeftCell="BT121" workbookViewId="0">
      <selection activeCell="G28" sqref="G28"/>
    </sheetView>
  </sheetViews>
  <sheetFormatPr defaultColWidth="8.85546875" defaultRowHeight="14.25" outlineLevelRow="1" x14ac:dyDescent="0.2"/>
  <cols>
    <col min="1" max="1" width="4.28515625" style="131" customWidth="1"/>
    <col min="2" max="3" width="15.7109375" style="131" customWidth="1"/>
    <col min="4" max="12" width="13.7109375" style="131" customWidth="1"/>
    <col min="13" max="13" width="15.28515625" style="131" bestFit="1" customWidth="1"/>
    <col min="14" max="90" width="13.7109375" style="131" customWidth="1"/>
    <col min="91" max="16384" width="8.85546875" style="131"/>
  </cols>
  <sheetData>
    <row r="1" spans="1:90" s="16" customFormat="1" x14ac:dyDescent="0.2">
      <c r="K1" s="133"/>
      <c r="L1" s="133"/>
      <c r="M1" s="133"/>
      <c r="N1" s="133"/>
      <c r="O1" s="133"/>
      <c r="P1" s="133"/>
      <c r="Q1" s="133"/>
      <c r="R1" s="133"/>
      <c r="S1" s="133"/>
      <c r="T1" s="133"/>
      <c r="U1" s="133"/>
      <c r="V1" s="133"/>
      <c r="W1" s="133"/>
      <c r="X1" s="133"/>
      <c r="Y1" s="133"/>
      <c r="Z1" s="133"/>
      <c r="AA1" s="133"/>
      <c r="AB1" s="133"/>
      <c r="AC1" s="133"/>
      <c r="AD1" s="133"/>
      <c r="AE1" s="133"/>
      <c r="AF1" s="133"/>
      <c r="AG1" s="133"/>
    </row>
    <row r="2" spans="1:90" s="210" customFormat="1" ht="20.25" x14ac:dyDescent="0.3">
      <c r="A2" s="17"/>
      <c r="B2" s="18" t="str">
        <f>Inputs!B2</f>
        <v>Comparing Complex Deal Structures</v>
      </c>
      <c r="C2" s="18"/>
      <c r="D2" s="18"/>
      <c r="E2" s="18"/>
      <c r="F2" s="18"/>
      <c r="G2" s="18"/>
      <c r="H2" s="18"/>
      <c r="I2" s="18"/>
      <c r="K2" s="133"/>
      <c r="L2" s="133"/>
      <c r="M2" s="133"/>
      <c r="N2" s="133"/>
      <c r="O2" s="133"/>
      <c r="P2" s="133"/>
      <c r="Q2" s="133"/>
      <c r="R2" s="133"/>
      <c r="S2" s="133"/>
      <c r="T2" s="133"/>
      <c r="U2" s="133"/>
      <c r="V2" s="133"/>
      <c r="W2" s="133"/>
      <c r="X2" s="133"/>
      <c r="Y2" s="133"/>
      <c r="Z2" s="133"/>
      <c r="AA2" s="133"/>
      <c r="AB2" s="133"/>
      <c r="AC2" s="133"/>
      <c r="AD2" s="133"/>
      <c r="AE2" s="133"/>
      <c r="AF2" s="133"/>
      <c r="AG2" s="133"/>
    </row>
    <row r="3" spans="1:90" s="14" customFormat="1" ht="15" customHeight="1" x14ac:dyDescent="0.25">
      <c r="B3" s="107"/>
      <c r="C3" s="109"/>
      <c r="D3" s="109"/>
      <c r="E3" s="109"/>
      <c r="G3" s="15"/>
      <c r="J3" s="15"/>
      <c r="K3" s="25"/>
      <c r="L3" s="25"/>
      <c r="M3" s="25"/>
      <c r="N3" s="25"/>
      <c r="O3" s="25"/>
      <c r="P3" s="25"/>
      <c r="Q3" s="25"/>
      <c r="R3" s="25"/>
      <c r="S3" s="25"/>
      <c r="T3" s="25"/>
      <c r="U3" s="25"/>
      <c r="V3" s="25"/>
      <c r="W3" s="25"/>
      <c r="X3" s="25"/>
      <c r="Y3" s="25"/>
      <c r="Z3" s="25"/>
      <c r="AA3" s="25"/>
      <c r="AB3" s="25"/>
      <c r="AC3" s="25"/>
      <c r="AD3" s="25"/>
      <c r="AE3" s="25"/>
      <c r="AF3" s="25"/>
      <c r="AG3" s="25"/>
    </row>
    <row r="4" spans="1:90" s="210" customFormat="1" ht="20.45" customHeight="1" x14ac:dyDescent="0.25">
      <c r="A4" s="20"/>
      <c r="B4" s="423" t="s">
        <v>248</v>
      </c>
      <c r="C4" s="423"/>
      <c r="D4" s="423"/>
      <c r="E4" s="424" t="s">
        <v>320</v>
      </c>
      <c r="F4" s="424"/>
      <c r="G4" s="420" t="str">
        <f ca="1">Scenario!E4</f>
        <v>Best Case</v>
      </c>
      <c r="H4" s="425"/>
      <c r="J4" s="424" t="s">
        <v>325</v>
      </c>
      <c r="K4" s="424"/>
      <c r="L4" s="420" t="s">
        <v>357</v>
      </c>
      <c r="M4" s="421"/>
      <c r="O4" s="133"/>
      <c r="P4" s="133"/>
      <c r="Q4" s="133"/>
      <c r="R4" s="133"/>
      <c r="S4" s="133"/>
      <c r="T4" s="133"/>
      <c r="U4" s="133"/>
      <c r="V4" s="133"/>
      <c r="W4" s="133"/>
      <c r="X4" s="133"/>
      <c r="Y4" s="133"/>
      <c r="Z4" s="133"/>
      <c r="AA4" s="133"/>
      <c r="AB4" s="133"/>
      <c r="AC4" s="133"/>
      <c r="AD4" s="133"/>
      <c r="AE4" s="133"/>
      <c r="AF4" s="133"/>
      <c r="AG4" s="133"/>
    </row>
    <row r="5" spans="1:90" s="21" customFormat="1" ht="10.15" customHeight="1" x14ac:dyDescent="0.25">
      <c r="B5" s="22"/>
      <c r="C5" s="23"/>
      <c r="D5" s="23"/>
      <c r="E5" s="23"/>
      <c r="O5" s="13"/>
      <c r="P5" s="13"/>
      <c r="Q5" s="13"/>
      <c r="R5" s="13"/>
      <c r="S5" s="13"/>
      <c r="T5" s="13"/>
      <c r="U5" s="13"/>
      <c r="V5" s="13"/>
      <c r="W5" s="13"/>
      <c r="X5" s="13"/>
      <c r="Y5" s="13"/>
      <c r="Z5" s="13"/>
      <c r="AA5" s="13"/>
      <c r="AB5" s="13"/>
      <c r="AC5" s="13"/>
      <c r="AD5" s="13"/>
      <c r="AE5" s="13"/>
      <c r="AF5" s="13"/>
      <c r="AG5" s="13"/>
    </row>
    <row r="6" spans="1:90" ht="15" customHeight="1" outlineLevel="1" x14ac:dyDescent="0.25">
      <c r="B6" s="291" t="s">
        <v>376</v>
      </c>
      <c r="CL6" s="133"/>
    </row>
    <row r="7" spans="1:90" s="21" customFormat="1" ht="10.15" customHeight="1" outlineLevel="1" x14ac:dyDescent="0.25">
      <c r="B7" s="22"/>
      <c r="C7" s="23"/>
      <c r="D7" s="23"/>
      <c r="E7" s="23"/>
      <c r="O7" s="13"/>
      <c r="P7" s="13"/>
      <c r="Q7" s="13"/>
      <c r="R7" s="13"/>
      <c r="S7" s="13"/>
      <c r="T7" s="13"/>
      <c r="U7" s="13"/>
      <c r="V7" s="13"/>
      <c r="W7" s="13"/>
      <c r="X7" s="13"/>
      <c r="Y7" s="13"/>
      <c r="Z7" s="13"/>
      <c r="AA7" s="13"/>
      <c r="AB7" s="13"/>
      <c r="AC7" s="13"/>
      <c r="AD7" s="13"/>
      <c r="AE7" s="13"/>
      <c r="AF7" s="13"/>
      <c r="AG7" s="13"/>
    </row>
    <row r="8" spans="1:90" ht="18" customHeight="1" outlineLevel="1" x14ac:dyDescent="0.55000000000000004">
      <c r="B8" s="292" t="s">
        <v>249</v>
      </c>
      <c r="C8" s="293"/>
      <c r="D8" s="422" t="s">
        <v>250</v>
      </c>
      <c r="E8" s="422"/>
      <c r="F8" s="422"/>
      <c r="G8" s="312"/>
      <c r="H8" s="293"/>
      <c r="I8" s="293"/>
      <c r="J8" s="294" t="s">
        <v>251</v>
      </c>
      <c r="K8" s="313"/>
      <c r="CL8" s="133"/>
    </row>
    <row r="9" spans="1:90" ht="15" customHeight="1" outlineLevel="1" x14ac:dyDescent="0.2">
      <c r="B9" s="296"/>
      <c r="C9" s="13"/>
      <c r="D9" s="131" t="s">
        <v>252</v>
      </c>
      <c r="E9" s="131" t="s">
        <v>253</v>
      </c>
      <c r="F9" s="137" t="s">
        <v>326</v>
      </c>
      <c r="H9" s="13" t="s">
        <v>254</v>
      </c>
      <c r="I9" s="13" t="s">
        <v>255</v>
      </c>
      <c r="J9" s="137" t="s">
        <v>164</v>
      </c>
      <c r="K9" s="297" t="s">
        <v>161</v>
      </c>
      <c r="CL9" s="133"/>
    </row>
    <row r="10" spans="1:90" ht="15" customHeight="1" outlineLevel="1" x14ac:dyDescent="0.2">
      <c r="B10" s="296" t="s">
        <v>256</v>
      </c>
      <c r="C10" s="13"/>
      <c r="D10" s="250">
        <f>(1+Tier1_HurdleRate_Case2)^(1/12)-1</f>
        <v>4.0741237836483535E-3</v>
      </c>
      <c r="E10" s="250">
        <v>0.05</v>
      </c>
      <c r="F10" s="298">
        <v>1.25</v>
      </c>
      <c r="H10" s="250">
        <v>0</v>
      </c>
      <c r="I10" s="245">
        <v>0</v>
      </c>
      <c r="J10" s="250">
        <f>1-K10</f>
        <v>1</v>
      </c>
      <c r="K10" s="299">
        <v>0</v>
      </c>
      <c r="CL10" s="133"/>
    </row>
    <row r="11" spans="1:90" ht="15" customHeight="1" outlineLevel="1" x14ac:dyDescent="0.2">
      <c r="B11" s="296" t="s">
        <v>327</v>
      </c>
      <c r="C11" s="13"/>
      <c r="D11" s="250">
        <f>(1+Tier2_HurdleRate_Case2)^(1/12)-1</f>
        <v>4.0741237836483535E-3</v>
      </c>
      <c r="E11" s="250">
        <v>0.05</v>
      </c>
      <c r="F11" s="298">
        <v>1.25</v>
      </c>
      <c r="H11" s="250">
        <f>(K11-$K$10)/$J$10</f>
        <v>1</v>
      </c>
      <c r="I11" s="245">
        <v>1</v>
      </c>
      <c r="J11" s="250">
        <f>1-K11</f>
        <v>0</v>
      </c>
      <c r="K11" s="300">
        <f>$K$10+Tier2_Promote_Case1</f>
        <v>1</v>
      </c>
      <c r="CL11" s="133"/>
    </row>
    <row r="12" spans="1:90" ht="15" customHeight="1" outlineLevel="1" x14ac:dyDescent="0.2">
      <c r="B12" s="296" t="s">
        <v>258</v>
      </c>
      <c r="C12" s="13"/>
      <c r="D12" s="250">
        <f>(1+Tier3_HurdleRate_Case2)^(1/12)-1</f>
        <v>7.9741404289037643E-3</v>
      </c>
      <c r="E12" s="250">
        <v>0.1</v>
      </c>
      <c r="F12" s="298">
        <v>1.4</v>
      </c>
      <c r="H12" s="250">
        <f>(K12-$K$10)/$J$10</f>
        <v>0.5</v>
      </c>
      <c r="I12" s="245">
        <v>0.5</v>
      </c>
      <c r="J12" s="250">
        <f>1-K12</f>
        <v>0.5</v>
      </c>
      <c r="K12" s="300">
        <f>$K$10+Tier3_Promote_Case1</f>
        <v>0.5</v>
      </c>
      <c r="CL12" s="133"/>
    </row>
    <row r="13" spans="1:90" ht="15" customHeight="1" outlineLevel="1" x14ac:dyDescent="0.2">
      <c r="B13" s="301" t="s">
        <v>259</v>
      </c>
      <c r="C13" s="142"/>
      <c r="D13" s="142"/>
      <c r="E13" s="142"/>
      <c r="F13" s="314"/>
      <c r="G13" s="314"/>
      <c r="H13" s="302">
        <f>(K13-$K$10)/$J$10</f>
        <v>0.6</v>
      </c>
      <c r="I13" s="303">
        <v>0.6</v>
      </c>
      <c r="J13" s="302">
        <f>1-K13</f>
        <v>0.4</v>
      </c>
      <c r="K13" s="304">
        <f>$K$10+I13</f>
        <v>0.6</v>
      </c>
      <c r="CL13" s="133"/>
    </row>
    <row r="14" spans="1:90" ht="15" customHeight="1" x14ac:dyDescent="0.2">
      <c r="B14" s="133"/>
      <c r="C14" s="133"/>
      <c r="D14" s="133"/>
      <c r="E14" s="133"/>
      <c r="F14" s="133"/>
      <c r="G14" s="133"/>
      <c r="H14" s="133"/>
      <c r="I14" s="133"/>
      <c r="J14" s="133"/>
      <c r="CL14" s="133"/>
    </row>
    <row r="15" spans="1:90" ht="15" customHeight="1" x14ac:dyDescent="0.2">
      <c r="B15" s="133"/>
      <c r="C15" s="133"/>
      <c r="D15" s="133"/>
      <c r="E15" s="133"/>
      <c r="F15" s="133"/>
      <c r="G15" s="133"/>
      <c r="H15" s="133"/>
      <c r="I15" s="133"/>
      <c r="J15" s="133"/>
      <c r="CL15" s="133"/>
    </row>
    <row r="16" spans="1:90" ht="15" customHeight="1" x14ac:dyDescent="0.2">
      <c r="B16" s="133"/>
      <c r="C16" s="133"/>
      <c r="D16" s="133"/>
      <c r="E16" s="133"/>
      <c r="F16" s="133"/>
      <c r="G16" s="305"/>
      <c r="H16" s="305"/>
      <c r="I16" s="305"/>
      <c r="J16" s="305"/>
      <c r="CL16" s="133"/>
    </row>
    <row r="17" spans="2:90" ht="15" customHeight="1" x14ac:dyDescent="0.25">
      <c r="D17" s="146" t="s">
        <v>187</v>
      </c>
      <c r="E17" s="260">
        <f>YEAR(E18)</f>
        <v>2020</v>
      </c>
      <c r="F17" s="261">
        <f t="shared" ref="F17:BQ17" si="0">YEAR(F18)</f>
        <v>2021</v>
      </c>
      <c r="G17" s="261">
        <f t="shared" si="0"/>
        <v>2021</v>
      </c>
      <c r="H17" s="261">
        <f t="shared" si="0"/>
        <v>2021</v>
      </c>
      <c r="I17" s="261">
        <f t="shared" si="0"/>
        <v>2021</v>
      </c>
      <c r="J17" s="261">
        <f t="shared" si="0"/>
        <v>2021</v>
      </c>
      <c r="K17" s="261">
        <f t="shared" si="0"/>
        <v>2021</v>
      </c>
      <c r="L17" s="261">
        <f t="shared" si="0"/>
        <v>2021</v>
      </c>
      <c r="M17" s="261">
        <f t="shared" si="0"/>
        <v>2021</v>
      </c>
      <c r="N17" s="261">
        <f t="shared" si="0"/>
        <v>2021</v>
      </c>
      <c r="O17" s="261">
        <f t="shared" si="0"/>
        <v>2021</v>
      </c>
      <c r="P17" s="261">
        <f t="shared" si="0"/>
        <v>2021</v>
      </c>
      <c r="Q17" s="261">
        <f t="shared" si="0"/>
        <v>2021</v>
      </c>
      <c r="R17" s="261">
        <f t="shared" si="0"/>
        <v>2022</v>
      </c>
      <c r="S17" s="261">
        <f t="shared" si="0"/>
        <v>2022</v>
      </c>
      <c r="T17" s="261">
        <f t="shared" si="0"/>
        <v>2022</v>
      </c>
      <c r="U17" s="261">
        <f t="shared" si="0"/>
        <v>2022</v>
      </c>
      <c r="V17" s="261">
        <f t="shared" si="0"/>
        <v>2022</v>
      </c>
      <c r="W17" s="261">
        <f t="shared" si="0"/>
        <v>2022</v>
      </c>
      <c r="X17" s="261">
        <f t="shared" si="0"/>
        <v>2022</v>
      </c>
      <c r="Y17" s="261">
        <f t="shared" si="0"/>
        <v>2022</v>
      </c>
      <c r="Z17" s="261">
        <f t="shared" si="0"/>
        <v>2022</v>
      </c>
      <c r="AA17" s="261">
        <f t="shared" si="0"/>
        <v>2022</v>
      </c>
      <c r="AB17" s="261">
        <f t="shared" si="0"/>
        <v>2022</v>
      </c>
      <c r="AC17" s="261">
        <f t="shared" si="0"/>
        <v>2022</v>
      </c>
      <c r="AD17" s="261">
        <f t="shared" si="0"/>
        <v>2023</v>
      </c>
      <c r="AE17" s="261">
        <f t="shared" si="0"/>
        <v>2023</v>
      </c>
      <c r="AF17" s="261">
        <f t="shared" si="0"/>
        <v>2023</v>
      </c>
      <c r="AG17" s="261">
        <f t="shared" si="0"/>
        <v>2023</v>
      </c>
      <c r="AH17" s="261">
        <f t="shared" si="0"/>
        <v>2023</v>
      </c>
      <c r="AI17" s="261">
        <f t="shared" si="0"/>
        <v>2023</v>
      </c>
      <c r="AJ17" s="261">
        <f t="shared" si="0"/>
        <v>2023</v>
      </c>
      <c r="AK17" s="261">
        <f t="shared" si="0"/>
        <v>2023</v>
      </c>
      <c r="AL17" s="261">
        <f t="shared" si="0"/>
        <v>2023</v>
      </c>
      <c r="AM17" s="261">
        <f t="shared" si="0"/>
        <v>2023</v>
      </c>
      <c r="AN17" s="261">
        <f t="shared" si="0"/>
        <v>2023</v>
      </c>
      <c r="AO17" s="261">
        <f t="shared" si="0"/>
        <v>2023</v>
      </c>
      <c r="AP17" s="261">
        <f t="shared" si="0"/>
        <v>2024</v>
      </c>
      <c r="AQ17" s="261">
        <f t="shared" si="0"/>
        <v>2024</v>
      </c>
      <c r="AR17" s="261">
        <f t="shared" si="0"/>
        <v>2024</v>
      </c>
      <c r="AS17" s="261">
        <f t="shared" si="0"/>
        <v>2024</v>
      </c>
      <c r="AT17" s="261">
        <f t="shared" si="0"/>
        <v>2024</v>
      </c>
      <c r="AU17" s="261">
        <f t="shared" si="0"/>
        <v>2024</v>
      </c>
      <c r="AV17" s="261">
        <f t="shared" si="0"/>
        <v>2024</v>
      </c>
      <c r="AW17" s="261">
        <f t="shared" si="0"/>
        <v>2024</v>
      </c>
      <c r="AX17" s="261">
        <f t="shared" si="0"/>
        <v>2024</v>
      </c>
      <c r="AY17" s="261">
        <f t="shared" si="0"/>
        <v>2024</v>
      </c>
      <c r="AZ17" s="261">
        <f t="shared" si="0"/>
        <v>2024</v>
      </c>
      <c r="BA17" s="261">
        <f t="shared" si="0"/>
        <v>2024</v>
      </c>
      <c r="BB17" s="261">
        <f t="shared" si="0"/>
        <v>2025</v>
      </c>
      <c r="BC17" s="261">
        <f t="shared" si="0"/>
        <v>2025</v>
      </c>
      <c r="BD17" s="261">
        <f t="shared" si="0"/>
        <v>2025</v>
      </c>
      <c r="BE17" s="261">
        <f t="shared" si="0"/>
        <v>2025</v>
      </c>
      <c r="BF17" s="261">
        <f t="shared" si="0"/>
        <v>2025</v>
      </c>
      <c r="BG17" s="261">
        <f t="shared" si="0"/>
        <v>2025</v>
      </c>
      <c r="BH17" s="261">
        <f t="shared" si="0"/>
        <v>2025</v>
      </c>
      <c r="BI17" s="261">
        <f t="shared" si="0"/>
        <v>2025</v>
      </c>
      <c r="BJ17" s="261">
        <f t="shared" si="0"/>
        <v>2025</v>
      </c>
      <c r="BK17" s="261">
        <f t="shared" si="0"/>
        <v>2025</v>
      </c>
      <c r="BL17" s="261">
        <f t="shared" si="0"/>
        <v>2025</v>
      </c>
      <c r="BM17" s="261">
        <f t="shared" si="0"/>
        <v>2025</v>
      </c>
      <c r="BN17" s="261">
        <f t="shared" si="0"/>
        <v>2026</v>
      </c>
      <c r="BO17" s="261">
        <f t="shared" si="0"/>
        <v>2026</v>
      </c>
      <c r="BP17" s="261">
        <f t="shared" si="0"/>
        <v>2026</v>
      </c>
      <c r="BQ17" s="261">
        <f t="shared" si="0"/>
        <v>2026</v>
      </c>
      <c r="BR17" s="261">
        <f t="shared" ref="BR17:CK17" si="1">YEAR(BR18)</f>
        <v>2026</v>
      </c>
      <c r="BS17" s="261">
        <f t="shared" si="1"/>
        <v>2026</v>
      </c>
      <c r="BT17" s="261">
        <f t="shared" si="1"/>
        <v>2026</v>
      </c>
      <c r="BU17" s="261">
        <f t="shared" si="1"/>
        <v>2026</v>
      </c>
      <c r="BV17" s="261">
        <f t="shared" si="1"/>
        <v>2026</v>
      </c>
      <c r="BW17" s="261">
        <f t="shared" si="1"/>
        <v>2026</v>
      </c>
      <c r="BX17" s="261">
        <f t="shared" si="1"/>
        <v>2026</v>
      </c>
      <c r="BY17" s="261">
        <f t="shared" si="1"/>
        <v>2026</v>
      </c>
      <c r="BZ17" s="261">
        <f t="shared" si="1"/>
        <v>2027</v>
      </c>
      <c r="CA17" s="261">
        <f t="shared" si="1"/>
        <v>2027</v>
      </c>
      <c r="CB17" s="261">
        <f t="shared" si="1"/>
        <v>2027</v>
      </c>
      <c r="CC17" s="261">
        <f t="shared" si="1"/>
        <v>2027</v>
      </c>
      <c r="CD17" s="261">
        <f t="shared" si="1"/>
        <v>2027</v>
      </c>
      <c r="CE17" s="261">
        <f t="shared" si="1"/>
        <v>2027</v>
      </c>
      <c r="CF17" s="261">
        <f t="shared" si="1"/>
        <v>2027</v>
      </c>
      <c r="CG17" s="261">
        <f t="shared" si="1"/>
        <v>2027</v>
      </c>
      <c r="CH17" s="261">
        <f t="shared" si="1"/>
        <v>2027</v>
      </c>
      <c r="CI17" s="261">
        <f t="shared" si="1"/>
        <v>2027</v>
      </c>
      <c r="CJ17" s="261">
        <f t="shared" si="1"/>
        <v>2027</v>
      </c>
      <c r="CK17" s="262">
        <f t="shared" si="1"/>
        <v>2027</v>
      </c>
      <c r="CL17" s="133" t="s">
        <v>15</v>
      </c>
    </row>
    <row r="18" spans="2:90" ht="15" customHeight="1" x14ac:dyDescent="0.25">
      <c r="D18" s="146" t="s">
        <v>188</v>
      </c>
      <c r="E18" s="263">
        <f>'Provided - CAP Acct. 1'!I28</f>
        <v>44196</v>
      </c>
      <c r="F18" s="264">
        <f>EOMONTH(E18,1)</f>
        <v>44227</v>
      </c>
      <c r="G18" s="264">
        <f t="shared" ref="G18:BR18" si="2">EOMONTH(F18,1)</f>
        <v>44255</v>
      </c>
      <c r="H18" s="264">
        <f t="shared" si="2"/>
        <v>44286</v>
      </c>
      <c r="I18" s="264">
        <f t="shared" si="2"/>
        <v>44316</v>
      </c>
      <c r="J18" s="264">
        <f t="shared" si="2"/>
        <v>44347</v>
      </c>
      <c r="K18" s="264">
        <f t="shared" si="2"/>
        <v>44377</v>
      </c>
      <c r="L18" s="264">
        <f t="shared" si="2"/>
        <v>44408</v>
      </c>
      <c r="M18" s="264">
        <f t="shared" si="2"/>
        <v>44439</v>
      </c>
      <c r="N18" s="264">
        <f t="shared" si="2"/>
        <v>44469</v>
      </c>
      <c r="O18" s="264">
        <f t="shared" si="2"/>
        <v>44500</v>
      </c>
      <c r="P18" s="264">
        <f t="shared" si="2"/>
        <v>44530</v>
      </c>
      <c r="Q18" s="264">
        <f t="shared" si="2"/>
        <v>44561</v>
      </c>
      <c r="R18" s="264">
        <f t="shared" si="2"/>
        <v>44592</v>
      </c>
      <c r="S18" s="264">
        <f t="shared" si="2"/>
        <v>44620</v>
      </c>
      <c r="T18" s="264">
        <f t="shared" si="2"/>
        <v>44651</v>
      </c>
      <c r="U18" s="264">
        <f t="shared" si="2"/>
        <v>44681</v>
      </c>
      <c r="V18" s="264">
        <f t="shared" si="2"/>
        <v>44712</v>
      </c>
      <c r="W18" s="264">
        <f t="shared" si="2"/>
        <v>44742</v>
      </c>
      <c r="X18" s="264">
        <f t="shared" si="2"/>
        <v>44773</v>
      </c>
      <c r="Y18" s="264">
        <f t="shared" si="2"/>
        <v>44804</v>
      </c>
      <c r="Z18" s="264">
        <f t="shared" si="2"/>
        <v>44834</v>
      </c>
      <c r="AA18" s="264">
        <f t="shared" si="2"/>
        <v>44865</v>
      </c>
      <c r="AB18" s="264">
        <f t="shared" si="2"/>
        <v>44895</v>
      </c>
      <c r="AC18" s="264">
        <f t="shared" si="2"/>
        <v>44926</v>
      </c>
      <c r="AD18" s="264">
        <f t="shared" si="2"/>
        <v>44957</v>
      </c>
      <c r="AE18" s="264">
        <f t="shared" si="2"/>
        <v>44985</v>
      </c>
      <c r="AF18" s="264">
        <f t="shared" si="2"/>
        <v>45016</v>
      </c>
      <c r="AG18" s="264">
        <f t="shared" si="2"/>
        <v>45046</v>
      </c>
      <c r="AH18" s="264">
        <f t="shared" si="2"/>
        <v>45077</v>
      </c>
      <c r="AI18" s="264">
        <f t="shared" si="2"/>
        <v>45107</v>
      </c>
      <c r="AJ18" s="264">
        <f t="shared" si="2"/>
        <v>45138</v>
      </c>
      <c r="AK18" s="264">
        <f t="shared" si="2"/>
        <v>45169</v>
      </c>
      <c r="AL18" s="264">
        <f t="shared" si="2"/>
        <v>45199</v>
      </c>
      <c r="AM18" s="264">
        <f t="shared" si="2"/>
        <v>45230</v>
      </c>
      <c r="AN18" s="264">
        <f t="shared" si="2"/>
        <v>45260</v>
      </c>
      <c r="AO18" s="264">
        <f t="shared" si="2"/>
        <v>45291</v>
      </c>
      <c r="AP18" s="264">
        <f t="shared" si="2"/>
        <v>45322</v>
      </c>
      <c r="AQ18" s="264">
        <f t="shared" si="2"/>
        <v>45351</v>
      </c>
      <c r="AR18" s="264">
        <f t="shared" si="2"/>
        <v>45382</v>
      </c>
      <c r="AS18" s="264">
        <f t="shared" si="2"/>
        <v>45412</v>
      </c>
      <c r="AT18" s="264">
        <f t="shared" si="2"/>
        <v>45443</v>
      </c>
      <c r="AU18" s="264">
        <f t="shared" si="2"/>
        <v>45473</v>
      </c>
      <c r="AV18" s="264">
        <f t="shared" si="2"/>
        <v>45504</v>
      </c>
      <c r="AW18" s="264">
        <f t="shared" si="2"/>
        <v>45535</v>
      </c>
      <c r="AX18" s="264">
        <f t="shared" si="2"/>
        <v>45565</v>
      </c>
      <c r="AY18" s="264">
        <f t="shared" si="2"/>
        <v>45596</v>
      </c>
      <c r="AZ18" s="264">
        <f t="shared" si="2"/>
        <v>45626</v>
      </c>
      <c r="BA18" s="264">
        <f t="shared" si="2"/>
        <v>45657</v>
      </c>
      <c r="BB18" s="264">
        <f t="shared" si="2"/>
        <v>45688</v>
      </c>
      <c r="BC18" s="264">
        <f t="shared" si="2"/>
        <v>45716</v>
      </c>
      <c r="BD18" s="264">
        <f t="shared" si="2"/>
        <v>45747</v>
      </c>
      <c r="BE18" s="264">
        <f t="shared" si="2"/>
        <v>45777</v>
      </c>
      <c r="BF18" s="264">
        <f t="shared" si="2"/>
        <v>45808</v>
      </c>
      <c r="BG18" s="264">
        <f t="shared" si="2"/>
        <v>45838</v>
      </c>
      <c r="BH18" s="264">
        <f t="shared" si="2"/>
        <v>45869</v>
      </c>
      <c r="BI18" s="264">
        <f t="shared" si="2"/>
        <v>45900</v>
      </c>
      <c r="BJ18" s="264">
        <f t="shared" si="2"/>
        <v>45930</v>
      </c>
      <c r="BK18" s="264">
        <f t="shared" si="2"/>
        <v>45961</v>
      </c>
      <c r="BL18" s="264">
        <f t="shared" si="2"/>
        <v>45991</v>
      </c>
      <c r="BM18" s="264">
        <f t="shared" si="2"/>
        <v>46022</v>
      </c>
      <c r="BN18" s="264">
        <f t="shared" si="2"/>
        <v>46053</v>
      </c>
      <c r="BO18" s="264">
        <f t="shared" si="2"/>
        <v>46081</v>
      </c>
      <c r="BP18" s="264">
        <f t="shared" si="2"/>
        <v>46112</v>
      </c>
      <c r="BQ18" s="264">
        <f t="shared" si="2"/>
        <v>46142</v>
      </c>
      <c r="BR18" s="264">
        <f t="shared" si="2"/>
        <v>46173</v>
      </c>
      <c r="BS18" s="264">
        <f t="shared" ref="BS18:CK18" si="3">EOMONTH(BR18,1)</f>
        <v>46203</v>
      </c>
      <c r="BT18" s="264">
        <f t="shared" si="3"/>
        <v>46234</v>
      </c>
      <c r="BU18" s="264">
        <f t="shared" si="3"/>
        <v>46265</v>
      </c>
      <c r="BV18" s="264">
        <f t="shared" si="3"/>
        <v>46295</v>
      </c>
      <c r="BW18" s="264">
        <f t="shared" si="3"/>
        <v>46326</v>
      </c>
      <c r="BX18" s="264">
        <f t="shared" si="3"/>
        <v>46356</v>
      </c>
      <c r="BY18" s="264">
        <f t="shared" si="3"/>
        <v>46387</v>
      </c>
      <c r="BZ18" s="264">
        <f t="shared" si="3"/>
        <v>46418</v>
      </c>
      <c r="CA18" s="264">
        <f t="shared" si="3"/>
        <v>46446</v>
      </c>
      <c r="CB18" s="264">
        <f t="shared" si="3"/>
        <v>46477</v>
      </c>
      <c r="CC18" s="264">
        <f t="shared" si="3"/>
        <v>46507</v>
      </c>
      <c r="CD18" s="264">
        <f t="shared" si="3"/>
        <v>46538</v>
      </c>
      <c r="CE18" s="264">
        <f t="shared" si="3"/>
        <v>46568</v>
      </c>
      <c r="CF18" s="264">
        <f t="shared" si="3"/>
        <v>46599</v>
      </c>
      <c r="CG18" s="264">
        <f t="shared" si="3"/>
        <v>46630</v>
      </c>
      <c r="CH18" s="264">
        <f t="shared" si="3"/>
        <v>46660</v>
      </c>
      <c r="CI18" s="264">
        <f t="shared" si="3"/>
        <v>46691</v>
      </c>
      <c r="CJ18" s="264">
        <f t="shared" si="3"/>
        <v>46721</v>
      </c>
      <c r="CK18" s="265">
        <f t="shared" si="3"/>
        <v>46752</v>
      </c>
      <c r="CL18" s="133" t="s">
        <v>15</v>
      </c>
    </row>
    <row r="19" spans="2:90" ht="15" customHeight="1" x14ac:dyDescent="0.25">
      <c r="D19" s="146" t="s">
        <v>192</v>
      </c>
      <c r="E19" s="266">
        <v>31</v>
      </c>
      <c r="F19" s="267">
        <f>F18-E18</f>
        <v>31</v>
      </c>
      <c r="G19" s="267">
        <f t="shared" ref="G19:BR19" si="4">G18-F18</f>
        <v>28</v>
      </c>
      <c r="H19" s="267">
        <f t="shared" si="4"/>
        <v>31</v>
      </c>
      <c r="I19" s="267">
        <f t="shared" si="4"/>
        <v>30</v>
      </c>
      <c r="J19" s="267">
        <f t="shared" si="4"/>
        <v>31</v>
      </c>
      <c r="K19" s="267">
        <f t="shared" si="4"/>
        <v>30</v>
      </c>
      <c r="L19" s="267">
        <f t="shared" si="4"/>
        <v>31</v>
      </c>
      <c r="M19" s="267">
        <f t="shared" si="4"/>
        <v>31</v>
      </c>
      <c r="N19" s="267">
        <f t="shared" si="4"/>
        <v>30</v>
      </c>
      <c r="O19" s="267">
        <f t="shared" si="4"/>
        <v>31</v>
      </c>
      <c r="P19" s="267">
        <f t="shared" si="4"/>
        <v>30</v>
      </c>
      <c r="Q19" s="267">
        <f t="shared" si="4"/>
        <v>31</v>
      </c>
      <c r="R19" s="267">
        <f t="shared" si="4"/>
        <v>31</v>
      </c>
      <c r="S19" s="267">
        <f t="shared" si="4"/>
        <v>28</v>
      </c>
      <c r="T19" s="267">
        <f t="shared" si="4"/>
        <v>31</v>
      </c>
      <c r="U19" s="267">
        <f t="shared" si="4"/>
        <v>30</v>
      </c>
      <c r="V19" s="267">
        <f t="shared" si="4"/>
        <v>31</v>
      </c>
      <c r="W19" s="267">
        <f t="shared" si="4"/>
        <v>30</v>
      </c>
      <c r="X19" s="267">
        <f t="shared" si="4"/>
        <v>31</v>
      </c>
      <c r="Y19" s="267">
        <f t="shared" si="4"/>
        <v>31</v>
      </c>
      <c r="Z19" s="267">
        <f t="shared" si="4"/>
        <v>30</v>
      </c>
      <c r="AA19" s="267">
        <f t="shared" si="4"/>
        <v>31</v>
      </c>
      <c r="AB19" s="267">
        <f t="shared" si="4"/>
        <v>30</v>
      </c>
      <c r="AC19" s="267">
        <f t="shared" si="4"/>
        <v>31</v>
      </c>
      <c r="AD19" s="267">
        <f t="shared" si="4"/>
        <v>31</v>
      </c>
      <c r="AE19" s="267">
        <f t="shared" si="4"/>
        <v>28</v>
      </c>
      <c r="AF19" s="267">
        <f t="shared" si="4"/>
        <v>31</v>
      </c>
      <c r="AG19" s="267">
        <f t="shared" si="4"/>
        <v>30</v>
      </c>
      <c r="AH19" s="267">
        <f t="shared" si="4"/>
        <v>31</v>
      </c>
      <c r="AI19" s="267">
        <f t="shared" si="4"/>
        <v>30</v>
      </c>
      <c r="AJ19" s="267">
        <f t="shared" si="4"/>
        <v>31</v>
      </c>
      <c r="AK19" s="267">
        <f t="shared" si="4"/>
        <v>31</v>
      </c>
      <c r="AL19" s="267">
        <f t="shared" si="4"/>
        <v>30</v>
      </c>
      <c r="AM19" s="267">
        <f t="shared" si="4"/>
        <v>31</v>
      </c>
      <c r="AN19" s="267">
        <f t="shared" si="4"/>
        <v>30</v>
      </c>
      <c r="AO19" s="267">
        <f t="shared" si="4"/>
        <v>31</v>
      </c>
      <c r="AP19" s="267">
        <f t="shared" si="4"/>
        <v>31</v>
      </c>
      <c r="AQ19" s="267">
        <f t="shared" si="4"/>
        <v>29</v>
      </c>
      <c r="AR19" s="267">
        <f t="shared" si="4"/>
        <v>31</v>
      </c>
      <c r="AS19" s="267">
        <f t="shared" si="4"/>
        <v>30</v>
      </c>
      <c r="AT19" s="267">
        <f t="shared" si="4"/>
        <v>31</v>
      </c>
      <c r="AU19" s="267">
        <f t="shared" si="4"/>
        <v>30</v>
      </c>
      <c r="AV19" s="267">
        <f t="shared" si="4"/>
        <v>31</v>
      </c>
      <c r="AW19" s="267">
        <f t="shared" si="4"/>
        <v>31</v>
      </c>
      <c r="AX19" s="267">
        <f t="shared" si="4"/>
        <v>30</v>
      </c>
      <c r="AY19" s="267">
        <f t="shared" si="4"/>
        <v>31</v>
      </c>
      <c r="AZ19" s="267">
        <f t="shared" si="4"/>
        <v>30</v>
      </c>
      <c r="BA19" s="267">
        <f t="shared" si="4"/>
        <v>31</v>
      </c>
      <c r="BB19" s="267">
        <f t="shared" si="4"/>
        <v>31</v>
      </c>
      <c r="BC19" s="267">
        <f t="shared" si="4"/>
        <v>28</v>
      </c>
      <c r="BD19" s="267">
        <f t="shared" si="4"/>
        <v>31</v>
      </c>
      <c r="BE19" s="267">
        <f t="shared" si="4"/>
        <v>30</v>
      </c>
      <c r="BF19" s="267">
        <f t="shared" si="4"/>
        <v>31</v>
      </c>
      <c r="BG19" s="267">
        <f t="shared" si="4"/>
        <v>30</v>
      </c>
      <c r="BH19" s="267">
        <f t="shared" si="4"/>
        <v>31</v>
      </c>
      <c r="BI19" s="267">
        <f t="shared" si="4"/>
        <v>31</v>
      </c>
      <c r="BJ19" s="267">
        <f t="shared" si="4"/>
        <v>30</v>
      </c>
      <c r="BK19" s="267">
        <f t="shared" si="4"/>
        <v>31</v>
      </c>
      <c r="BL19" s="267">
        <f t="shared" si="4"/>
        <v>30</v>
      </c>
      <c r="BM19" s="267">
        <f t="shared" si="4"/>
        <v>31</v>
      </c>
      <c r="BN19" s="267">
        <f t="shared" si="4"/>
        <v>31</v>
      </c>
      <c r="BO19" s="267">
        <f t="shared" si="4"/>
        <v>28</v>
      </c>
      <c r="BP19" s="267">
        <f t="shared" si="4"/>
        <v>31</v>
      </c>
      <c r="BQ19" s="267">
        <f t="shared" si="4"/>
        <v>30</v>
      </c>
      <c r="BR19" s="267">
        <f t="shared" si="4"/>
        <v>31</v>
      </c>
      <c r="BS19" s="267">
        <f t="shared" ref="BS19:CK19" si="5">BS18-BR18</f>
        <v>30</v>
      </c>
      <c r="BT19" s="267">
        <f t="shared" si="5"/>
        <v>31</v>
      </c>
      <c r="BU19" s="267">
        <f t="shared" si="5"/>
        <v>31</v>
      </c>
      <c r="BV19" s="267">
        <f t="shared" si="5"/>
        <v>30</v>
      </c>
      <c r="BW19" s="267">
        <f t="shared" si="5"/>
        <v>31</v>
      </c>
      <c r="BX19" s="267">
        <f t="shared" si="5"/>
        <v>30</v>
      </c>
      <c r="BY19" s="267">
        <f t="shared" si="5"/>
        <v>31</v>
      </c>
      <c r="BZ19" s="267">
        <f t="shared" si="5"/>
        <v>31</v>
      </c>
      <c r="CA19" s="267">
        <f t="shared" si="5"/>
        <v>28</v>
      </c>
      <c r="CB19" s="267">
        <f t="shared" si="5"/>
        <v>31</v>
      </c>
      <c r="CC19" s="267">
        <f t="shared" si="5"/>
        <v>30</v>
      </c>
      <c r="CD19" s="267">
        <f t="shared" si="5"/>
        <v>31</v>
      </c>
      <c r="CE19" s="267">
        <f t="shared" si="5"/>
        <v>30</v>
      </c>
      <c r="CF19" s="267">
        <f t="shared" si="5"/>
        <v>31</v>
      </c>
      <c r="CG19" s="267">
        <f t="shared" si="5"/>
        <v>31</v>
      </c>
      <c r="CH19" s="267">
        <f t="shared" si="5"/>
        <v>30</v>
      </c>
      <c r="CI19" s="267">
        <f t="shared" si="5"/>
        <v>31</v>
      </c>
      <c r="CJ19" s="267">
        <f t="shared" si="5"/>
        <v>30</v>
      </c>
      <c r="CK19" s="268">
        <f t="shared" si="5"/>
        <v>31</v>
      </c>
      <c r="CL19" s="131" t="s">
        <v>15</v>
      </c>
    </row>
    <row r="21" spans="2:90" ht="15" customHeight="1" x14ac:dyDescent="0.25">
      <c r="B21" s="132" t="s">
        <v>193</v>
      </c>
    </row>
    <row r="22" spans="2:90" s="21" customFormat="1" ht="10.15" customHeight="1" x14ac:dyDescent="0.25">
      <c r="B22" s="22"/>
      <c r="C22" s="23"/>
      <c r="D22" s="23"/>
      <c r="E22" s="23"/>
      <c r="O22" s="13"/>
      <c r="P22" s="13"/>
      <c r="Q22" s="13"/>
      <c r="R22" s="13"/>
      <c r="S22" s="13"/>
      <c r="T22" s="13"/>
      <c r="U22" s="13"/>
      <c r="V22" s="13"/>
      <c r="W22" s="13"/>
      <c r="X22" s="13"/>
      <c r="Y22" s="13"/>
      <c r="Z22" s="13"/>
      <c r="AA22" s="13"/>
      <c r="AB22" s="13"/>
      <c r="AC22" s="13"/>
      <c r="AD22" s="13"/>
      <c r="AE22" s="13"/>
      <c r="AF22" s="13"/>
      <c r="AG22" s="13"/>
    </row>
    <row r="23" spans="2:90" ht="15" customHeight="1" x14ac:dyDescent="0.2">
      <c r="B23" s="255" t="s">
        <v>324</v>
      </c>
      <c r="E23" s="395">
        <f ca="1">'Q1 - CAP Acct. 2'!I118</f>
        <v>-3731303.322813286</v>
      </c>
      <c r="F23" s="395">
        <f ca="1">'Q1 - CAP Acct. 2'!J118</f>
        <v>-142691.64538799995</v>
      </c>
      <c r="G23" s="395">
        <f ca="1">'Q1 - CAP Acct. 2'!K118</f>
        <v>-142785.0758198571</v>
      </c>
      <c r="H23" s="395">
        <f ca="1">'Q1 - CAP Acct. 2'!L118</f>
        <v>-176481.21413238143</v>
      </c>
      <c r="I23" s="395">
        <f ca="1">'Q1 - CAP Acct. 2'!M118</f>
        <v>-320236.48135238088</v>
      </c>
      <c r="J23" s="395">
        <f ca="1">'Q1 - CAP Acct. 2'!N118</f>
        <v>-271401.73878095235</v>
      </c>
      <c r="K23" s="395">
        <f ca="1">'Q1 - CAP Acct. 2'!O118</f>
        <v>-459093.94394285715</v>
      </c>
      <c r="L23" s="395">
        <f ca="1">'Q1 - CAP Acct. 2'!P118</f>
        <v>-701125.68161949876</v>
      </c>
      <c r="M23" s="395">
        <f ca="1">'Q1 - CAP Acct. 2'!Q118</f>
        <v>-701590.48929614038</v>
      </c>
      <c r="N23" s="395">
        <f ca="1">'Q1 - CAP Acct. 2'!R118</f>
        <v>-702055.296972782</v>
      </c>
      <c r="O23" s="395">
        <f ca="1">'Q1 - CAP Acct. 2'!S118</f>
        <v>-702520.10464942351</v>
      </c>
      <c r="P23" s="395">
        <f ca="1">'Q1 - CAP Acct. 2'!T118</f>
        <v>-702984.91232606512</v>
      </c>
      <c r="Q23" s="395">
        <f ca="1">'Q1 - CAP Acct. 2'!U118</f>
        <v>-703449.72000270674</v>
      </c>
      <c r="R23" s="395">
        <f ca="1">'Q1 - CAP Acct. 2'!V118</f>
        <v>-1082271.3575193482</v>
      </c>
      <c r="S23" s="395">
        <f ca="1">'Q1 - CAP Acct. 2'!W118</f>
        <v>-1199765.0343693234</v>
      </c>
      <c r="T23" s="395">
        <f ca="1">'Q1 - CAP Acct. 2'!X118</f>
        <v>-528610.65829072532</v>
      </c>
      <c r="U23" s="395">
        <f ca="1">'Q1 - CAP Acct. 2'!Y118</f>
        <v>-8096.7686666666677</v>
      </c>
      <c r="V23" s="395">
        <f ca="1">'Q1 - CAP Acct. 2'!Z118</f>
        <v>-8096.7686666666677</v>
      </c>
      <c r="W23" s="395">
        <f ca="1">'Q1 - CAP Acct. 2'!AA118</f>
        <v>-8096.7686666666677</v>
      </c>
      <c r="X23" s="395">
        <f ca="1">'Q1 - CAP Acct. 2'!AB118</f>
        <v>-8096.7686666666677</v>
      </c>
      <c r="Y23" s="395">
        <f ca="1">'Q1 - CAP Acct. 2'!AC118</f>
        <v>-8096.7686666666677</v>
      </c>
      <c r="Z23" s="395">
        <f ca="1">'Q1 - CAP Acct. 2'!AD118</f>
        <v>-8096.7686666666677</v>
      </c>
      <c r="AA23" s="395">
        <f ca="1">'Q1 - CAP Acct. 2'!AE118</f>
        <v>-8096.7686666666677</v>
      </c>
      <c r="AB23" s="395">
        <f ca="1">'Q1 - CAP Acct. 2'!AF118</f>
        <v>-8096.7686666666677</v>
      </c>
      <c r="AC23" s="395">
        <f ca="1">'Q1 - CAP Acct. 2'!AG118</f>
        <v>-8096.7686666666677</v>
      </c>
      <c r="AD23" s="395">
        <f ca="1">'Q1 - CAP Acct. 2'!AH118</f>
        <v>-8096.7686666666677</v>
      </c>
      <c r="AE23" s="395">
        <f ca="1">'Q1 - CAP Acct. 2'!AI118</f>
        <v>-8096.7686666666677</v>
      </c>
      <c r="AF23" s="395">
        <f ca="1">'Q1 - CAP Acct. 2'!AJ118</f>
        <v>-8096.7686666666677</v>
      </c>
      <c r="AG23" s="395">
        <f ca="1">'Q1 - CAP Acct. 2'!AK118</f>
        <v>-8096.7686666666677</v>
      </c>
      <c r="AH23" s="395">
        <f ca="1">'Q1 - CAP Acct. 2'!AL118</f>
        <v>-8096.7686666666677</v>
      </c>
      <c r="AI23" s="395">
        <f ca="1">'Q1 - CAP Acct. 2'!AM118</f>
        <v>-8096.7686666666677</v>
      </c>
      <c r="AJ23" s="395">
        <f ca="1">'Q1 - CAP Acct. 2'!AN118</f>
        <v>-8096.7686666666677</v>
      </c>
      <c r="AK23" s="395">
        <f ca="1">'Q1 - CAP Acct. 2'!AO118</f>
        <v>-8096.7686666666677</v>
      </c>
      <c r="AL23" s="395">
        <f ca="1">'Q1 - CAP Acct. 2'!AP118</f>
        <v>-8096.7686666666677</v>
      </c>
      <c r="AM23" s="395">
        <f ca="1">'Q1 - CAP Acct. 2'!AQ118</f>
        <v>-8096.7686666666677</v>
      </c>
      <c r="AN23" s="395">
        <f ca="1">'Q1 - CAP Acct. 2'!AR118</f>
        <v>-8096.7686666666677</v>
      </c>
      <c r="AO23" s="395">
        <f ca="1">'Q1 - CAP Acct. 2'!AS118</f>
        <v>19327606.700798273</v>
      </c>
      <c r="AP23" s="395">
        <f ca="1">'Q1 - CAP Acct. 2'!AT118</f>
        <v>110073.79706883527</v>
      </c>
      <c r="AQ23" s="395">
        <f ca="1">'Q1 - CAP Acct. 2'!AU118</f>
        <v>110073.79706883527</v>
      </c>
      <c r="AR23" s="395">
        <f ca="1">'Q1 - CAP Acct. 2'!AV118</f>
        <v>110073.79706883527</v>
      </c>
      <c r="AS23" s="395">
        <f ca="1">'Q1 - CAP Acct. 2'!AW118</f>
        <v>110073.79706883527</v>
      </c>
      <c r="AT23" s="395">
        <f ca="1">'Q1 - CAP Acct. 2'!AX118</f>
        <v>110073.79706883527</v>
      </c>
      <c r="AU23" s="395">
        <f ca="1">'Q1 - CAP Acct. 2'!AY118</f>
        <v>110073.79706883527</v>
      </c>
      <c r="AV23" s="395">
        <f ca="1">'Q1 - CAP Acct. 2'!AZ118</f>
        <v>110073.79706883527</v>
      </c>
      <c r="AW23" s="395">
        <f ca="1">'Q1 - CAP Acct. 2'!BA118</f>
        <v>110073.79706883527</v>
      </c>
      <c r="AX23" s="395">
        <f ca="1">'Q1 - CAP Acct. 2'!BB118</f>
        <v>110073.79706883527</v>
      </c>
      <c r="AY23" s="395">
        <f ca="1">'Q1 - CAP Acct. 2'!BC118</f>
        <v>110073.79706883527</v>
      </c>
      <c r="AZ23" s="395">
        <f ca="1">'Q1 - CAP Acct. 2'!BD118</f>
        <v>110073.79706883527</v>
      </c>
      <c r="BA23" s="395">
        <f ca="1">'Q1 - CAP Acct. 2'!BE118</f>
        <v>110073.79706883527</v>
      </c>
      <c r="BB23" s="395">
        <f ca="1">'Q1 - CAP Acct. 2'!BF118</f>
        <v>92276.448121092428</v>
      </c>
      <c r="BC23" s="395">
        <f ca="1">'Q1 - CAP Acct. 2'!BG118</f>
        <v>92276.448121092428</v>
      </c>
      <c r="BD23" s="395">
        <f ca="1">'Q1 - CAP Acct. 2'!BH118</f>
        <v>92276.448121092428</v>
      </c>
      <c r="BE23" s="395">
        <f ca="1">'Q1 - CAP Acct. 2'!BI118</f>
        <v>92276.448121092428</v>
      </c>
      <c r="BF23" s="395">
        <f ca="1">'Q1 - CAP Acct. 2'!BJ118</f>
        <v>92276.448121092428</v>
      </c>
      <c r="BG23" s="395">
        <f ca="1">'Q1 - CAP Acct. 2'!BK118</f>
        <v>92276.448121092428</v>
      </c>
      <c r="BH23" s="395">
        <f ca="1">'Q1 - CAP Acct. 2'!BL118</f>
        <v>92276.448121092428</v>
      </c>
      <c r="BI23" s="395">
        <f ca="1">'Q1 - CAP Acct. 2'!BM118</f>
        <v>92276.448121092428</v>
      </c>
      <c r="BJ23" s="395">
        <f ca="1">'Q1 - CAP Acct. 2'!BN118</f>
        <v>92276.448121092428</v>
      </c>
      <c r="BK23" s="395">
        <f ca="1">'Q1 - CAP Acct. 2'!BO118</f>
        <v>92276.448121092428</v>
      </c>
      <c r="BL23" s="395">
        <f ca="1">'Q1 - CAP Acct. 2'!BP118</f>
        <v>92276.448121092428</v>
      </c>
      <c r="BM23" s="395">
        <f ca="1">'Q1 - CAP Acct. 2'!BQ118</f>
        <v>92276.448121092428</v>
      </c>
      <c r="BN23" s="395">
        <f ca="1">'Q1 - CAP Acct. 2'!BR118</f>
        <v>106921.35986988785</v>
      </c>
      <c r="BO23" s="395">
        <f ca="1">'Q1 - CAP Acct. 2'!BS118</f>
        <v>106921.35986988785</v>
      </c>
      <c r="BP23" s="395">
        <f ca="1">'Q1 - CAP Acct. 2'!BT118</f>
        <v>106921.35986988785</v>
      </c>
      <c r="BQ23" s="395">
        <f ca="1">'Q1 - CAP Acct. 2'!BU118</f>
        <v>106921.35986988785</v>
      </c>
      <c r="BR23" s="395">
        <f ca="1">'Q1 - CAP Acct. 2'!BV118</f>
        <v>106921.35986988785</v>
      </c>
      <c r="BS23" s="395">
        <f ca="1">'Q1 - CAP Acct. 2'!BW118</f>
        <v>106921.35986988785</v>
      </c>
      <c r="BT23" s="395">
        <f ca="1">'Q1 - CAP Acct. 2'!BX118</f>
        <v>106921.35986988785</v>
      </c>
      <c r="BU23" s="395">
        <f ca="1">'Q1 - CAP Acct. 2'!BY118</f>
        <v>106921.35986988785</v>
      </c>
      <c r="BV23" s="395">
        <f ca="1">'Q1 - CAP Acct. 2'!BZ118</f>
        <v>106921.35986988785</v>
      </c>
      <c r="BW23" s="395">
        <f ca="1">'Q1 - CAP Acct. 2'!CA118</f>
        <v>106921.35986988785</v>
      </c>
      <c r="BX23" s="395">
        <f ca="1">'Q1 - CAP Acct. 2'!CB118</f>
        <v>106921.35986988785</v>
      </c>
      <c r="BY23" s="395">
        <f ca="1">'Q1 - CAP Acct. 2'!CC118</f>
        <v>12719474.3621164</v>
      </c>
      <c r="BZ23" s="395">
        <f ca="1">'Q1 - CAP Acct. 2'!CD118</f>
        <v>0</v>
      </c>
      <c r="CA23" s="395">
        <f ca="1">'Q1 - CAP Acct. 2'!CE118</f>
        <v>0</v>
      </c>
      <c r="CB23" s="395">
        <f ca="1">'Q1 - CAP Acct. 2'!CF118</f>
        <v>0</v>
      </c>
      <c r="CC23" s="395">
        <f ca="1">'Q1 - CAP Acct. 2'!CG118</f>
        <v>0</v>
      </c>
      <c r="CD23" s="395">
        <f ca="1">'Q1 - CAP Acct. 2'!CH118</f>
        <v>0</v>
      </c>
      <c r="CE23" s="395">
        <f ca="1">'Q1 - CAP Acct. 2'!CI118</f>
        <v>0</v>
      </c>
      <c r="CF23" s="395">
        <f ca="1">'Q1 - CAP Acct. 2'!CJ118</f>
        <v>0</v>
      </c>
      <c r="CG23" s="395">
        <f ca="1">'Q1 - CAP Acct. 2'!CK118</f>
        <v>0</v>
      </c>
      <c r="CH23" s="395">
        <f ca="1">'Q1 - CAP Acct. 2'!CL118</f>
        <v>0</v>
      </c>
      <c r="CI23" s="395">
        <f ca="1">'Q1 - CAP Acct. 2'!CM118</f>
        <v>0</v>
      </c>
      <c r="CJ23" s="395">
        <f ca="1">'Q1 - CAP Acct. 2'!CN118</f>
        <v>0</v>
      </c>
      <c r="CK23" s="395">
        <f ca="1">'Q1 - CAP Acct. 2'!CO118</f>
        <v>0</v>
      </c>
      <c r="CL23" s="133" t="s">
        <v>15</v>
      </c>
    </row>
    <row r="24" spans="2:90" ht="15" customHeight="1" x14ac:dyDescent="0.2">
      <c r="CL24" s="133"/>
    </row>
    <row r="25" spans="2:90" ht="15" customHeight="1" x14ac:dyDescent="0.2">
      <c r="B25" s="272" t="s">
        <v>244</v>
      </c>
      <c r="C25" s="273"/>
      <c r="D25" s="273"/>
      <c r="E25" s="392">
        <f ca="1">XIRR($E$23:$CK$23,HoldingDates)</f>
        <v>0.36700208783149713</v>
      </c>
      <c r="CL25" s="133"/>
    </row>
    <row r="26" spans="2:90" ht="15" customHeight="1" x14ac:dyDescent="0.2">
      <c r="B26" s="275" t="s">
        <v>218</v>
      </c>
      <c r="E26" s="393">
        <f ca="1">SUMIF($E23:$CK23,"&gt;0")/-SUMIF($E23:$CK23,"&lt;0")</f>
        <v>2.8681056034367032</v>
      </c>
      <c r="CL26" s="133"/>
    </row>
    <row r="27" spans="2:90" ht="15" customHeight="1" x14ac:dyDescent="0.2">
      <c r="B27" s="277" t="s">
        <v>220</v>
      </c>
      <c r="C27" s="278"/>
      <c r="D27" s="278"/>
      <c r="E27" s="394">
        <f ca="1">SUM(E23:CK23)</f>
        <v>23221116.913153533</v>
      </c>
      <c r="CL27" s="133"/>
    </row>
    <row r="28" spans="2:90" ht="15" customHeight="1" x14ac:dyDescent="0.2">
      <c r="CL28" s="133"/>
    </row>
    <row r="29" spans="2:90" ht="15" customHeight="1" x14ac:dyDescent="0.25">
      <c r="B29" s="132" t="s">
        <v>256</v>
      </c>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row>
    <row r="30" spans="2:90" s="21" customFormat="1" ht="10.15" customHeight="1" x14ac:dyDescent="0.25">
      <c r="B30" s="22"/>
      <c r="C30" s="23"/>
      <c r="D30" s="23"/>
      <c r="E30" s="23"/>
      <c r="O30" s="13"/>
      <c r="P30" s="13"/>
      <c r="Q30" s="13"/>
      <c r="R30" s="13"/>
      <c r="S30" s="13"/>
      <c r="T30" s="13"/>
      <c r="U30" s="13"/>
      <c r="V30" s="13"/>
      <c r="W30" s="13"/>
      <c r="X30" s="13"/>
      <c r="Y30" s="13"/>
      <c r="Z30" s="13"/>
      <c r="AA30" s="13"/>
      <c r="AB30" s="13"/>
      <c r="AC30" s="13"/>
      <c r="AD30" s="13"/>
      <c r="AE30" s="13"/>
      <c r="AF30" s="13"/>
      <c r="AG30" s="13"/>
    </row>
    <row r="31" spans="2:90" ht="15" customHeight="1" outlineLevel="1" x14ac:dyDescent="0.2">
      <c r="B31" s="133" t="s">
        <v>260</v>
      </c>
      <c r="C31" s="133"/>
      <c r="D31" s="133"/>
      <c r="E31" s="395">
        <f ca="1">MAX(E23,0)</f>
        <v>0</v>
      </c>
      <c r="F31" s="395">
        <f t="shared" ref="F31:BQ31" ca="1" si="6">MAX(F23,0)</f>
        <v>0</v>
      </c>
      <c r="G31" s="395">
        <f t="shared" ca="1" si="6"/>
        <v>0</v>
      </c>
      <c r="H31" s="395">
        <f t="shared" ca="1" si="6"/>
        <v>0</v>
      </c>
      <c r="I31" s="395">
        <f t="shared" ca="1" si="6"/>
        <v>0</v>
      </c>
      <c r="J31" s="395">
        <f t="shared" ca="1" si="6"/>
        <v>0</v>
      </c>
      <c r="K31" s="395">
        <f t="shared" ca="1" si="6"/>
        <v>0</v>
      </c>
      <c r="L31" s="395">
        <f t="shared" ca="1" si="6"/>
        <v>0</v>
      </c>
      <c r="M31" s="395">
        <f t="shared" ca="1" si="6"/>
        <v>0</v>
      </c>
      <c r="N31" s="395">
        <f t="shared" ca="1" si="6"/>
        <v>0</v>
      </c>
      <c r="O31" s="395">
        <f t="shared" ca="1" si="6"/>
        <v>0</v>
      </c>
      <c r="P31" s="395">
        <f t="shared" ca="1" si="6"/>
        <v>0</v>
      </c>
      <c r="Q31" s="395">
        <f t="shared" ca="1" si="6"/>
        <v>0</v>
      </c>
      <c r="R31" s="395">
        <f t="shared" ca="1" si="6"/>
        <v>0</v>
      </c>
      <c r="S31" s="395">
        <f t="shared" ca="1" si="6"/>
        <v>0</v>
      </c>
      <c r="T31" s="395">
        <f t="shared" ca="1" si="6"/>
        <v>0</v>
      </c>
      <c r="U31" s="395">
        <f t="shared" ca="1" si="6"/>
        <v>0</v>
      </c>
      <c r="V31" s="395">
        <f t="shared" ca="1" si="6"/>
        <v>0</v>
      </c>
      <c r="W31" s="395">
        <f t="shared" ca="1" si="6"/>
        <v>0</v>
      </c>
      <c r="X31" s="395">
        <f t="shared" ca="1" si="6"/>
        <v>0</v>
      </c>
      <c r="Y31" s="395">
        <f t="shared" ca="1" si="6"/>
        <v>0</v>
      </c>
      <c r="Z31" s="395">
        <f t="shared" ca="1" si="6"/>
        <v>0</v>
      </c>
      <c r="AA31" s="395">
        <f t="shared" ca="1" si="6"/>
        <v>0</v>
      </c>
      <c r="AB31" s="395">
        <f t="shared" ca="1" si="6"/>
        <v>0</v>
      </c>
      <c r="AC31" s="395">
        <f t="shared" ca="1" si="6"/>
        <v>0</v>
      </c>
      <c r="AD31" s="395">
        <f t="shared" ca="1" si="6"/>
        <v>0</v>
      </c>
      <c r="AE31" s="395">
        <f t="shared" ca="1" si="6"/>
        <v>0</v>
      </c>
      <c r="AF31" s="395">
        <f t="shared" ca="1" si="6"/>
        <v>0</v>
      </c>
      <c r="AG31" s="395">
        <f t="shared" ca="1" si="6"/>
        <v>0</v>
      </c>
      <c r="AH31" s="395">
        <f t="shared" ca="1" si="6"/>
        <v>0</v>
      </c>
      <c r="AI31" s="395">
        <f t="shared" ca="1" si="6"/>
        <v>0</v>
      </c>
      <c r="AJ31" s="395">
        <f t="shared" ca="1" si="6"/>
        <v>0</v>
      </c>
      <c r="AK31" s="395">
        <f t="shared" ca="1" si="6"/>
        <v>0</v>
      </c>
      <c r="AL31" s="395">
        <f t="shared" ca="1" si="6"/>
        <v>0</v>
      </c>
      <c r="AM31" s="395">
        <f t="shared" ca="1" si="6"/>
        <v>0</v>
      </c>
      <c r="AN31" s="395">
        <f t="shared" ca="1" si="6"/>
        <v>0</v>
      </c>
      <c r="AO31" s="395">
        <f t="shared" ca="1" si="6"/>
        <v>19327606.700798273</v>
      </c>
      <c r="AP31" s="395">
        <f t="shared" ca="1" si="6"/>
        <v>110073.79706883527</v>
      </c>
      <c r="AQ31" s="395">
        <f t="shared" ca="1" si="6"/>
        <v>110073.79706883527</v>
      </c>
      <c r="AR31" s="395">
        <f t="shared" ca="1" si="6"/>
        <v>110073.79706883527</v>
      </c>
      <c r="AS31" s="395">
        <f t="shared" ca="1" si="6"/>
        <v>110073.79706883527</v>
      </c>
      <c r="AT31" s="395">
        <f t="shared" ca="1" si="6"/>
        <v>110073.79706883527</v>
      </c>
      <c r="AU31" s="395">
        <f t="shared" ca="1" si="6"/>
        <v>110073.79706883527</v>
      </c>
      <c r="AV31" s="395">
        <f t="shared" ca="1" si="6"/>
        <v>110073.79706883527</v>
      </c>
      <c r="AW31" s="395">
        <f t="shared" ca="1" si="6"/>
        <v>110073.79706883527</v>
      </c>
      <c r="AX31" s="395">
        <f t="shared" ca="1" si="6"/>
        <v>110073.79706883527</v>
      </c>
      <c r="AY31" s="395">
        <f t="shared" ca="1" si="6"/>
        <v>110073.79706883527</v>
      </c>
      <c r="AZ31" s="395">
        <f t="shared" ca="1" si="6"/>
        <v>110073.79706883527</v>
      </c>
      <c r="BA31" s="395">
        <f t="shared" ca="1" si="6"/>
        <v>110073.79706883527</v>
      </c>
      <c r="BB31" s="395">
        <f t="shared" ca="1" si="6"/>
        <v>92276.448121092428</v>
      </c>
      <c r="BC31" s="395">
        <f t="shared" ca="1" si="6"/>
        <v>92276.448121092428</v>
      </c>
      <c r="BD31" s="395">
        <f t="shared" ca="1" si="6"/>
        <v>92276.448121092428</v>
      </c>
      <c r="BE31" s="395">
        <f t="shared" ca="1" si="6"/>
        <v>92276.448121092428</v>
      </c>
      <c r="BF31" s="395">
        <f t="shared" ca="1" si="6"/>
        <v>92276.448121092428</v>
      </c>
      <c r="BG31" s="395">
        <f t="shared" ca="1" si="6"/>
        <v>92276.448121092428</v>
      </c>
      <c r="BH31" s="395">
        <f t="shared" ca="1" si="6"/>
        <v>92276.448121092428</v>
      </c>
      <c r="BI31" s="395">
        <f t="shared" ca="1" si="6"/>
        <v>92276.448121092428</v>
      </c>
      <c r="BJ31" s="395">
        <f t="shared" ca="1" si="6"/>
        <v>92276.448121092428</v>
      </c>
      <c r="BK31" s="395">
        <f t="shared" ca="1" si="6"/>
        <v>92276.448121092428</v>
      </c>
      <c r="BL31" s="395">
        <f t="shared" ca="1" si="6"/>
        <v>92276.448121092428</v>
      </c>
      <c r="BM31" s="395">
        <f t="shared" ca="1" si="6"/>
        <v>92276.448121092428</v>
      </c>
      <c r="BN31" s="395">
        <f t="shared" ca="1" si="6"/>
        <v>106921.35986988785</v>
      </c>
      <c r="BO31" s="395">
        <f t="shared" ca="1" si="6"/>
        <v>106921.35986988785</v>
      </c>
      <c r="BP31" s="395">
        <f t="shared" ca="1" si="6"/>
        <v>106921.35986988785</v>
      </c>
      <c r="BQ31" s="395">
        <f t="shared" ca="1" si="6"/>
        <v>106921.35986988785</v>
      </c>
      <c r="BR31" s="395">
        <f t="shared" ref="BR31:CK31" ca="1" si="7">MAX(BR23,0)</f>
        <v>106921.35986988785</v>
      </c>
      <c r="BS31" s="395">
        <f t="shared" ca="1" si="7"/>
        <v>106921.35986988785</v>
      </c>
      <c r="BT31" s="395">
        <f t="shared" ca="1" si="7"/>
        <v>106921.35986988785</v>
      </c>
      <c r="BU31" s="395">
        <f t="shared" ca="1" si="7"/>
        <v>106921.35986988785</v>
      </c>
      <c r="BV31" s="395">
        <f t="shared" ca="1" si="7"/>
        <v>106921.35986988785</v>
      </c>
      <c r="BW31" s="395">
        <f t="shared" ca="1" si="7"/>
        <v>106921.35986988785</v>
      </c>
      <c r="BX31" s="395">
        <f t="shared" ca="1" si="7"/>
        <v>106921.35986988785</v>
      </c>
      <c r="BY31" s="395">
        <f t="shared" ca="1" si="7"/>
        <v>12719474.3621164</v>
      </c>
      <c r="BZ31" s="395">
        <f t="shared" ca="1" si="7"/>
        <v>0</v>
      </c>
      <c r="CA31" s="395">
        <f t="shared" ca="1" si="7"/>
        <v>0</v>
      </c>
      <c r="CB31" s="395">
        <f t="shared" ca="1" si="7"/>
        <v>0</v>
      </c>
      <c r="CC31" s="395">
        <f t="shared" ca="1" si="7"/>
        <v>0</v>
      </c>
      <c r="CD31" s="395">
        <f t="shared" ca="1" si="7"/>
        <v>0</v>
      </c>
      <c r="CE31" s="395">
        <f t="shared" ca="1" si="7"/>
        <v>0</v>
      </c>
      <c r="CF31" s="395">
        <f t="shared" ca="1" si="7"/>
        <v>0</v>
      </c>
      <c r="CG31" s="395">
        <f t="shared" ca="1" si="7"/>
        <v>0</v>
      </c>
      <c r="CH31" s="395">
        <f t="shared" ca="1" si="7"/>
        <v>0</v>
      </c>
      <c r="CI31" s="395">
        <f t="shared" ca="1" si="7"/>
        <v>0</v>
      </c>
      <c r="CJ31" s="395">
        <f t="shared" ca="1" si="7"/>
        <v>0</v>
      </c>
      <c r="CK31" s="395">
        <f t="shared" ca="1" si="7"/>
        <v>0</v>
      </c>
      <c r="CL31" s="133" t="s">
        <v>15</v>
      </c>
    </row>
    <row r="32" spans="2:90" ht="15" customHeight="1" outlineLevel="1" x14ac:dyDescent="0.2">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row>
    <row r="33" spans="2:90" ht="15" customHeight="1" outlineLevel="1" x14ac:dyDescent="0.2">
      <c r="B33" s="133" t="s">
        <v>261</v>
      </c>
      <c r="C33" s="133"/>
      <c r="D33" s="133"/>
      <c r="E33" s="395">
        <f>D40</f>
        <v>0</v>
      </c>
      <c r="F33" s="395">
        <f t="shared" ref="F33:BQ33" ca="1" si="8">E40</f>
        <v>4197716.2381649464</v>
      </c>
      <c r="G33" s="395">
        <f t="shared" ca="1" si="8"/>
        <v>4358244.3392264461</v>
      </c>
      <c r="H33" s="395">
        <f t="shared" ca="1" si="8"/>
        <v>4518877.5495237857</v>
      </c>
      <c r="I33" s="395">
        <f t="shared" ca="1" si="8"/>
        <v>4717418.9154227152</v>
      </c>
      <c r="J33" s="395">
        <f t="shared" ca="1" si="8"/>
        <v>5077684.9569441443</v>
      </c>
      <c r="K33" s="395">
        <f t="shared" ca="1" si="8"/>
        <v>5383011.9130727155</v>
      </c>
      <c r="L33" s="395">
        <f t="shared" ca="1" si="8"/>
        <v>5899492.600008429</v>
      </c>
      <c r="M33" s="395">
        <f t="shared" ca="1" si="8"/>
        <v>6688258.9918303648</v>
      </c>
      <c r="N33" s="395">
        <f t="shared" ca="1" si="8"/>
        <v>7477548.2922885222</v>
      </c>
      <c r="O33" s="395">
        <f t="shared" ca="1" si="8"/>
        <v>8267360.5013829023</v>
      </c>
      <c r="P33" s="395">
        <f t="shared" ca="1" si="8"/>
        <v>9057695.619113503</v>
      </c>
      <c r="Q33" s="395">
        <f t="shared" ca="1" si="8"/>
        <v>9848553.6454803254</v>
      </c>
      <c r="R33" s="395">
        <f t="shared" ca="1" si="8"/>
        <v>10639934.580483371</v>
      </c>
      <c r="S33" s="395">
        <f t="shared" ca="1" si="8"/>
        <v>11857489.857692637</v>
      </c>
      <c r="T33" s="395">
        <f t="shared" ca="1" si="8"/>
        <v>13207225.521358125</v>
      </c>
      <c r="U33" s="395">
        <f t="shared" ca="1" si="8"/>
        <v>13801912.511935191</v>
      </c>
      <c r="V33" s="395">
        <f t="shared" ca="1" si="8"/>
        <v>13811021.376685191</v>
      </c>
      <c r="W33" s="395">
        <f t="shared" ca="1" si="8"/>
        <v>13820130.241435191</v>
      </c>
      <c r="X33" s="395">
        <f t="shared" ca="1" si="8"/>
        <v>13829239.10618519</v>
      </c>
      <c r="Y33" s="395">
        <f t="shared" ca="1" si="8"/>
        <v>13838347.97093519</v>
      </c>
      <c r="Z33" s="395">
        <f t="shared" ca="1" si="8"/>
        <v>13847456.83568519</v>
      </c>
      <c r="AA33" s="395">
        <f t="shared" ca="1" si="8"/>
        <v>13856565.70043519</v>
      </c>
      <c r="AB33" s="395">
        <f t="shared" ca="1" si="8"/>
        <v>13865674.565185189</v>
      </c>
      <c r="AC33" s="395">
        <f t="shared" ca="1" si="8"/>
        <v>13874783.429935189</v>
      </c>
      <c r="AD33" s="395">
        <f t="shared" ca="1" si="8"/>
        <v>13883892.294685189</v>
      </c>
      <c r="AE33" s="395">
        <f t="shared" ca="1" si="8"/>
        <v>13893001.159435188</v>
      </c>
      <c r="AF33" s="395">
        <f t="shared" ca="1" si="8"/>
        <v>13902110.024185188</v>
      </c>
      <c r="AG33" s="395">
        <f t="shared" ca="1" si="8"/>
        <v>13911218.888935188</v>
      </c>
      <c r="AH33" s="395">
        <f t="shared" ca="1" si="8"/>
        <v>13920327.753685188</v>
      </c>
      <c r="AI33" s="395">
        <f t="shared" ca="1" si="8"/>
        <v>13929436.618435187</v>
      </c>
      <c r="AJ33" s="395">
        <f t="shared" ca="1" si="8"/>
        <v>13938545.483185187</v>
      </c>
      <c r="AK33" s="395">
        <f t="shared" ca="1" si="8"/>
        <v>13947654.347935187</v>
      </c>
      <c r="AL33" s="395">
        <f t="shared" ca="1" si="8"/>
        <v>13956763.212685186</v>
      </c>
      <c r="AM33" s="395">
        <f t="shared" ca="1" si="8"/>
        <v>13965872.077435186</v>
      </c>
      <c r="AN33" s="395">
        <f t="shared" ca="1" si="8"/>
        <v>13974980.942185186</v>
      </c>
      <c r="AO33" s="395">
        <f t="shared" ca="1" si="8"/>
        <v>13984089.806935186</v>
      </c>
      <c r="AP33" s="395">
        <f t="shared" ca="1" si="8"/>
        <v>0</v>
      </c>
      <c r="AQ33" s="395">
        <f t="shared" ca="1" si="8"/>
        <v>0</v>
      </c>
      <c r="AR33" s="395">
        <f t="shared" ca="1" si="8"/>
        <v>0</v>
      </c>
      <c r="AS33" s="395">
        <f t="shared" ca="1" si="8"/>
        <v>0</v>
      </c>
      <c r="AT33" s="395">
        <f t="shared" ca="1" si="8"/>
        <v>0</v>
      </c>
      <c r="AU33" s="395">
        <f t="shared" ca="1" si="8"/>
        <v>0</v>
      </c>
      <c r="AV33" s="395">
        <f t="shared" ca="1" si="8"/>
        <v>0</v>
      </c>
      <c r="AW33" s="395">
        <f t="shared" ca="1" si="8"/>
        <v>0</v>
      </c>
      <c r="AX33" s="395">
        <f t="shared" ca="1" si="8"/>
        <v>0</v>
      </c>
      <c r="AY33" s="395">
        <f t="shared" ca="1" si="8"/>
        <v>0</v>
      </c>
      <c r="AZ33" s="395">
        <f t="shared" ca="1" si="8"/>
        <v>0</v>
      </c>
      <c r="BA33" s="395">
        <f t="shared" ca="1" si="8"/>
        <v>0</v>
      </c>
      <c r="BB33" s="395">
        <f t="shared" ca="1" si="8"/>
        <v>0</v>
      </c>
      <c r="BC33" s="395">
        <f t="shared" ca="1" si="8"/>
        <v>0</v>
      </c>
      <c r="BD33" s="395">
        <f t="shared" ca="1" si="8"/>
        <v>0</v>
      </c>
      <c r="BE33" s="395">
        <f t="shared" ca="1" si="8"/>
        <v>0</v>
      </c>
      <c r="BF33" s="395">
        <f t="shared" ca="1" si="8"/>
        <v>0</v>
      </c>
      <c r="BG33" s="395">
        <f t="shared" ca="1" si="8"/>
        <v>0</v>
      </c>
      <c r="BH33" s="395">
        <f t="shared" ca="1" si="8"/>
        <v>0</v>
      </c>
      <c r="BI33" s="395">
        <f t="shared" ca="1" si="8"/>
        <v>0</v>
      </c>
      <c r="BJ33" s="395">
        <f t="shared" ca="1" si="8"/>
        <v>0</v>
      </c>
      <c r="BK33" s="395">
        <f t="shared" ca="1" si="8"/>
        <v>0</v>
      </c>
      <c r="BL33" s="395">
        <f t="shared" ca="1" si="8"/>
        <v>0</v>
      </c>
      <c r="BM33" s="395">
        <f t="shared" ca="1" si="8"/>
        <v>0</v>
      </c>
      <c r="BN33" s="395">
        <f t="shared" ca="1" si="8"/>
        <v>0</v>
      </c>
      <c r="BO33" s="395">
        <f t="shared" ca="1" si="8"/>
        <v>0</v>
      </c>
      <c r="BP33" s="395">
        <f t="shared" ca="1" si="8"/>
        <v>0</v>
      </c>
      <c r="BQ33" s="395">
        <f t="shared" ca="1" si="8"/>
        <v>0</v>
      </c>
      <c r="BR33" s="395">
        <f t="shared" ref="BR33:CK33" ca="1" si="9">BQ40</f>
        <v>0</v>
      </c>
      <c r="BS33" s="395">
        <f t="shared" ca="1" si="9"/>
        <v>0</v>
      </c>
      <c r="BT33" s="395">
        <f t="shared" ca="1" si="9"/>
        <v>0</v>
      </c>
      <c r="BU33" s="395">
        <f t="shared" ca="1" si="9"/>
        <v>0</v>
      </c>
      <c r="BV33" s="395">
        <f t="shared" ca="1" si="9"/>
        <v>0</v>
      </c>
      <c r="BW33" s="395">
        <f t="shared" ca="1" si="9"/>
        <v>0</v>
      </c>
      <c r="BX33" s="395">
        <f t="shared" ca="1" si="9"/>
        <v>0</v>
      </c>
      <c r="BY33" s="395">
        <f t="shared" ca="1" si="9"/>
        <v>0</v>
      </c>
      <c r="BZ33" s="395">
        <f t="shared" ca="1" si="9"/>
        <v>0</v>
      </c>
      <c r="CA33" s="395">
        <f t="shared" ca="1" si="9"/>
        <v>0</v>
      </c>
      <c r="CB33" s="395">
        <f t="shared" ca="1" si="9"/>
        <v>0</v>
      </c>
      <c r="CC33" s="395">
        <f t="shared" ca="1" si="9"/>
        <v>0</v>
      </c>
      <c r="CD33" s="395">
        <f t="shared" ca="1" si="9"/>
        <v>0</v>
      </c>
      <c r="CE33" s="395">
        <f t="shared" ca="1" si="9"/>
        <v>0</v>
      </c>
      <c r="CF33" s="395">
        <f t="shared" ca="1" si="9"/>
        <v>0</v>
      </c>
      <c r="CG33" s="395">
        <f t="shared" ca="1" si="9"/>
        <v>0</v>
      </c>
      <c r="CH33" s="395">
        <f t="shared" ca="1" si="9"/>
        <v>0</v>
      </c>
      <c r="CI33" s="395">
        <f t="shared" ca="1" si="9"/>
        <v>0</v>
      </c>
      <c r="CJ33" s="395">
        <f t="shared" ca="1" si="9"/>
        <v>0</v>
      </c>
      <c r="CK33" s="395">
        <f t="shared" ca="1" si="9"/>
        <v>0</v>
      </c>
      <c r="CL33" s="133" t="s">
        <v>15</v>
      </c>
    </row>
    <row r="34" spans="2:90" ht="15" customHeight="1" outlineLevel="1" x14ac:dyDescent="0.2">
      <c r="B34" s="133" t="s">
        <v>262</v>
      </c>
      <c r="C34" s="133"/>
      <c r="D34" s="133"/>
      <c r="E34" s="395">
        <f t="shared" ref="E34:AJ34" ca="1" si="10">-MIN(E23,0)*CoInvestorEquityContributionPct</f>
        <v>3358172.9905319572</v>
      </c>
      <c r="F34" s="395">
        <f t="shared" ca="1" si="10"/>
        <v>128422.48084919996</v>
      </c>
      <c r="G34" s="395">
        <f t="shared" ca="1" si="10"/>
        <v>128506.5682378714</v>
      </c>
      <c r="H34" s="395">
        <f t="shared" ca="1" si="10"/>
        <v>158833.09271914329</v>
      </c>
      <c r="I34" s="395">
        <f t="shared" ca="1" si="10"/>
        <v>288212.83321714279</v>
      </c>
      <c r="J34" s="395">
        <f t="shared" ca="1" si="10"/>
        <v>244261.56490285712</v>
      </c>
      <c r="K34" s="395">
        <f t="shared" ca="1" si="10"/>
        <v>413184.54954857146</v>
      </c>
      <c r="L34" s="395">
        <f t="shared" ca="1" si="10"/>
        <v>631013.1134575489</v>
      </c>
      <c r="M34" s="395">
        <f t="shared" ca="1" si="10"/>
        <v>631431.44036652637</v>
      </c>
      <c r="N34" s="395">
        <f t="shared" ca="1" si="10"/>
        <v>631849.76727550384</v>
      </c>
      <c r="O34" s="395">
        <f t="shared" ca="1" si="10"/>
        <v>632268.09418448119</v>
      </c>
      <c r="P34" s="395">
        <f t="shared" ca="1" si="10"/>
        <v>632686.42109345866</v>
      </c>
      <c r="Q34" s="395">
        <f t="shared" ca="1" si="10"/>
        <v>633104.74800243613</v>
      </c>
      <c r="R34" s="395">
        <f t="shared" ca="1" si="10"/>
        <v>974044.22176741331</v>
      </c>
      <c r="S34" s="395">
        <f t="shared" ca="1" si="10"/>
        <v>1079788.5309323911</v>
      </c>
      <c r="T34" s="395">
        <f t="shared" ca="1" si="10"/>
        <v>475749.59246165282</v>
      </c>
      <c r="U34" s="395">
        <f t="shared" ca="1" si="10"/>
        <v>7287.0918000000011</v>
      </c>
      <c r="V34" s="395">
        <f t="shared" ca="1" si="10"/>
        <v>7287.0918000000011</v>
      </c>
      <c r="W34" s="395">
        <f t="shared" ca="1" si="10"/>
        <v>7287.0918000000011</v>
      </c>
      <c r="X34" s="395">
        <f t="shared" ca="1" si="10"/>
        <v>7287.0918000000011</v>
      </c>
      <c r="Y34" s="395">
        <f t="shared" ca="1" si="10"/>
        <v>7287.0918000000011</v>
      </c>
      <c r="Z34" s="395">
        <f t="shared" ca="1" si="10"/>
        <v>7287.0918000000011</v>
      </c>
      <c r="AA34" s="395">
        <f t="shared" ca="1" si="10"/>
        <v>7287.0918000000011</v>
      </c>
      <c r="AB34" s="395">
        <f t="shared" ca="1" si="10"/>
        <v>7287.0918000000011</v>
      </c>
      <c r="AC34" s="395">
        <f t="shared" ca="1" si="10"/>
        <v>7287.0918000000011</v>
      </c>
      <c r="AD34" s="395">
        <f t="shared" ca="1" si="10"/>
        <v>7287.0918000000011</v>
      </c>
      <c r="AE34" s="395">
        <f t="shared" ca="1" si="10"/>
        <v>7287.0918000000011</v>
      </c>
      <c r="AF34" s="395">
        <f t="shared" ca="1" si="10"/>
        <v>7287.0918000000011</v>
      </c>
      <c r="AG34" s="395">
        <f t="shared" ca="1" si="10"/>
        <v>7287.0918000000011</v>
      </c>
      <c r="AH34" s="395">
        <f t="shared" ca="1" si="10"/>
        <v>7287.0918000000011</v>
      </c>
      <c r="AI34" s="395">
        <f t="shared" ca="1" si="10"/>
        <v>7287.0918000000011</v>
      </c>
      <c r="AJ34" s="395">
        <f t="shared" ca="1" si="10"/>
        <v>7287.0918000000011</v>
      </c>
      <c r="AK34" s="395">
        <f t="shared" ref="AK34:BP34" ca="1" si="11">-MIN(AK23,0)*CoInvestorEquityContributionPct</f>
        <v>7287.0918000000011</v>
      </c>
      <c r="AL34" s="395">
        <f t="shared" ca="1" si="11"/>
        <v>7287.0918000000011</v>
      </c>
      <c r="AM34" s="395">
        <f t="shared" ca="1" si="11"/>
        <v>7287.0918000000011</v>
      </c>
      <c r="AN34" s="395">
        <f ca="1">-MIN(AN23,0)*CoInvestorEquityContributionPct</f>
        <v>7287.0918000000011</v>
      </c>
      <c r="AO34" s="395">
        <f t="shared" ca="1" si="11"/>
        <v>0</v>
      </c>
      <c r="AP34" s="395">
        <f t="shared" ca="1" si="11"/>
        <v>0</v>
      </c>
      <c r="AQ34" s="395">
        <f t="shared" ca="1" si="11"/>
        <v>0</v>
      </c>
      <c r="AR34" s="395">
        <f t="shared" ca="1" si="11"/>
        <v>0</v>
      </c>
      <c r="AS34" s="395">
        <f t="shared" ca="1" si="11"/>
        <v>0</v>
      </c>
      <c r="AT34" s="395">
        <f t="shared" ca="1" si="11"/>
        <v>0</v>
      </c>
      <c r="AU34" s="395">
        <f t="shared" ca="1" si="11"/>
        <v>0</v>
      </c>
      <c r="AV34" s="395">
        <f t="shared" ca="1" si="11"/>
        <v>0</v>
      </c>
      <c r="AW34" s="395">
        <f t="shared" ca="1" si="11"/>
        <v>0</v>
      </c>
      <c r="AX34" s="395">
        <f t="shared" ca="1" si="11"/>
        <v>0</v>
      </c>
      <c r="AY34" s="395">
        <f t="shared" ca="1" si="11"/>
        <v>0</v>
      </c>
      <c r="AZ34" s="395">
        <f t="shared" ca="1" si="11"/>
        <v>0</v>
      </c>
      <c r="BA34" s="395">
        <f t="shared" ca="1" si="11"/>
        <v>0</v>
      </c>
      <c r="BB34" s="395">
        <f t="shared" ca="1" si="11"/>
        <v>0</v>
      </c>
      <c r="BC34" s="395">
        <f t="shared" ca="1" si="11"/>
        <v>0</v>
      </c>
      <c r="BD34" s="395">
        <f t="shared" ca="1" si="11"/>
        <v>0</v>
      </c>
      <c r="BE34" s="395">
        <f t="shared" ca="1" si="11"/>
        <v>0</v>
      </c>
      <c r="BF34" s="395">
        <f t="shared" ca="1" si="11"/>
        <v>0</v>
      </c>
      <c r="BG34" s="395">
        <f t="shared" ca="1" si="11"/>
        <v>0</v>
      </c>
      <c r="BH34" s="395">
        <f t="shared" ca="1" si="11"/>
        <v>0</v>
      </c>
      <c r="BI34" s="395">
        <f t="shared" ca="1" si="11"/>
        <v>0</v>
      </c>
      <c r="BJ34" s="395">
        <f t="shared" ca="1" si="11"/>
        <v>0</v>
      </c>
      <c r="BK34" s="395">
        <f t="shared" ca="1" si="11"/>
        <v>0</v>
      </c>
      <c r="BL34" s="395">
        <f t="shared" ca="1" si="11"/>
        <v>0</v>
      </c>
      <c r="BM34" s="395">
        <f t="shared" ca="1" si="11"/>
        <v>0</v>
      </c>
      <c r="BN34" s="395">
        <f t="shared" ca="1" si="11"/>
        <v>0</v>
      </c>
      <c r="BO34" s="395">
        <f t="shared" ca="1" si="11"/>
        <v>0</v>
      </c>
      <c r="BP34" s="395">
        <f t="shared" ca="1" si="11"/>
        <v>0</v>
      </c>
      <c r="BQ34" s="395">
        <f t="shared" ref="BQ34:CK34" ca="1" si="12">-MIN(BQ23,0)*CoInvestorEquityContributionPct</f>
        <v>0</v>
      </c>
      <c r="BR34" s="395">
        <f t="shared" ca="1" si="12"/>
        <v>0</v>
      </c>
      <c r="BS34" s="395">
        <f t="shared" ca="1" si="12"/>
        <v>0</v>
      </c>
      <c r="BT34" s="395">
        <f t="shared" ca="1" si="12"/>
        <v>0</v>
      </c>
      <c r="BU34" s="395">
        <f t="shared" ca="1" si="12"/>
        <v>0</v>
      </c>
      <c r="BV34" s="395">
        <f t="shared" ca="1" si="12"/>
        <v>0</v>
      </c>
      <c r="BW34" s="395">
        <f t="shared" ca="1" si="12"/>
        <v>0</v>
      </c>
      <c r="BX34" s="395">
        <f t="shared" ca="1" si="12"/>
        <v>0</v>
      </c>
      <c r="BY34" s="395">
        <f t="shared" ca="1" si="12"/>
        <v>0</v>
      </c>
      <c r="BZ34" s="395">
        <f t="shared" ca="1" si="12"/>
        <v>0</v>
      </c>
      <c r="CA34" s="395">
        <f t="shared" ca="1" si="12"/>
        <v>0</v>
      </c>
      <c r="CB34" s="395">
        <f t="shared" ca="1" si="12"/>
        <v>0</v>
      </c>
      <c r="CC34" s="395">
        <f t="shared" ca="1" si="12"/>
        <v>0</v>
      </c>
      <c r="CD34" s="395">
        <f t="shared" ca="1" si="12"/>
        <v>0</v>
      </c>
      <c r="CE34" s="395">
        <f t="shared" ca="1" si="12"/>
        <v>0</v>
      </c>
      <c r="CF34" s="395">
        <f t="shared" ca="1" si="12"/>
        <v>0</v>
      </c>
      <c r="CG34" s="395">
        <f t="shared" ca="1" si="12"/>
        <v>0</v>
      </c>
      <c r="CH34" s="395">
        <f t="shared" ca="1" si="12"/>
        <v>0</v>
      </c>
      <c r="CI34" s="395">
        <f t="shared" ca="1" si="12"/>
        <v>0</v>
      </c>
      <c r="CJ34" s="395">
        <f t="shared" ca="1" si="12"/>
        <v>0</v>
      </c>
      <c r="CK34" s="395">
        <f t="shared" ca="1" si="12"/>
        <v>0</v>
      </c>
      <c r="CL34" s="133" t="s">
        <v>15</v>
      </c>
    </row>
    <row r="35" spans="2:90" ht="15" customHeight="1" outlineLevel="1" x14ac:dyDescent="0.2">
      <c r="B35" s="133" t="s">
        <v>330</v>
      </c>
      <c r="C35" s="133"/>
      <c r="D35" s="133"/>
      <c r="E35" s="395">
        <f t="shared" ref="E35:AJ35" si="13">MAX((D37+D39)*Tier1_HurdleMonthly_Case2,0)</f>
        <v>0</v>
      </c>
      <c r="F35" s="395">
        <f t="shared" ca="1" si="13"/>
        <v>13681.612450331764</v>
      </c>
      <c r="G35" s="395">
        <f t="shared" ca="1" si="13"/>
        <v>14260.562116597172</v>
      </c>
      <c r="H35" s="395">
        <f t="shared" ca="1" si="13"/>
        <v>14842.213077897537</v>
      </c>
      <c r="I35" s="395">
        <f t="shared" ca="1" si="13"/>
        <v>15549.787771877662</v>
      </c>
      <c r="J35" s="395">
        <f t="shared" ca="1" si="13"/>
        <v>16787.354290632393</v>
      </c>
      <c r="K35" s="395">
        <f t="shared" ca="1" si="13"/>
        <v>17850.899901014283</v>
      </c>
      <c r="L35" s="395">
        <f t="shared" ca="1" si="13"/>
        <v>19606.991677212394</v>
      </c>
      <c r="M35" s="395">
        <f t="shared" ca="1" si="13"/>
        <v>22257.698521661721</v>
      </c>
      <c r="N35" s="395">
        <f t="shared" ca="1" si="13"/>
        <v>24920.908989518699</v>
      </c>
      <c r="O35" s="395">
        <f t="shared" ca="1" si="13"/>
        <v>27596.67402209284</v>
      </c>
      <c r="P35" s="395">
        <f t="shared" ca="1" si="13"/>
        <v>30285.044768234849</v>
      </c>
      <c r="Q35" s="395">
        <f t="shared" ca="1" si="13"/>
        <v>32986.072585182184</v>
      </c>
      <c r="R35" s="395">
        <f t="shared" ca="1" si="13"/>
        <v>35699.80903940805</v>
      </c>
      <c r="S35" s="395">
        <f t="shared" ca="1" si="13"/>
        <v>39813.631210715073</v>
      </c>
      <c r="T35" s="395">
        <f t="shared" ca="1" si="13"/>
        <v>44375.029007726422</v>
      </c>
      <c r="U35" s="395">
        <f t="shared" ca="1" si="13"/>
        <v>46494.081098515919</v>
      </c>
      <c r="V35" s="395">
        <f t="shared" ca="1" si="13"/>
        <v>46713.192254134272</v>
      </c>
      <c r="W35" s="395">
        <f t="shared" ca="1" si="13"/>
        <v>46933.196095722982</v>
      </c>
      <c r="X35" s="395">
        <f t="shared" ca="1" si="13"/>
        <v>47154.096260195212</v>
      </c>
      <c r="Y35" s="395">
        <f t="shared" ca="1" si="13"/>
        <v>47375.896399281337</v>
      </c>
      <c r="Z35" s="395">
        <f t="shared" ca="1" si="13"/>
        <v>47598.600179589317</v>
      </c>
      <c r="AA35" s="395">
        <f t="shared" ca="1" si="13"/>
        <v>47822.211282665361</v>
      </c>
      <c r="AB35" s="395">
        <f t="shared" ca="1" si="13"/>
        <v>48046.733405054736</v>
      </c>
      <c r="AC35" s="395">
        <f t="shared" ca="1" si="13"/>
        <v>48272.170258362894</v>
      </c>
      <c r="AD35" s="395">
        <f t="shared" ca="1" si="13"/>
        <v>48498.525569316829</v>
      </c>
      <c r="AE35" s="395">
        <f t="shared" ca="1" si="13"/>
        <v>48725.803079826663</v>
      </c>
      <c r="AF35" s="395">
        <f t="shared" ca="1" si="13"/>
        <v>48954.006547047567</v>
      </c>
      <c r="AG35" s="395">
        <f t="shared" ca="1" si="13"/>
        <v>49183.139743441774</v>
      </c>
      <c r="AH35" s="395">
        <f t="shared" ca="1" si="13"/>
        <v>49413.206456841042</v>
      </c>
      <c r="AI35" s="395">
        <f t="shared" ca="1" si="13"/>
        <v>49644.210490509198</v>
      </c>
      <c r="AJ35" s="395">
        <f t="shared" ca="1" si="13"/>
        <v>49876.155663205041</v>
      </c>
      <c r="AK35" s="395">
        <f t="shared" ref="AK35:BP35" ca="1" si="14">MAX((AJ37+AJ39)*Tier1_HurdleMonthly_Case2,0)</f>
        <v>50109.045809245465</v>
      </c>
      <c r="AL35" s="395">
        <f t="shared" ca="1" si="14"/>
        <v>50342.884778568849</v>
      </c>
      <c r="AM35" s="395">
        <f t="shared" ca="1" si="14"/>
        <v>50577.676436798691</v>
      </c>
      <c r="AN35" s="395">
        <f t="shared" ca="1" si="14"/>
        <v>50813.424665307532</v>
      </c>
      <c r="AO35" s="395">
        <f t="shared" ca="1" si="14"/>
        <v>51050.133361281099</v>
      </c>
      <c r="AP35" s="395">
        <f t="shared" ca="1" si="14"/>
        <v>0</v>
      </c>
      <c r="AQ35" s="395">
        <f t="shared" ca="1" si="14"/>
        <v>0</v>
      </c>
      <c r="AR35" s="395">
        <f t="shared" ca="1" si="14"/>
        <v>0</v>
      </c>
      <c r="AS35" s="395">
        <f t="shared" ca="1" si="14"/>
        <v>0</v>
      </c>
      <c r="AT35" s="395">
        <f t="shared" ca="1" si="14"/>
        <v>0</v>
      </c>
      <c r="AU35" s="395">
        <f t="shared" ca="1" si="14"/>
        <v>0</v>
      </c>
      <c r="AV35" s="395">
        <f t="shared" ca="1" si="14"/>
        <v>0</v>
      </c>
      <c r="AW35" s="395">
        <f t="shared" ca="1" si="14"/>
        <v>0</v>
      </c>
      <c r="AX35" s="395">
        <f t="shared" ca="1" si="14"/>
        <v>0</v>
      </c>
      <c r="AY35" s="395">
        <f t="shared" ca="1" si="14"/>
        <v>0</v>
      </c>
      <c r="AZ35" s="395">
        <f t="shared" ca="1" si="14"/>
        <v>0</v>
      </c>
      <c r="BA35" s="395">
        <f t="shared" ca="1" si="14"/>
        <v>0</v>
      </c>
      <c r="BB35" s="395">
        <f t="shared" ca="1" si="14"/>
        <v>0</v>
      </c>
      <c r="BC35" s="395">
        <f t="shared" ca="1" si="14"/>
        <v>0</v>
      </c>
      <c r="BD35" s="395">
        <f t="shared" ca="1" si="14"/>
        <v>0</v>
      </c>
      <c r="BE35" s="395">
        <f t="shared" ca="1" si="14"/>
        <v>0</v>
      </c>
      <c r="BF35" s="395">
        <f t="shared" ca="1" si="14"/>
        <v>0</v>
      </c>
      <c r="BG35" s="395">
        <f t="shared" ca="1" si="14"/>
        <v>0</v>
      </c>
      <c r="BH35" s="395">
        <f t="shared" ca="1" si="14"/>
        <v>0</v>
      </c>
      <c r="BI35" s="395">
        <f t="shared" ca="1" si="14"/>
        <v>0</v>
      </c>
      <c r="BJ35" s="395">
        <f t="shared" ca="1" si="14"/>
        <v>0</v>
      </c>
      <c r="BK35" s="395">
        <f t="shared" ca="1" si="14"/>
        <v>0</v>
      </c>
      <c r="BL35" s="395">
        <f t="shared" ca="1" si="14"/>
        <v>0</v>
      </c>
      <c r="BM35" s="395">
        <f t="shared" ca="1" si="14"/>
        <v>0</v>
      </c>
      <c r="BN35" s="395">
        <f t="shared" ca="1" si="14"/>
        <v>0</v>
      </c>
      <c r="BO35" s="395">
        <f t="shared" ca="1" si="14"/>
        <v>0</v>
      </c>
      <c r="BP35" s="395">
        <f t="shared" ca="1" si="14"/>
        <v>0</v>
      </c>
      <c r="BQ35" s="395">
        <f t="shared" ref="BQ35:CK35" ca="1" si="15">MAX((BP37+BP39)*Tier1_HurdleMonthly_Case2,0)</f>
        <v>0</v>
      </c>
      <c r="BR35" s="395">
        <f t="shared" ca="1" si="15"/>
        <v>0</v>
      </c>
      <c r="BS35" s="395">
        <f t="shared" ca="1" si="15"/>
        <v>0</v>
      </c>
      <c r="BT35" s="395">
        <f t="shared" ca="1" si="15"/>
        <v>0</v>
      </c>
      <c r="BU35" s="395">
        <f t="shared" ca="1" si="15"/>
        <v>0</v>
      </c>
      <c r="BV35" s="395">
        <f t="shared" ca="1" si="15"/>
        <v>0</v>
      </c>
      <c r="BW35" s="395">
        <f t="shared" ca="1" si="15"/>
        <v>0</v>
      </c>
      <c r="BX35" s="395">
        <f t="shared" ca="1" si="15"/>
        <v>0</v>
      </c>
      <c r="BY35" s="395">
        <f t="shared" ca="1" si="15"/>
        <v>0</v>
      </c>
      <c r="BZ35" s="395">
        <f t="shared" ca="1" si="15"/>
        <v>0</v>
      </c>
      <c r="CA35" s="395">
        <f t="shared" ca="1" si="15"/>
        <v>0</v>
      </c>
      <c r="CB35" s="395">
        <f t="shared" ca="1" si="15"/>
        <v>0</v>
      </c>
      <c r="CC35" s="395">
        <f t="shared" ca="1" si="15"/>
        <v>0</v>
      </c>
      <c r="CD35" s="395">
        <f t="shared" ca="1" si="15"/>
        <v>0</v>
      </c>
      <c r="CE35" s="395">
        <f t="shared" ca="1" si="15"/>
        <v>0</v>
      </c>
      <c r="CF35" s="395">
        <f t="shared" ca="1" si="15"/>
        <v>0</v>
      </c>
      <c r="CG35" s="395">
        <f t="shared" ca="1" si="15"/>
        <v>0</v>
      </c>
      <c r="CH35" s="395">
        <f t="shared" ca="1" si="15"/>
        <v>0</v>
      </c>
      <c r="CI35" s="395">
        <f t="shared" ca="1" si="15"/>
        <v>0</v>
      </c>
      <c r="CJ35" s="395">
        <f t="shared" ca="1" si="15"/>
        <v>0</v>
      </c>
      <c r="CK35" s="395">
        <f t="shared" ca="1" si="15"/>
        <v>0</v>
      </c>
      <c r="CL35" s="133" t="s">
        <v>15</v>
      </c>
    </row>
    <row r="36" spans="2:90" ht="15" customHeight="1" outlineLevel="1" x14ac:dyDescent="0.2">
      <c r="B36" s="133" t="s">
        <v>328</v>
      </c>
      <c r="C36" s="133"/>
      <c r="D36" s="133"/>
      <c r="E36" s="395">
        <f t="shared" ref="E36:AJ36" ca="1" si="16">MAX(E34*(Tier1_Hurdle_EM_Case2-1),0)</f>
        <v>839543.24763298931</v>
      </c>
      <c r="F36" s="395">
        <f t="shared" ca="1" si="16"/>
        <v>32105.620212299989</v>
      </c>
      <c r="G36" s="395">
        <f t="shared" ca="1" si="16"/>
        <v>32126.642059467849</v>
      </c>
      <c r="H36" s="395">
        <f t="shared" ca="1" si="16"/>
        <v>39708.273179785821</v>
      </c>
      <c r="I36" s="395">
        <f t="shared" ca="1" si="16"/>
        <v>72053.208304285698</v>
      </c>
      <c r="J36" s="395">
        <f t="shared" ca="1" si="16"/>
        <v>61065.39122571428</v>
      </c>
      <c r="K36" s="395">
        <f t="shared" ca="1" si="16"/>
        <v>103296.13738714287</v>
      </c>
      <c r="L36" s="395">
        <f t="shared" ca="1" si="16"/>
        <v>157753.27836438722</v>
      </c>
      <c r="M36" s="395">
        <f t="shared" ca="1" si="16"/>
        <v>157857.86009163159</v>
      </c>
      <c r="N36" s="395">
        <f t="shared" ca="1" si="16"/>
        <v>157962.44181887596</v>
      </c>
      <c r="O36" s="395">
        <f t="shared" ca="1" si="16"/>
        <v>158067.0235461203</v>
      </c>
      <c r="P36" s="395">
        <f t="shared" ca="1" si="16"/>
        <v>158171.60527336466</v>
      </c>
      <c r="Q36" s="395">
        <f t="shared" ca="1" si="16"/>
        <v>158276.18700060903</v>
      </c>
      <c r="R36" s="395">
        <f t="shared" ca="1" si="16"/>
        <v>243511.05544185333</v>
      </c>
      <c r="S36" s="395">
        <f t="shared" ca="1" si="16"/>
        <v>269947.13273309777</v>
      </c>
      <c r="T36" s="395">
        <f t="shared" ca="1" si="16"/>
        <v>118937.39811541321</v>
      </c>
      <c r="U36" s="395">
        <f t="shared" ca="1" si="16"/>
        <v>1821.7729500000003</v>
      </c>
      <c r="V36" s="395">
        <f t="shared" ca="1" si="16"/>
        <v>1821.7729500000003</v>
      </c>
      <c r="W36" s="395">
        <f t="shared" ca="1" si="16"/>
        <v>1821.7729500000003</v>
      </c>
      <c r="X36" s="395">
        <f t="shared" ca="1" si="16"/>
        <v>1821.7729500000003</v>
      </c>
      <c r="Y36" s="395">
        <f t="shared" ca="1" si="16"/>
        <v>1821.7729500000003</v>
      </c>
      <c r="Z36" s="395">
        <f t="shared" ca="1" si="16"/>
        <v>1821.7729500000003</v>
      </c>
      <c r="AA36" s="395">
        <f t="shared" ca="1" si="16"/>
        <v>1821.7729500000003</v>
      </c>
      <c r="AB36" s="395">
        <f t="shared" ca="1" si="16"/>
        <v>1821.7729500000003</v>
      </c>
      <c r="AC36" s="395">
        <f t="shared" ca="1" si="16"/>
        <v>1821.7729500000003</v>
      </c>
      <c r="AD36" s="395">
        <f t="shared" ca="1" si="16"/>
        <v>1821.7729500000003</v>
      </c>
      <c r="AE36" s="395">
        <f t="shared" ca="1" si="16"/>
        <v>1821.7729500000003</v>
      </c>
      <c r="AF36" s="395">
        <f t="shared" ca="1" si="16"/>
        <v>1821.7729500000003</v>
      </c>
      <c r="AG36" s="395">
        <f t="shared" ca="1" si="16"/>
        <v>1821.7729500000003</v>
      </c>
      <c r="AH36" s="395">
        <f t="shared" ca="1" si="16"/>
        <v>1821.7729500000003</v>
      </c>
      <c r="AI36" s="395">
        <f t="shared" ca="1" si="16"/>
        <v>1821.7729500000003</v>
      </c>
      <c r="AJ36" s="395">
        <f t="shared" ca="1" si="16"/>
        <v>1821.7729500000003</v>
      </c>
      <c r="AK36" s="395">
        <f t="shared" ref="AK36:BP36" ca="1" si="17">MAX(AK34*(Tier1_Hurdle_EM_Case2-1),0)</f>
        <v>1821.7729500000003</v>
      </c>
      <c r="AL36" s="395">
        <f t="shared" ca="1" si="17"/>
        <v>1821.7729500000003</v>
      </c>
      <c r="AM36" s="395">
        <f t="shared" ca="1" si="17"/>
        <v>1821.7729500000003</v>
      </c>
      <c r="AN36" s="395">
        <f t="shared" ca="1" si="17"/>
        <v>1821.7729500000003</v>
      </c>
      <c r="AO36" s="395">
        <f t="shared" ca="1" si="17"/>
        <v>0</v>
      </c>
      <c r="AP36" s="395">
        <f t="shared" ca="1" si="17"/>
        <v>0</v>
      </c>
      <c r="AQ36" s="395">
        <f t="shared" ca="1" si="17"/>
        <v>0</v>
      </c>
      <c r="AR36" s="395">
        <f t="shared" ca="1" si="17"/>
        <v>0</v>
      </c>
      <c r="AS36" s="395">
        <f t="shared" ca="1" si="17"/>
        <v>0</v>
      </c>
      <c r="AT36" s="395">
        <f t="shared" ca="1" si="17"/>
        <v>0</v>
      </c>
      <c r="AU36" s="395">
        <f t="shared" ca="1" si="17"/>
        <v>0</v>
      </c>
      <c r="AV36" s="395">
        <f t="shared" ca="1" si="17"/>
        <v>0</v>
      </c>
      <c r="AW36" s="395">
        <f t="shared" ca="1" si="17"/>
        <v>0</v>
      </c>
      <c r="AX36" s="395">
        <f t="shared" ca="1" si="17"/>
        <v>0</v>
      </c>
      <c r="AY36" s="395">
        <f t="shared" ca="1" si="17"/>
        <v>0</v>
      </c>
      <c r="AZ36" s="395">
        <f t="shared" ca="1" si="17"/>
        <v>0</v>
      </c>
      <c r="BA36" s="395">
        <f t="shared" ca="1" si="17"/>
        <v>0</v>
      </c>
      <c r="BB36" s="395">
        <f t="shared" ca="1" si="17"/>
        <v>0</v>
      </c>
      <c r="BC36" s="395">
        <f t="shared" ca="1" si="17"/>
        <v>0</v>
      </c>
      <c r="BD36" s="395">
        <f t="shared" ca="1" si="17"/>
        <v>0</v>
      </c>
      <c r="BE36" s="395">
        <f t="shared" ca="1" si="17"/>
        <v>0</v>
      </c>
      <c r="BF36" s="395">
        <f t="shared" ca="1" si="17"/>
        <v>0</v>
      </c>
      <c r="BG36" s="395">
        <f t="shared" ca="1" si="17"/>
        <v>0</v>
      </c>
      <c r="BH36" s="395">
        <f t="shared" ca="1" si="17"/>
        <v>0</v>
      </c>
      <c r="BI36" s="395">
        <f t="shared" ca="1" si="17"/>
        <v>0</v>
      </c>
      <c r="BJ36" s="395">
        <f t="shared" ca="1" si="17"/>
        <v>0</v>
      </c>
      <c r="BK36" s="395">
        <f t="shared" ca="1" si="17"/>
        <v>0</v>
      </c>
      <c r="BL36" s="395">
        <f t="shared" ca="1" si="17"/>
        <v>0</v>
      </c>
      <c r="BM36" s="395">
        <f t="shared" ca="1" si="17"/>
        <v>0</v>
      </c>
      <c r="BN36" s="395">
        <f t="shared" ca="1" si="17"/>
        <v>0</v>
      </c>
      <c r="BO36" s="395">
        <f t="shared" ca="1" si="17"/>
        <v>0</v>
      </c>
      <c r="BP36" s="395">
        <f t="shared" ca="1" si="17"/>
        <v>0</v>
      </c>
      <c r="BQ36" s="395">
        <f t="shared" ref="BQ36:CK36" ca="1" si="18">MAX(BQ34*(Tier1_Hurdle_EM_Case2-1),0)</f>
        <v>0</v>
      </c>
      <c r="BR36" s="395">
        <f t="shared" ca="1" si="18"/>
        <v>0</v>
      </c>
      <c r="BS36" s="395">
        <f t="shared" ca="1" si="18"/>
        <v>0</v>
      </c>
      <c r="BT36" s="395">
        <f t="shared" ca="1" si="18"/>
        <v>0</v>
      </c>
      <c r="BU36" s="395">
        <f t="shared" ca="1" si="18"/>
        <v>0</v>
      </c>
      <c r="BV36" s="395">
        <f t="shared" ca="1" si="18"/>
        <v>0</v>
      </c>
      <c r="BW36" s="395">
        <f t="shared" ca="1" si="18"/>
        <v>0</v>
      </c>
      <c r="BX36" s="395">
        <f t="shared" ca="1" si="18"/>
        <v>0</v>
      </c>
      <c r="BY36" s="395">
        <f t="shared" ca="1" si="18"/>
        <v>0</v>
      </c>
      <c r="BZ36" s="395">
        <f t="shared" ca="1" si="18"/>
        <v>0</v>
      </c>
      <c r="CA36" s="395">
        <f t="shared" ca="1" si="18"/>
        <v>0</v>
      </c>
      <c r="CB36" s="395">
        <f t="shared" ca="1" si="18"/>
        <v>0</v>
      </c>
      <c r="CC36" s="395">
        <f t="shared" ca="1" si="18"/>
        <v>0</v>
      </c>
      <c r="CD36" s="395">
        <f t="shared" ca="1" si="18"/>
        <v>0</v>
      </c>
      <c r="CE36" s="395">
        <f t="shared" ca="1" si="18"/>
        <v>0</v>
      </c>
      <c r="CF36" s="395">
        <f t="shared" ca="1" si="18"/>
        <v>0</v>
      </c>
      <c r="CG36" s="395">
        <f t="shared" ca="1" si="18"/>
        <v>0</v>
      </c>
      <c r="CH36" s="395">
        <f t="shared" ca="1" si="18"/>
        <v>0</v>
      </c>
      <c r="CI36" s="395">
        <f t="shared" ca="1" si="18"/>
        <v>0</v>
      </c>
      <c r="CJ36" s="395">
        <f t="shared" ca="1" si="18"/>
        <v>0</v>
      </c>
      <c r="CK36" s="395">
        <f t="shared" ca="1" si="18"/>
        <v>0</v>
      </c>
      <c r="CL36" s="133" t="s">
        <v>15</v>
      </c>
    </row>
    <row r="37" spans="2:90" ht="15" customHeight="1" outlineLevel="1" x14ac:dyDescent="0.2">
      <c r="B37" s="133" t="s">
        <v>361</v>
      </c>
      <c r="C37" s="133"/>
      <c r="D37" s="133"/>
      <c r="E37" s="395">
        <f ca="1">MAX(D37+D39+E34+E35,0)</f>
        <v>3358172.9905319572</v>
      </c>
      <c r="F37" s="395">
        <f t="shared" ref="F37:BQ37" ca="1" si="19">MAX(E37+E39+F34+F35,0)</f>
        <v>3500277.0838314891</v>
      </c>
      <c r="G37" s="395">
        <f t="shared" ca="1" si="19"/>
        <v>3643044.2141859578</v>
      </c>
      <c r="H37" s="395">
        <f t="shared" ca="1" si="19"/>
        <v>3816719.5199829987</v>
      </c>
      <c r="I37" s="395">
        <f t="shared" ca="1" si="19"/>
        <v>4120482.1409720192</v>
      </c>
      <c r="J37" s="395">
        <f t="shared" ca="1" si="19"/>
        <v>4381531.0601655087</v>
      </c>
      <c r="K37" s="395">
        <f t="shared" ca="1" si="19"/>
        <v>4812566.5096150935</v>
      </c>
      <c r="L37" s="395">
        <f t="shared" ca="1" si="19"/>
        <v>5463186.6147498554</v>
      </c>
      <c r="M37" s="395">
        <f t="shared" ca="1" si="19"/>
        <v>6116875.7536380431</v>
      </c>
      <c r="N37" s="395">
        <f t="shared" ca="1" si="19"/>
        <v>6773646.4299030658</v>
      </c>
      <c r="O37" s="395">
        <f t="shared" ca="1" si="19"/>
        <v>7433511.1981096398</v>
      </c>
      <c r="P37" s="395">
        <f t="shared" ca="1" si="19"/>
        <v>8096482.6639713328</v>
      </c>
      <c r="Q37" s="395">
        <f t="shared" ca="1" si="19"/>
        <v>8762573.4845589511</v>
      </c>
      <c r="R37" s="395">
        <f t="shared" ca="1" si="19"/>
        <v>9772317.5153657719</v>
      </c>
      <c r="S37" s="395">
        <f t="shared" ca="1" si="19"/>
        <v>10891919.677508878</v>
      </c>
      <c r="T37" s="395">
        <f t="shared" ca="1" si="19"/>
        <v>11412044.298978258</v>
      </c>
      <c r="U37" s="395">
        <f t="shared" ca="1" si="19"/>
        <v>11465825.471876774</v>
      </c>
      <c r="V37" s="395">
        <f t="shared" ca="1" si="19"/>
        <v>11519825.755930908</v>
      </c>
      <c r="W37" s="395">
        <f t="shared" ca="1" si="19"/>
        <v>11574046.043826632</v>
      </c>
      <c r="X37" s="395">
        <f t="shared" ca="1" si="19"/>
        <v>11628487.231886828</v>
      </c>
      <c r="Y37" s="395">
        <f t="shared" ca="1" si="19"/>
        <v>11683150.220086111</v>
      </c>
      <c r="Z37" s="395">
        <f t="shared" ca="1" si="19"/>
        <v>11738035.9120657</v>
      </c>
      <c r="AA37" s="395">
        <f t="shared" ca="1" si="19"/>
        <v>11793145.215148365</v>
      </c>
      <c r="AB37" s="395">
        <f t="shared" ca="1" si="19"/>
        <v>11848479.040353421</v>
      </c>
      <c r="AC37" s="395">
        <f t="shared" ca="1" si="19"/>
        <v>11904038.302411785</v>
      </c>
      <c r="AD37" s="395">
        <f t="shared" ca="1" si="19"/>
        <v>11959823.919781102</v>
      </c>
      <c r="AE37" s="395">
        <f t="shared" ca="1" si="19"/>
        <v>12015836.814660929</v>
      </c>
      <c r="AF37" s="395">
        <f t="shared" ca="1" si="19"/>
        <v>12072077.913007976</v>
      </c>
      <c r="AG37" s="395">
        <f t="shared" ca="1" si="19"/>
        <v>12128548.144551419</v>
      </c>
      <c r="AH37" s="395">
        <f t="shared" ca="1" si="19"/>
        <v>12185248.442808261</v>
      </c>
      <c r="AI37" s="395">
        <f t="shared" ca="1" si="19"/>
        <v>12242179.745098772</v>
      </c>
      <c r="AJ37" s="395">
        <f t="shared" ca="1" si="19"/>
        <v>12299342.992561977</v>
      </c>
      <c r="AK37" s="395">
        <f t="shared" ca="1" si="19"/>
        <v>12356739.130171223</v>
      </c>
      <c r="AL37" s="395">
        <f t="shared" ca="1" si="19"/>
        <v>12414369.106749792</v>
      </c>
      <c r="AM37" s="395">
        <f t="shared" ca="1" si="19"/>
        <v>12472233.874986591</v>
      </c>
      <c r="AN37" s="395">
        <f t="shared" ca="1" si="19"/>
        <v>12530334.391451899</v>
      </c>
      <c r="AO37" s="395">
        <f t="shared" ca="1" si="19"/>
        <v>12581384.524813181</v>
      </c>
      <c r="AP37" s="395">
        <f t="shared" ca="1" si="19"/>
        <v>0</v>
      </c>
      <c r="AQ37" s="395">
        <f t="shared" ca="1" si="19"/>
        <v>0</v>
      </c>
      <c r="AR37" s="395">
        <f t="shared" ca="1" si="19"/>
        <v>0</v>
      </c>
      <c r="AS37" s="395">
        <f t="shared" ca="1" si="19"/>
        <v>0</v>
      </c>
      <c r="AT37" s="395">
        <f t="shared" ca="1" si="19"/>
        <v>0</v>
      </c>
      <c r="AU37" s="395">
        <f t="shared" ca="1" si="19"/>
        <v>0</v>
      </c>
      <c r="AV37" s="395">
        <f t="shared" ca="1" si="19"/>
        <v>0</v>
      </c>
      <c r="AW37" s="395">
        <f t="shared" ca="1" si="19"/>
        <v>0</v>
      </c>
      <c r="AX37" s="395">
        <f t="shared" ca="1" si="19"/>
        <v>0</v>
      </c>
      <c r="AY37" s="395">
        <f t="shared" ca="1" si="19"/>
        <v>0</v>
      </c>
      <c r="AZ37" s="395">
        <f t="shared" ca="1" si="19"/>
        <v>0</v>
      </c>
      <c r="BA37" s="395">
        <f t="shared" ca="1" si="19"/>
        <v>0</v>
      </c>
      <c r="BB37" s="395">
        <f t="shared" ca="1" si="19"/>
        <v>0</v>
      </c>
      <c r="BC37" s="395">
        <f t="shared" ca="1" si="19"/>
        <v>0</v>
      </c>
      <c r="BD37" s="395">
        <f t="shared" ca="1" si="19"/>
        <v>0</v>
      </c>
      <c r="BE37" s="395">
        <f t="shared" ca="1" si="19"/>
        <v>0</v>
      </c>
      <c r="BF37" s="395">
        <f t="shared" ca="1" si="19"/>
        <v>0</v>
      </c>
      <c r="BG37" s="395">
        <f t="shared" ca="1" si="19"/>
        <v>0</v>
      </c>
      <c r="BH37" s="395">
        <f t="shared" ca="1" si="19"/>
        <v>0</v>
      </c>
      <c r="BI37" s="395">
        <f t="shared" ca="1" si="19"/>
        <v>0</v>
      </c>
      <c r="BJ37" s="395">
        <f t="shared" ca="1" si="19"/>
        <v>0</v>
      </c>
      <c r="BK37" s="395">
        <f t="shared" ca="1" si="19"/>
        <v>0</v>
      </c>
      <c r="BL37" s="395">
        <f t="shared" ca="1" si="19"/>
        <v>0</v>
      </c>
      <c r="BM37" s="395">
        <f t="shared" ca="1" si="19"/>
        <v>0</v>
      </c>
      <c r="BN37" s="395">
        <f t="shared" ca="1" si="19"/>
        <v>0</v>
      </c>
      <c r="BO37" s="395">
        <f t="shared" ca="1" si="19"/>
        <v>0</v>
      </c>
      <c r="BP37" s="395">
        <f t="shared" ca="1" si="19"/>
        <v>0</v>
      </c>
      <c r="BQ37" s="395">
        <f t="shared" ca="1" si="19"/>
        <v>0</v>
      </c>
      <c r="BR37" s="395">
        <f t="shared" ref="BR37:CK37" ca="1" si="20">MAX(BQ37+BQ39+BR34+BR35,0)</f>
        <v>0</v>
      </c>
      <c r="BS37" s="395">
        <f t="shared" ca="1" si="20"/>
        <v>0</v>
      </c>
      <c r="BT37" s="395">
        <f t="shared" ca="1" si="20"/>
        <v>0</v>
      </c>
      <c r="BU37" s="395">
        <f t="shared" ca="1" si="20"/>
        <v>0</v>
      </c>
      <c r="BV37" s="395">
        <f t="shared" ca="1" si="20"/>
        <v>0</v>
      </c>
      <c r="BW37" s="395">
        <f t="shared" ca="1" si="20"/>
        <v>0</v>
      </c>
      <c r="BX37" s="395">
        <f t="shared" ca="1" si="20"/>
        <v>0</v>
      </c>
      <c r="BY37" s="395">
        <f t="shared" ca="1" si="20"/>
        <v>0</v>
      </c>
      <c r="BZ37" s="395">
        <f t="shared" ca="1" si="20"/>
        <v>0</v>
      </c>
      <c r="CA37" s="395">
        <f t="shared" ca="1" si="20"/>
        <v>0</v>
      </c>
      <c r="CB37" s="395">
        <f t="shared" ca="1" si="20"/>
        <v>0</v>
      </c>
      <c r="CC37" s="395">
        <f t="shared" ca="1" si="20"/>
        <v>0</v>
      </c>
      <c r="CD37" s="395">
        <f t="shared" ca="1" si="20"/>
        <v>0</v>
      </c>
      <c r="CE37" s="395">
        <f t="shared" ca="1" si="20"/>
        <v>0</v>
      </c>
      <c r="CF37" s="395">
        <f t="shared" ca="1" si="20"/>
        <v>0</v>
      </c>
      <c r="CG37" s="395">
        <f t="shared" ca="1" si="20"/>
        <v>0</v>
      </c>
      <c r="CH37" s="395">
        <f t="shared" ca="1" si="20"/>
        <v>0</v>
      </c>
      <c r="CI37" s="395">
        <f t="shared" ca="1" si="20"/>
        <v>0</v>
      </c>
      <c r="CJ37" s="395">
        <f t="shared" ca="1" si="20"/>
        <v>0</v>
      </c>
      <c r="CK37" s="395">
        <f t="shared" ca="1" si="20"/>
        <v>0</v>
      </c>
      <c r="CL37" s="133" t="s">
        <v>15</v>
      </c>
    </row>
    <row r="38" spans="2:90" outlineLevel="1" x14ac:dyDescent="0.2">
      <c r="B38" s="133" t="s">
        <v>362</v>
      </c>
      <c r="E38" s="395">
        <f ca="1">MAX(D38+D39+E34+E36,0)</f>
        <v>4197716.2381649464</v>
      </c>
      <c r="F38" s="395">
        <f t="shared" ref="F38:BQ38" ca="1" si="21">MAX(E38+E39+F34+F36,0)</f>
        <v>4358244.3392264461</v>
      </c>
      <c r="G38" s="395">
        <f t="shared" ca="1" si="21"/>
        <v>4518877.5495237857</v>
      </c>
      <c r="H38" s="395">
        <f t="shared" ca="1" si="21"/>
        <v>4717418.9154227152</v>
      </c>
      <c r="I38" s="395">
        <f t="shared" ca="1" si="21"/>
        <v>5077684.9569441443</v>
      </c>
      <c r="J38" s="395">
        <f t="shared" ca="1" si="21"/>
        <v>5383011.9130727155</v>
      </c>
      <c r="K38" s="395">
        <f t="shared" ca="1" si="21"/>
        <v>5899492.600008429</v>
      </c>
      <c r="L38" s="395">
        <f t="shared" ca="1" si="21"/>
        <v>6688258.9918303648</v>
      </c>
      <c r="M38" s="395">
        <f t="shared" ca="1" si="21"/>
        <v>7477548.2922885222</v>
      </c>
      <c r="N38" s="395">
        <f t="shared" ca="1" si="21"/>
        <v>8267360.5013829023</v>
      </c>
      <c r="O38" s="395">
        <f t="shared" ca="1" si="21"/>
        <v>9057695.619113503</v>
      </c>
      <c r="P38" s="395">
        <f t="shared" ca="1" si="21"/>
        <v>9848553.6454803254</v>
      </c>
      <c r="Q38" s="395">
        <f t="shared" ca="1" si="21"/>
        <v>10639934.580483371</v>
      </c>
      <c r="R38" s="395">
        <f t="shared" ca="1" si="21"/>
        <v>11857489.857692637</v>
      </c>
      <c r="S38" s="395">
        <f t="shared" ca="1" si="21"/>
        <v>13207225.521358125</v>
      </c>
      <c r="T38" s="395">
        <f t="shared" ca="1" si="21"/>
        <v>13801912.511935191</v>
      </c>
      <c r="U38" s="395">
        <f t="shared" ca="1" si="21"/>
        <v>13811021.376685191</v>
      </c>
      <c r="V38" s="395">
        <f t="shared" ca="1" si="21"/>
        <v>13820130.241435191</v>
      </c>
      <c r="W38" s="395">
        <f t="shared" ca="1" si="21"/>
        <v>13829239.10618519</v>
      </c>
      <c r="X38" s="395">
        <f t="shared" ca="1" si="21"/>
        <v>13838347.97093519</v>
      </c>
      <c r="Y38" s="395">
        <f t="shared" ca="1" si="21"/>
        <v>13847456.83568519</v>
      </c>
      <c r="Z38" s="395">
        <f t="shared" ca="1" si="21"/>
        <v>13856565.70043519</v>
      </c>
      <c r="AA38" s="395">
        <f t="shared" ca="1" si="21"/>
        <v>13865674.565185189</v>
      </c>
      <c r="AB38" s="395">
        <f t="shared" ca="1" si="21"/>
        <v>13874783.429935189</v>
      </c>
      <c r="AC38" s="395">
        <f t="shared" ca="1" si="21"/>
        <v>13883892.294685189</v>
      </c>
      <c r="AD38" s="395">
        <f t="shared" ca="1" si="21"/>
        <v>13893001.159435188</v>
      </c>
      <c r="AE38" s="395">
        <f t="shared" ca="1" si="21"/>
        <v>13902110.024185188</v>
      </c>
      <c r="AF38" s="395">
        <f t="shared" ca="1" si="21"/>
        <v>13911218.888935188</v>
      </c>
      <c r="AG38" s="395">
        <f t="shared" ca="1" si="21"/>
        <v>13920327.753685188</v>
      </c>
      <c r="AH38" s="395">
        <f t="shared" ca="1" si="21"/>
        <v>13929436.618435187</v>
      </c>
      <c r="AI38" s="395">
        <f t="shared" ca="1" si="21"/>
        <v>13938545.483185187</v>
      </c>
      <c r="AJ38" s="395">
        <f t="shared" ca="1" si="21"/>
        <v>13947654.347935187</v>
      </c>
      <c r="AK38" s="395">
        <f t="shared" ca="1" si="21"/>
        <v>13956763.212685186</v>
      </c>
      <c r="AL38" s="395">
        <f t="shared" ca="1" si="21"/>
        <v>13965872.077435186</v>
      </c>
      <c r="AM38" s="395">
        <f t="shared" ca="1" si="21"/>
        <v>13974980.942185186</v>
      </c>
      <c r="AN38" s="395">
        <f t="shared" ca="1" si="21"/>
        <v>13984089.806935186</v>
      </c>
      <c r="AO38" s="395">
        <f t="shared" ca="1" si="21"/>
        <v>13984089.806935186</v>
      </c>
      <c r="AP38" s="395">
        <f t="shared" ca="1" si="21"/>
        <v>0</v>
      </c>
      <c r="AQ38" s="395">
        <f t="shared" ca="1" si="21"/>
        <v>0</v>
      </c>
      <c r="AR38" s="395">
        <f t="shared" ca="1" si="21"/>
        <v>0</v>
      </c>
      <c r="AS38" s="395">
        <f t="shared" ca="1" si="21"/>
        <v>0</v>
      </c>
      <c r="AT38" s="395">
        <f t="shared" ca="1" si="21"/>
        <v>0</v>
      </c>
      <c r="AU38" s="395">
        <f t="shared" ca="1" si="21"/>
        <v>0</v>
      </c>
      <c r="AV38" s="395">
        <f t="shared" ca="1" si="21"/>
        <v>0</v>
      </c>
      <c r="AW38" s="395">
        <f t="shared" ca="1" si="21"/>
        <v>0</v>
      </c>
      <c r="AX38" s="395">
        <f t="shared" ca="1" si="21"/>
        <v>0</v>
      </c>
      <c r="AY38" s="395">
        <f t="shared" ca="1" si="21"/>
        <v>0</v>
      </c>
      <c r="AZ38" s="395">
        <f t="shared" ca="1" si="21"/>
        <v>0</v>
      </c>
      <c r="BA38" s="395">
        <f t="shared" ca="1" si="21"/>
        <v>0</v>
      </c>
      <c r="BB38" s="395">
        <f t="shared" ca="1" si="21"/>
        <v>0</v>
      </c>
      <c r="BC38" s="395">
        <f t="shared" ca="1" si="21"/>
        <v>0</v>
      </c>
      <c r="BD38" s="395">
        <f t="shared" ca="1" si="21"/>
        <v>0</v>
      </c>
      <c r="BE38" s="395">
        <f t="shared" ca="1" si="21"/>
        <v>0</v>
      </c>
      <c r="BF38" s="395">
        <f t="shared" ca="1" si="21"/>
        <v>0</v>
      </c>
      <c r="BG38" s="395">
        <f t="shared" ca="1" si="21"/>
        <v>0</v>
      </c>
      <c r="BH38" s="395">
        <f t="shared" ca="1" si="21"/>
        <v>0</v>
      </c>
      <c r="BI38" s="395">
        <f t="shared" ca="1" si="21"/>
        <v>0</v>
      </c>
      <c r="BJ38" s="395">
        <f t="shared" ca="1" si="21"/>
        <v>0</v>
      </c>
      <c r="BK38" s="395">
        <f t="shared" ca="1" si="21"/>
        <v>0</v>
      </c>
      <c r="BL38" s="395">
        <f t="shared" ca="1" si="21"/>
        <v>0</v>
      </c>
      <c r="BM38" s="395">
        <f t="shared" ca="1" si="21"/>
        <v>0</v>
      </c>
      <c r="BN38" s="395">
        <f t="shared" ca="1" si="21"/>
        <v>0</v>
      </c>
      <c r="BO38" s="395">
        <f t="shared" ca="1" si="21"/>
        <v>0</v>
      </c>
      <c r="BP38" s="395">
        <f t="shared" ca="1" si="21"/>
        <v>0</v>
      </c>
      <c r="BQ38" s="395">
        <f t="shared" ca="1" si="21"/>
        <v>0</v>
      </c>
      <c r="BR38" s="395">
        <f t="shared" ref="BR38:CK38" ca="1" si="22">MAX(BQ38+BQ39+BR34+BR36,0)</f>
        <v>0</v>
      </c>
      <c r="BS38" s="395">
        <f t="shared" ca="1" si="22"/>
        <v>0</v>
      </c>
      <c r="BT38" s="395">
        <f t="shared" ca="1" si="22"/>
        <v>0</v>
      </c>
      <c r="BU38" s="395">
        <f t="shared" ca="1" si="22"/>
        <v>0</v>
      </c>
      <c r="BV38" s="395">
        <f t="shared" ca="1" si="22"/>
        <v>0</v>
      </c>
      <c r="BW38" s="395">
        <f t="shared" ca="1" si="22"/>
        <v>0</v>
      </c>
      <c r="BX38" s="395">
        <f t="shared" ca="1" si="22"/>
        <v>0</v>
      </c>
      <c r="BY38" s="395">
        <f t="shared" ca="1" si="22"/>
        <v>0</v>
      </c>
      <c r="BZ38" s="395">
        <f t="shared" ca="1" si="22"/>
        <v>0</v>
      </c>
      <c r="CA38" s="395">
        <f t="shared" ca="1" si="22"/>
        <v>0</v>
      </c>
      <c r="CB38" s="395">
        <f t="shared" ca="1" si="22"/>
        <v>0</v>
      </c>
      <c r="CC38" s="395">
        <f t="shared" ca="1" si="22"/>
        <v>0</v>
      </c>
      <c r="CD38" s="395">
        <f t="shared" ca="1" si="22"/>
        <v>0</v>
      </c>
      <c r="CE38" s="395">
        <f t="shared" ca="1" si="22"/>
        <v>0</v>
      </c>
      <c r="CF38" s="395">
        <f t="shared" ca="1" si="22"/>
        <v>0</v>
      </c>
      <c r="CG38" s="395">
        <f t="shared" ca="1" si="22"/>
        <v>0</v>
      </c>
      <c r="CH38" s="395">
        <f t="shared" ca="1" si="22"/>
        <v>0</v>
      </c>
      <c r="CI38" s="395">
        <f t="shared" ca="1" si="22"/>
        <v>0</v>
      </c>
      <c r="CJ38" s="395">
        <f t="shared" ca="1" si="22"/>
        <v>0</v>
      </c>
      <c r="CK38" s="395">
        <f t="shared" ca="1" si="22"/>
        <v>0</v>
      </c>
      <c r="CL38" s="133" t="s">
        <v>15</v>
      </c>
    </row>
    <row r="39" spans="2:90" ht="15" customHeight="1" outlineLevel="1" x14ac:dyDescent="0.2">
      <c r="B39" s="133" t="s">
        <v>263</v>
      </c>
      <c r="C39" s="133"/>
      <c r="D39" s="133"/>
      <c r="E39" s="395">
        <f t="shared" ref="E39:AJ39" ca="1" si="23">-MIN(MAX(E37:E38),E31*Tier1_CoInvestorPctCF_Case2)</f>
        <v>0</v>
      </c>
      <c r="F39" s="395">
        <f t="shared" ca="1" si="23"/>
        <v>0</v>
      </c>
      <c r="G39" s="395">
        <f t="shared" ca="1" si="23"/>
        <v>0</v>
      </c>
      <c r="H39" s="395">
        <f t="shared" ca="1" si="23"/>
        <v>0</v>
      </c>
      <c r="I39" s="395">
        <f t="shared" ca="1" si="23"/>
        <v>0</v>
      </c>
      <c r="J39" s="395">
        <f t="shared" ca="1" si="23"/>
        <v>0</v>
      </c>
      <c r="K39" s="395">
        <f t="shared" ca="1" si="23"/>
        <v>0</v>
      </c>
      <c r="L39" s="395">
        <f t="shared" ca="1" si="23"/>
        <v>0</v>
      </c>
      <c r="M39" s="395">
        <f t="shared" ca="1" si="23"/>
        <v>0</v>
      </c>
      <c r="N39" s="395">
        <f t="shared" ca="1" si="23"/>
        <v>0</v>
      </c>
      <c r="O39" s="395">
        <f t="shared" ca="1" si="23"/>
        <v>0</v>
      </c>
      <c r="P39" s="395">
        <f t="shared" ca="1" si="23"/>
        <v>0</v>
      </c>
      <c r="Q39" s="395">
        <f t="shared" ca="1" si="23"/>
        <v>0</v>
      </c>
      <c r="R39" s="395">
        <f t="shared" ca="1" si="23"/>
        <v>0</v>
      </c>
      <c r="S39" s="395">
        <f t="shared" ca="1" si="23"/>
        <v>0</v>
      </c>
      <c r="T39" s="395">
        <f t="shared" ca="1" si="23"/>
        <v>0</v>
      </c>
      <c r="U39" s="395">
        <f t="shared" ca="1" si="23"/>
        <v>0</v>
      </c>
      <c r="V39" s="395">
        <f t="shared" ca="1" si="23"/>
        <v>0</v>
      </c>
      <c r="W39" s="395">
        <f t="shared" ca="1" si="23"/>
        <v>0</v>
      </c>
      <c r="X39" s="395">
        <f t="shared" ca="1" si="23"/>
        <v>0</v>
      </c>
      <c r="Y39" s="395">
        <f t="shared" ca="1" si="23"/>
        <v>0</v>
      </c>
      <c r="Z39" s="395">
        <f t="shared" ca="1" si="23"/>
        <v>0</v>
      </c>
      <c r="AA39" s="395">
        <f t="shared" ca="1" si="23"/>
        <v>0</v>
      </c>
      <c r="AB39" s="395">
        <f t="shared" ca="1" si="23"/>
        <v>0</v>
      </c>
      <c r="AC39" s="395">
        <f t="shared" ca="1" si="23"/>
        <v>0</v>
      </c>
      <c r="AD39" s="395">
        <f t="shared" ca="1" si="23"/>
        <v>0</v>
      </c>
      <c r="AE39" s="395">
        <f t="shared" ca="1" si="23"/>
        <v>0</v>
      </c>
      <c r="AF39" s="395">
        <f t="shared" ca="1" si="23"/>
        <v>0</v>
      </c>
      <c r="AG39" s="395">
        <f t="shared" ca="1" si="23"/>
        <v>0</v>
      </c>
      <c r="AH39" s="395">
        <f t="shared" ca="1" si="23"/>
        <v>0</v>
      </c>
      <c r="AI39" s="395">
        <f t="shared" ca="1" si="23"/>
        <v>0</v>
      </c>
      <c r="AJ39" s="395">
        <f t="shared" ca="1" si="23"/>
        <v>0</v>
      </c>
      <c r="AK39" s="395">
        <f t="shared" ref="AK39:BP39" ca="1" si="24">-MIN(MAX(AK37:AK38),AK31*Tier1_CoInvestorPctCF_Case2)</f>
        <v>0</v>
      </c>
      <c r="AL39" s="395">
        <f t="shared" ca="1" si="24"/>
        <v>0</v>
      </c>
      <c r="AM39" s="395">
        <f t="shared" ca="1" si="24"/>
        <v>0</v>
      </c>
      <c r="AN39" s="395">
        <f t="shared" ca="1" si="24"/>
        <v>0</v>
      </c>
      <c r="AO39" s="395">
        <f t="shared" ca="1" si="24"/>
        <v>-13984089.806935186</v>
      </c>
      <c r="AP39" s="395">
        <f t="shared" ca="1" si="24"/>
        <v>0</v>
      </c>
      <c r="AQ39" s="395">
        <f t="shared" ca="1" si="24"/>
        <v>0</v>
      </c>
      <c r="AR39" s="395">
        <f t="shared" ca="1" si="24"/>
        <v>0</v>
      </c>
      <c r="AS39" s="395">
        <f t="shared" ca="1" si="24"/>
        <v>0</v>
      </c>
      <c r="AT39" s="395">
        <f t="shared" ca="1" si="24"/>
        <v>0</v>
      </c>
      <c r="AU39" s="395">
        <f t="shared" ca="1" si="24"/>
        <v>0</v>
      </c>
      <c r="AV39" s="395">
        <f t="shared" ca="1" si="24"/>
        <v>0</v>
      </c>
      <c r="AW39" s="395">
        <f t="shared" ca="1" si="24"/>
        <v>0</v>
      </c>
      <c r="AX39" s="395">
        <f t="shared" ca="1" si="24"/>
        <v>0</v>
      </c>
      <c r="AY39" s="395">
        <f t="shared" ca="1" si="24"/>
        <v>0</v>
      </c>
      <c r="AZ39" s="395">
        <f t="shared" ca="1" si="24"/>
        <v>0</v>
      </c>
      <c r="BA39" s="395">
        <f t="shared" ca="1" si="24"/>
        <v>0</v>
      </c>
      <c r="BB39" s="395">
        <f t="shared" ca="1" si="24"/>
        <v>0</v>
      </c>
      <c r="BC39" s="395">
        <f t="shared" ca="1" si="24"/>
        <v>0</v>
      </c>
      <c r="BD39" s="395">
        <f t="shared" ca="1" si="24"/>
        <v>0</v>
      </c>
      <c r="BE39" s="395">
        <f t="shared" ca="1" si="24"/>
        <v>0</v>
      </c>
      <c r="BF39" s="395">
        <f t="shared" ca="1" si="24"/>
        <v>0</v>
      </c>
      <c r="BG39" s="395">
        <f t="shared" ca="1" si="24"/>
        <v>0</v>
      </c>
      <c r="BH39" s="395">
        <f t="shared" ca="1" si="24"/>
        <v>0</v>
      </c>
      <c r="BI39" s="395">
        <f t="shared" ca="1" si="24"/>
        <v>0</v>
      </c>
      <c r="BJ39" s="395">
        <f t="shared" ca="1" si="24"/>
        <v>0</v>
      </c>
      <c r="BK39" s="395">
        <f t="shared" ca="1" si="24"/>
        <v>0</v>
      </c>
      <c r="BL39" s="395">
        <f t="shared" ca="1" si="24"/>
        <v>0</v>
      </c>
      <c r="BM39" s="395">
        <f t="shared" ca="1" si="24"/>
        <v>0</v>
      </c>
      <c r="BN39" s="395">
        <f t="shared" ca="1" si="24"/>
        <v>0</v>
      </c>
      <c r="BO39" s="395">
        <f t="shared" ca="1" si="24"/>
        <v>0</v>
      </c>
      <c r="BP39" s="395">
        <f t="shared" ca="1" si="24"/>
        <v>0</v>
      </c>
      <c r="BQ39" s="395">
        <f t="shared" ref="BQ39:CK39" ca="1" si="25">-MIN(MAX(BQ37:BQ38),BQ31*Tier1_CoInvestorPctCF_Case2)</f>
        <v>0</v>
      </c>
      <c r="BR39" s="395">
        <f t="shared" ca="1" si="25"/>
        <v>0</v>
      </c>
      <c r="BS39" s="395">
        <f t="shared" ca="1" si="25"/>
        <v>0</v>
      </c>
      <c r="BT39" s="395">
        <f t="shared" ca="1" si="25"/>
        <v>0</v>
      </c>
      <c r="BU39" s="395">
        <f t="shared" ca="1" si="25"/>
        <v>0</v>
      </c>
      <c r="BV39" s="395">
        <f t="shared" ca="1" si="25"/>
        <v>0</v>
      </c>
      <c r="BW39" s="395">
        <f t="shared" ca="1" si="25"/>
        <v>0</v>
      </c>
      <c r="BX39" s="395">
        <f t="shared" ca="1" si="25"/>
        <v>0</v>
      </c>
      <c r="BY39" s="395">
        <f t="shared" ca="1" si="25"/>
        <v>0</v>
      </c>
      <c r="BZ39" s="395">
        <f t="shared" ca="1" si="25"/>
        <v>0</v>
      </c>
      <c r="CA39" s="395">
        <f t="shared" ca="1" si="25"/>
        <v>0</v>
      </c>
      <c r="CB39" s="395">
        <f t="shared" ca="1" si="25"/>
        <v>0</v>
      </c>
      <c r="CC39" s="395">
        <f t="shared" ca="1" si="25"/>
        <v>0</v>
      </c>
      <c r="CD39" s="395">
        <f t="shared" ca="1" si="25"/>
        <v>0</v>
      </c>
      <c r="CE39" s="395">
        <f t="shared" ca="1" si="25"/>
        <v>0</v>
      </c>
      <c r="CF39" s="395">
        <f t="shared" ca="1" si="25"/>
        <v>0</v>
      </c>
      <c r="CG39" s="395">
        <f t="shared" ca="1" si="25"/>
        <v>0</v>
      </c>
      <c r="CH39" s="395">
        <f t="shared" ca="1" si="25"/>
        <v>0</v>
      </c>
      <c r="CI39" s="395">
        <f t="shared" ca="1" si="25"/>
        <v>0</v>
      </c>
      <c r="CJ39" s="395">
        <f t="shared" ca="1" si="25"/>
        <v>0</v>
      </c>
      <c r="CK39" s="395">
        <f t="shared" ca="1" si="25"/>
        <v>0</v>
      </c>
      <c r="CL39" s="133" t="s">
        <v>15</v>
      </c>
    </row>
    <row r="40" spans="2:90" ht="15" customHeight="1" outlineLevel="1" x14ac:dyDescent="0.2">
      <c r="B40" s="133" t="s">
        <v>264</v>
      </c>
      <c r="C40" s="133"/>
      <c r="D40" s="133"/>
      <c r="E40" s="395">
        <f ca="1">MAX(E37:E38)+E39</f>
        <v>4197716.2381649464</v>
      </c>
      <c r="F40" s="395">
        <f t="shared" ref="F40:BQ40" ca="1" si="26">MAX(F37:F38)+F39</f>
        <v>4358244.3392264461</v>
      </c>
      <c r="G40" s="395">
        <f t="shared" ca="1" si="26"/>
        <v>4518877.5495237857</v>
      </c>
      <c r="H40" s="395">
        <f t="shared" ca="1" si="26"/>
        <v>4717418.9154227152</v>
      </c>
      <c r="I40" s="395">
        <f t="shared" ca="1" si="26"/>
        <v>5077684.9569441443</v>
      </c>
      <c r="J40" s="395">
        <f t="shared" ca="1" si="26"/>
        <v>5383011.9130727155</v>
      </c>
      <c r="K40" s="395">
        <f t="shared" ca="1" si="26"/>
        <v>5899492.600008429</v>
      </c>
      <c r="L40" s="395">
        <f t="shared" ca="1" si="26"/>
        <v>6688258.9918303648</v>
      </c>
      <c r="M40" s="395">
        <f t="shared" ca="1" si="26"/>
        <v>7477548.2922885222</v>
      </c>
      <c r="N40" s="395">
        <f t="shared" ca="1" si="26"/>
        <v>8267360.5013829023</v>
      </c>
      <c r="O40" s="395">
        <f t="shared" ca="1" si="26"/>
        <v>9057695.619113503</v>
      </c>
      <c r="P40" s="395">
        <f t="shared" ca="1" si="26"/>
        <v>9848553.6454803254</v>
      </c>
      <c r="Q40" s="395">
        <f t="shared" ca="1" si="26"/>
        <v>10639934.580483371</v>
      </c>
      <c r="R40" s="395">
        <f t="shared" ca="1" si="26"/>
        <v>11857489.857692637</v>
      </c>
      <c r="S40" s="395">
        <f t="shared" ca="1" si="26"/>
        <v>13207225.521358125</v>
      </c>
      <c r="T40" s="395">
        <f t="shared" ca="1" si="26"/>
        <v>13801912.511935191</v>
      </c>
      <c r="U40" s="395">
        <f t="shared" ca="1" si="26"/>
        <v>13811021.376685191</v>
      </c>
      <c r="V40" s="395">
        <f t="shared" ca="1" si="26"/>
        <v>13820130.241435191</v>
      </c>
      <c r="W40" s="395">
        <f t="shared" ca="1" si="26"/>
        <v>13829239.10618519</v>
      </c>
      <c r="X40" s="395">
        <f t="shared" ca="1" si="26"/>
        <v>13838347.97093519</v>
      </c>
      <c r="Y40" s="395">
        <f t="shared" ca="1" si="26"/>
        <v>13847456.83568519</v>
      </c>
      <c r="Z40" s="395">
        <f t="shared" ca="1" si="26"/>
        <v>13856565.70043519</v>
      </c>
      <c r="AA40" s="395">
        <f t="shared" ca="1" si="26"/>
        <v>13865674.565185189</v>
      </c>
      <c r="AB40" s="395">
        <f t="shared" ca="1" si="26"/>
        <v>13874783.429935189</v>
      </c>
      <c r="AC40" s="395">
        <f t="shared" ca="1" si="26"/>
        <v>13883892.294685189</v>
      </c>
      <c r="AD40" s="395">
        <f t="shared" ca="1" si="26"/>
        <v>13893001.159435188</v>
      </c>
      <c r="AE40" s="395">
        <f t="shared" ca="1" si="26"/>
        <v>13902110.024185188</v>
      </c>
      <c r="AF40" s="395">
        <f t="shared" ca="1" si="26"/>
        <v>13911218.888935188</v>
      </c>
      <c r="AG40" s="395">
        <f t="shared" ca="1" si="26"/>
        <v>13920327.753685188</v>
      </c>
      <c r="AH40" s="395">
        <f t="shared" ca="1" si="26"/>
        <v>13929436.618435187</v>
      </c>
      <c r="AI40" s="395">
        <f t="shared" ca="1" si="26"/>
        <v>13938545.483185187</v>
      </c>
      <c r="AJ40" s="395">
        <f t="shared" ca="1" si="26"/>
        <v>13947654.347935187</v>
      </c>
      <c r="AK40" s="395">
        <f t="shared" ca="1" si="26"/>
        <v>13956763.212685186</v>
      </c>
      <c r="AL40" s="395">
        <f t="shared" ca="1" si="26"/>
        <v>13965872.077435186</v>
      </c>
      <c r="AM40" s="395">
        <f t="shared" ca="1" si="26"/>
        <v>13974980.942185186</v>
      </c>
      <c r="AN40" s="395">
        <f t="shared" ca="1" si="26"/>
        <v>13984089.806935186</v>
      </c>
      <c r="AO40" s="395">
        <f t="shared" ca="1" si="26"/>
        <v>0</v>
      </c>
      <c r="AP40" s="395">
        <f t="shared" ca="1" si="26"/>
        <v>0</v>
      </c>
      <c r="AQ40" s="395">
        <f t="shared" ca="1" si="26"/>
        <v>0</v>
      </c>
      <c r="AR40" s="395">
        <f t="shared" ca="1" si="26"/>
        <v>0</v>
      </c>
      <c r="AS40" s="395">
        <f t="shared" ca="1" si="26"/>
        <v>0</v>
      </c>
      <c r="AT40" s="395">
        <f t="shared" ca="1" si="26"/>
        <v>0</v>
      </c>
      <c r="AU40" s="395">
        <f t="shared" ca="1" si="26"/>
        <v>0</v>
      </c>
      <c r="AV40" s="395">
        <f t="shared" ca="1" si="26"/>
        <v>0</v>
      </c>
      <c r="AW40" s="395">
        <f t="shared" ca="1" si="26"/>
        <v>0</v>
      </c>
      <c r="AX40" s="395">
        <f t="shared" ca="1" si="26"/>
        <v>0</v>
      </c>
      <c r="AY40" s="395">
        <f t="shared" ca="1" si="26"/>
        <v>0</v>
      </c>
      <c r="AZ40" s="395">
        <f t="shared" ca="1" si="26"/>
        <v>0</v>
      </c>
      <c r="BA40" s="395">
        <f t="shared" ca="1" si="26"/>
        <v>0</v>
      </c>
      <c r="BB40" s="395">
        <f t="shared" ca="1" si="26"/>
        <v>0</v>
      </c>
      <c r="BC40" s="395">
        <f t="shared" ca="1" si="26"/>
        <v>0</v>
      </c>
      <c r="BD40" s="395">
        <f t="shared" ca="1" si="26"/>
        <v>0</v>
      </c>
      <c r="BE40" s="395">
        <f t="shared" ca="1" si="26"/>
        <v>0</v>
      </c>
      <c r="BF40" s="395">
        <f t="shared" ca="1" si="26"/>
        <v>0</v>
      </c>
      <c r="BG40" s="395">
        <f t="shared" ca="1" si="26"/>
        <v>0</v>
      </c>
      <c r="BH40" s="395">
        <f t="shared" ca="1" si="26"/>
        <v>0</v>
      </c>
      <c r="BI40" s="395">
        <f t="shared" ca="1" si="26"/>
        <v>0</v>
      </c>
      <c r="BJ40" s="395">
        <f t="shared" ca="1" si="26"/>
        <v>0</v>
      </c>
      <c r="BK40" s="395">
        <f t="shared" ca="1" si="26"/>
        <v>0</v>
      </c>
      <c r="BL40" s="395">
        <f t="shared" ca="1" si="26"/>
        <v>0</v>
      </c>
      <c r="BM40" s="395">
        <f t="shared" ca="1" si="26"/>
        <v>0</v>
      </c>
      <c r="BN40" s="395">
        <f t="shared" ca="1" si="26"/>
        <v>0</v>
      </c>
      <c r="BO40" s="395">
        <f t="shared" ca="1" si="26"/>
        <v>0</v>
      </c>
      <c r="BP40" s="395">
        <f t="shared" ca="1" si="26"/>
        <v>0</v>
      </c>
      <c r="BQ40" s="395">
        <f t="shared" ca="1" si="26"/>
        <v>0</v>
      </c>
      <c r="BR40" s="395">
        <f t="shared" ref="BR40:CK40" ca="1" si="27">MAX(BR37:BR38)+BR39</f>
        <v>0</v>
      </c>
      <c r="BS40" s="395">
        <f t="shared" ca="1" si="27"/>
        <v>0</v>
      </c>
      <c r="BT40" s="395">
        <f t="shared" ca="1" si="27"/>
        <v>0</v>
      </c>
      <c r="BU40" s="395">
        <f t="shared" ca="1" si="27"/>
        <v>0</v>
      </c>
      <c r="BV40" s="395">
        <f t="shared" ca="1" si="27"/>
        <v>0</v>
      </c>
      <c r="BW40" s="395">
        <f t="shared" ca="1" si="27"/>
        <v>0</v>
      </c>
      <c r="BX40" s="395">
        <f t="shared" ca="1" si="27"/>
        <v>0</v>
      </c>
      <c r="BY40" s="395">
        <f t="shared" ca="1" si="27"/>
        <v>0</v>
      </c>
      <c r="BZ40" s="395">
        <f t="shared" ca="1" si="27"/>
        <v>0</v>
      </c>
      <c r="CA40" s="395">
        <f t="shared" ca="1" si="27"/>
        <v>0</v>
      </c>
      <c r="CB40" s="395">
        <f t="shared" ca="1" si="27"/>
        <v>0</v>
      </c>
      <c r="CC40" s="395">
        <f t="shared" ca="1" si="27"/>
        <v>0</v>
      </c>
      <c r="CD40" s="395">
        <f t="shared" ca="1" si="27"/>
        <v>0</v>
      </c>
      <c r="CE40" s="395">
        <f t="shared" ca="1" si="27"/>
        <v>0</v>
      </c>
      <c r="CF40" s="395">
        <f t="shared" ca="1" si="27"/>
        <v>0</v>
      </c>
      <c r="CG40" s="395">
        <f t="shared" ca="1" si="27"/>
        <v>0</v>
      </c>
      <c r="CH40" s="395">
        <f t="shared" ca="1" si="27"/>
        <v>0</v>
      </c>
      <c r="CI40" s="395">
        <f t="shared" ca="1" si="27"/>
        <v>0</v>
      </c>
      <c r="CJ40" s="395">
        <f t="shared" ca="1" si="27"/>
        <v>0</v>
      </c>
      <c r="CK40" s="395">
        <f t="shared" ca="1" si="27"/>
        <v>0</v>
      </c>
      <c r="CL40" s="133" t="s">
        <v>15</v>
      </c>
    </row>
    <row r="41" spans="2:90" ht="15" customHeight="1" outlineLevel="1" x14ac:dyDescent="0.2">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row>
    <row r="42" spans="2:90" ht="15" customHeight="1" outlineLevel="1" x14ac:dyDescent="0.2">
      <c r="B42" s="133" t="s">
        <v>265</v>
      </c>
      <c r="C42" s="133"/>
      <c r="D42" s="133"/>
      <c r="E42" s="395">
        <f ca="1">-E39</f>
        <v>0</v>
      </c>
      <c r="F42" s="395">
        <f t="shared" ref="F42:BQ42" ca="1" si="28">-F39</f>
        <v>0</v>
      </c>
      <c r="G42" s="395">
        <f t="shared" ca="1" si="28"/>
        <v>0</v>
      </c>
      <c r="H42" s="395">
        <f t="shared" ca="1" si="28"/>
        <v>0</v>
      </c>
      <c r="I42" s="395">
        <f t="shared" ca="1" si="28"/>
        <v>0</v>
      </c>
      <c r="J42" s="395">
        <f t="shared" ca="1" si="28"/>
        <v>0</v>
      </c>
      <c r="K42" s="395">
        <f t="shared" ca="1" si="28"/>
        <v>0</v>
      </c>
      <c r="L42" s="395">
        <f t="shared" ca="1" si="28"/>
        <v>0</v>
      </c>
      <c r="M42" s="395">
        <f t="shared" ca="1" si="28"/>
        <v>0</v>
      </c>
      <c r="N42" s="395">
        <f t="shared" ca="1" si="28"/>
        <v>0</v>
      </c>
      <c r="O42" s="395">
        <f t="shared" ca="1" si="28"/>
        <v>0</v>
      </c>
      <c r="P42" s="395">
        <f t="shared" ca="1" si="28"/>
        <v>0</v>
      </c>
      <c r="Q42" s="395">
        <f t="shared" ca="1" si="28"/>
        <v>0</v>
      </c>
      <c r="R42" s="395">
        <f t="shared" ca="1" si="28"/>
        <v>0</v>
      </c>
      <c r="S42" s="395">
        <f t="shared" ca="1" si="28"/>
        <v>0</v>
      </c>
      <c r="T42" s="395">
        <f t="shared" ca="1" si="28"/>
        <v>0</v>
      </c>
      <c r="U42" s="395">
        <f t="shared" ca="1" si="28"/>
        <v>0</v>
      </c>
      <c r="V42" s="395">
        <f t="shared" ca="1" si="28"/>
        <v>0</v>
      </c>
      <c r="W42" s="395">
        <f t="shared" ca="1" si="28"/>
        <v>0</v>
      </c>
      <c r="X42" s="395">
        <f t="shared" ca="1" si="28"/>
        <v>0</v>
      </c>
      <c r="Y42" s="395">
        <f t="shared" ca="1" si="28"/>
        <v>0</v>
      </c>
      <c r="Z42" s="395">
        <f t="shared" ca="1" si="28"/>
        <v>0</v>
      </c>
      <c r="AA42" s="395">
        <f t="shared" ca="1" si="28"/>
        <v>0</v>
      </c>
      <c r="AB42" s="395">
        <f t="shared" ca="1" si="28"/>
        <v>0</v>
      </c>
      <c r="AC42" s="395">
        <f t="shared" ca="1" si="28"/>
        <v>0</v>
      </c>
      <c r="AD42" s="395">
        <f t="shared" ca="1" si="28"/>
        <v>0</v>
      </c>
      <c r="AE42" s="395">
        <f t="shared" ca="1" si="28"/>
        <v>0</v>
      </c>
      <c r="AF42" s="395">
        <f t="shared" ca="1" si="28"/>
        <v>0</v>
      </c>
      <c r="AG42" s="395">
        <f t="shared" ca="1" si="28"/>
        <v>0</v>
      </c>
      <c r="AH42" s="395">
        <f t="shared" ca="1" si="28"/>
        <v>0</v>
      </c>
      <c r="AI42" s="395">
        <f t="shared" ca="1" si="28"/>
        <v>0</v>
      </c>
      <c r="AJ42" s="395">
        <f t="shared" ca="1" si="28"/>
        <v>0</v>
      </c>
      <c r="AK42" s="395">
        <f t="shared" ca="1" si="28"/>
        <v>0</v>
      </c>
      <c r="AL42" s="395">
        <f t="shared" ca="1" si="28"/>
        <v>0</v>
      </c>
      <c r="AM42" s="395">
        <f t="shared" ca="1" si="28"/>
        <v>0</v>
      </c>
      <c r="AN42" s="395">
        <f t="shared" ca="1" si="28"/>
        <v>0</v>
      </c>
      <c r="AO42" s="395">
        <f t="shared" ca="1" si="28"/>
        <v>13984089.806935186</v>
      </c>
      <c r="AP42" s="395">
        <f t="shared" ca="1" si="28"/>
        <v>0</v>
      </c>
      <c r="AQ42" s="395">
        <f t="shared" ca="1" si="28"/>
        <v>0</v>
      </c>
      <c r="AR42" s="395">
        <f t="shared" ca="1" si="28"/>
        <v>0</v>
      </c>
      <c r="AS42" s="395">
        <f t="shared" ca="1" si="28"/>
        <v>0</v>
      </c>
      <c r="AT42" s="395">
        <f t="shared" ca="1" si="28"/>
        <v>0</v>
      </c>
      <c r="AU42" s="395">
        <f t="shared" ca="1" si="28"/>
        <v>0</v>
      </c>
      <c r="AV42" s="395">
        <f t="shared" ca="1" si="28"/>
        <v>0</v>
      </c>
      <c r="AW42" s="395">
        <f t="shared" ca="1" si="28"/>
        <v>0</v>
      </c>
      <c r="AX42" s="395">
        <f t="shared" ca="1" si="28"/>
        <v>0</v>
      </c>
      <c r="AY42" s="395">
        <f t="shared" ca="1" si="28"/>
        <v>0</v>
      </c>
      <c r="AZ42" s="395">
        <f t="shared" ca="1" si="28"/>
        <v>0</v>
      </c>
      <c r="BA42" s="395">
        <f t="shared" ca="1" si="28"/>
        <v>0</v>
      </c>
      <c r="BB42" s="395">
        <f t="shared" ca="1" si="28"/>
        <v>0</v>
      </c>
      <c r="BC42" s="395">
        <f t="shared" ca="1" si="28"/>
        <v>0</v>
      </c>
      <c r="BD42" s="395">
        <f t="shared" ca="1" si="28"/>
        <v>0</v>
      </c>
      <c r="BE42" s="395">
        <f t="shared" ca="1" si="28"/>
        <v>0</v>
      </c>
      <c r="BF42" s="395">
        <f t="shared" ca="1" si="28"/>
        <v>0</v>
      </c>
      <c r="BG42" s="395">
        <f t="shared" ca="1" si="28"/>
        <v>0</v>
      </c>
      <c r="BH42" s="395">
        <f t="shared" ca="1" si="28"/>
        <v>0</v>
      </c>
      <c r="BI42" s="395">
        <f t="shared" ca="1" si="28"/>
        <v>0</v>
      </c>
      <c r="BJ42" s="395">
        <f t="shared" ca="1" si="28"/>
        <v>0</v>
      </c>
      <c r="BK42" s="395">
        <f t="shared" ca="1" si="28"/>
        <v>0</v>
      </c>
      <c r="BL42" s="395">
        <f t="shared" ca="1" si="28"/>
        <v>0</v>
      </c>
      <c r="BM42" s="395">
        <f t="shared" ca="1" si="28"/>
        <v>0</v>
      </c>
      <c r="BN42" s="395">
        <f t="shared" ca="1" si="28"/>
        <v>0</v>
      </c>
      <c r="BO42" s="395">
        <f t="shared" ca="1" si="28"/>
        <v>0</v>
      </c>
      <c r="BP42" s="395">
        <f t="shared" ca="1" si="28"/>
        <v>0</v>
      </c>
      <c r="BQ42" s="395">
        <f t="shared" ca="1" si="28"/>
        <v>0</v>
      </c>
      <c r="BR42" s="395">
        <f t="shared" ref="BR42:CK42" ca="1" si="29">-BR39</f>
        <v>0</v>
      </c>
      <c r="BS42" s="395">
        <f t="shared" ca="1" si="29"/>
        <v>0</v>
      </c>
      <c r="BT42" s="395">
        <f t="shared" ca="1" si="29"/>
        <v>0</v>
      </c>
      <c r="BU42" s="395">
        <f t="shared" ca="1" si="29"/>
        <v>0</v>
      </c>
      <c r="BV42" s="395">
        <f t="shared" ca="1" si="29"/>
        <v>0</v>
      </c>
      <c r="BW42" s="395">
        <f t="shared" ca="1" si="29"/>
        <v>0</v>
      </c>
      <c r="BX42" s="395">
        <f t="shared" ca="1" si="29"/>
        <v>0</v>
      </c>
      <c r="BY42" s="395">
        <f t="shared" ca="1" si="29"/>
        <v>0</v>
      </c>
      <c r="BZ42" s="395">
        <f t="shared" ca="1" si="29"/>
        <v>0</v>
      </c>
      <c r="CA42" s="395">
        <f t="shared" ca="1" si="29"/>
        <v>0</v>
      </c>
      <c r="CB42" s="395">
        <f t="shared" ca="1" si="29"/>
        <v>0</v>
      </c>
      <c r="CC42" s="395">
        <f t="shared" ca="1" si="29"/>
        <v>0</v>
      </c>
      <c r="CD42" s="395">
        <f t="shared" ca="1" si="29"/>
        <v>0</v>
      </c>
      <c r="CE42" s="395">
        <f t="shared" ca="1" si="29"/>
        <v>0</v>
      </c>
      <c r="CF42" s="395">
        <f t="shared" ca="1" si="29"/>
        <v>0</v>
      </c>
      <c r="CG42" s="395">
        <f t="shared" ca="1" si="29"/>
        <v>0</v>
      </c>
      <c r="CH42" s="395">
        <f t="shared" ca="1" si="29"/>
        <v>0</v>
      </c>
      <c r="CI42" s="395">
        <f t="shared" ca="1" si="29"/>
        <v>0</v>
      </c>
      <c r="CJ42" s="395">
        <f t="shared" ca="1" si="29"/>
        <v>0</v>
      </c>
      <c r="CK42" s="395">
        <f t="shared" ca="1" si="29"/>
        <v>0</v>
      </c>
      <c r="CL42" s="133" t="s">
        <v>15</v>
      </c>
    </row>
    <row r="43" spans="2:90" ht="15" customHeight="1" outlineLevel="1" x14ac:dyDescent="0.2">
      <c r="B43" s="133" t="s">
        <v>266</v>
      </c>
      <c r="C43" s="133"/>
      <c r="D43" s="133"/>
      <c r="E43" s="395">
        <f t="shared" ref="E43:AJ43" ca="1" si="30">E42*Tier1_SponsorPctCF_Case2/Tier1_CoInvestorPctCF_Case2</f>
        <v>0</v>
      </c>
      <c r="F43" s="395">
        <f t="shared" ca="1" si="30"/>
        <v>0</v>
      </c>
      <c r="G43" s="395">
        <f t="shared" ca="1" si="30"/>
        <v>0</v>
      </c>
      <c r="H43" s="395">
        <f t="shared" ca="1" si="30"/>
        <v>0</v>
      </c>
      <c r="I43" s="395">
        <f t="shared" ca="1" si="30"/>
        <v>0</v>
      </c>
      <c r="J43" s="395">
        <f t="shared" ca="1" si="30"/>
        <v>0</v>
      </c>
      <c r="K43" s="395">
        <f t="shared" ca="1" si="30"/>
        <v>0</v>
      </c>
      <c r="L43" s="395">
        <f t="shared" ca="1" si="30"/>
        <v>0</v>
      </c>
      <c r="M43" s="395">
        <f t="shared" ca="1" si="30"/>
        <v>0</v>
      </c>
      <c r="N43" s="395">
        <f t="shared" ca="1" si="30"/>
        <v>0</v>
      </c>
      <c r="O43" s="395">
        <f t="shared" ca="1" si="30"/>
        <v>0</v>
      </c>
      <c r="P43" s="395">
        <f t="shared" ca="1" si="30"/>
        <v>0</v>
      </c>
      <c r="Q43" s="395">
        <f t="shared" ca="1" si="30"/>
        <v>0</v>
      </c>
      <c r="R43" s="395">
        <f t="shared" ca="1" si="30"/>
        <v>0</v>
      </c>
      <c r="S43" s="395">
        <f t="shared" ca="1" si="30"/>
        <v>0</v>
      </c>
      <c r="T43" s="395">
        <f t="shared" ca="1" si="30"/>
        <v>0</v>
      </c>
      <c r="U43" s="395">
        <f t="shared" ca="1" si="30"/>
        <v>0</v>
      </c>
      <c r="V43" s="395">
        <f t="shared" ca="1" si="30"/>
        <v>0</v>
      </c>
      <c r="W43" s="395">
        <f t="shared" ca="1" si="30"/>
        <v>0</v>
      </c>
      <c r="X43" s="395">
        <f t="shared" ca="1" si="30"/>
        <v>0</v>
      </c>
      <c r="Y43" s="395">
        <f t="shared" ca="1" si="30"/>
        <v>0</v>
      </c>
      <c r="Z43" s="395">
        <f t="shared" ca="1" si="30"/>
        <v>0</v>
      </c>
      <c r="AA43" s="395">
        <f t="shared" ca="1" si="30"/>
        <v>0</v>
      </c>
      <c r="AB43" s="395">
        <f t="shared" ca="1" si="30"/>
        <v>0</v>
      </c>
      <c r="AC43" s="395">
        <f t="shared" ca="1" si="30"/>
        <v>0</v>
      </c>
      <c r="AD43" s="395">
        <f t="shared" ca="1" si="30"/>
        <v>0</v>
      </c>
      <c r="AE43" s="395">
        <f t="shared" ca="1" si="30"/>
        <v>0</v>
      </c>
      <c r="AF43" s="395">
        <f t="shared" ca="1" si="30"/>
        <v>0</v>
      </c>
      <c r="AG43" s="395">
        <f t="shared" ca="1" si="30"/>
        <v>0</v>
      </c>
      <c r="AH43" s="395">
        <f t="shared" ca="1" si="30"/>
        <v>0</v>
      </c>
      <c r="AI43" s="395">
        <f t="shared" ca="1" si="30"/>
        <v>0</v>
      </c>
      <c r="AJ43" s="395">
        <f t="shared" ca="1" si="30"/>
        <v>0</v>
      </c>
      <c r="AK43" s="395">
        <f t="shared" ref="AK43:BP43" ca="1" si="31">AK42*Tier1_SponsorPctCF_Case2/Tier1_CoInvestorPctCF_Case2</f>
        <v>0</v>
      </c>
      <c r="AL43" s="395">
        <f t="shared" ca="1" si="31"/>
        <v>0</v>
      </c>
      <c r="AM43" s="395">
        <f t="shared" ca="1" si="31"/>
        <v>0</v>
      </c>
      <c r="AN43" s="395">
        <f t="shared" ca="1" si="31"/>
        <v>0</v>
      </c>
      <c r="AO43" s="395">
        <f t="shared" ca="1" si="31"/>
        <v>0</v>
      </c>
      <c r="AP43" s="395">
        <f t="shared" ca="1" si="31"/>
        <v>0</v>
      </c>
      <c r="AQ43" s="395">
        <f t="shared" ca="1" si="31"/>
        <v>0</v>
      </c>
      <c r="AR43" s="395">
        <f t="shared" ca="1" si="31"/>
        <v>0</v>
      </c>
      <c r="AS43" s="395">
        <f t="shared" ca="1" si="31"/>
        <v>0</v>
      </c>
      <c r="AT43" s="395">
        <f t="shared" ca="1" si="31"/>
        <v>0</v>
      </c>
      <c r="AU43" s="395">
        <f t="shared" ca="1" si="31"/>
        <v>0</v>
      </c>
      <c r="AV43" s="395">
        <f t="shared" ca="1" si="31"/>
        <v>0</v>
      </c>
      <c r="AW43" s="395">
        <f t="shared" ca="1" si="31"/>
        <v>0</v>
      </c>
      <c r="AX43" s="395">
        <f t="shared" ca="1" si="31"/>
        <v>0</v>
      </c>
      <c r="AY43" s="395">
        <f t="shared" ca="1" si="31"/>
        <v>0</v>
      </c>
      <c r="AZ43" s="395">
        <f t="shared" ca="1" si="31"/>
        <v>0</v>
      </c>
      <c r="BA43" s="395">
        <f t="shared" ca="1" si="31"/>
        <v>0</v>
      </c>
      <c r="BB43" s="395">
        <f t="shared" ca="1" si="31"/>
        <v>0</v>
      </c>
      <c r="BC43" s="395">
        <f t="shared" ca="1" si="31"/>
        <v>0</v>
      </c>
      <c r="BD43" s="395">
        <f t="shared" ca="1" si="31"/>
        <v>0</v>
      </c>
      <c r="BE43" s="395">
        <f t="shared" ca="1" si="31"/>
        <v>0</v>
      </c>
      <c r="BF43" s="395">
        <f t="shared" ca="1" si="31"/>
        <v>0</v>
      </c>
      <c r="BG43" s="395">
        <f t="shared" ca="1" si="31"/>
        <v>0</v>
      </c>
      <c r="BH43" s="395">
        <f t="shared" ca="1" si="31"/>
        <v>0</v>
      </c>
      <c r="BI43" s="395">
        <f t="shared" ca="1" si="31"/>
        <v>0</v>
      </c>
      <c r="BJ43" s="395">
        <f t="shared" ca="1" si="31"/>
        <v>0</v>
      </c>
      <c r="BK43" s="395">
        <f t="shared" ca="1" si="31"/>
        <v>0</v>
      </c>
      <c r="BL43" s="395">
        <f t="shared" ca="1" si="31"/>
        <v>0</v>
      </c>
      <c r="BM43" s="395">
        <f t="shared" ca="1" si="31"/>
        <v>0</v>
      </c>
      <c r="BN43" s="395">
        <f t="shared" ca="1" si="31"/>
        <v>0</v>
      </c>
      <c r="BO43" s="395">
        <f t="shared" ca="1" si="31"/>
        <v>0</v>
      </c>
      <c r="BP43" s="395">
        <f t="shared" ca="1" si="31"/>
        <v>0</v>
      </c>
      <c r="BQ43" s="395">
        <f t="shared" ref="BQ43:CK43" ca="1" si="32">BQ42*Tier1_SponsorPctCF_Case2/Tier1_CoInvestorPctCF_Case2</f>
        <v>0</v>
      </c>
      <c r="BR43" s="395">
        <f t="shared" ca="1" si="32"/>
        <v>0</v>
      </c>
      <c r="BS43" s="395">
        <f t="shared" ca="1" si="32"/>
        <v>0</v>
      </c>
      <c r="BT43" s="395">
        <f t="shared" ca="1" si="32"/>
        <v>0</v>
      </c>
      <c r="BU43" s="395">
        <f t="shared" ca="1" si="32"/>
        <v>0</v>
      </c>
      <c r="BV43" s="395">
        <f t="shared" ca="1" si="32"/>
        <v>0</v>
      </c>
      <c r="BW43" s="395">
        <f t="shared" ca="1" si="32"/>
        <v>0</v>
      </c>
      <c r="BX43" s="395">
        <f t="shared" ca="1" si="32"/>
        <v>0</v>
      </c>
      <c r="BY43" s="395">
        <f t="shared" ca="1" si="32"/>
        <v>0</v>
      </c>
      <c r="BZ43" s="395">
        <f t="shared" ca="1" si="32"/>
        <v>0</v>
      </c>
      <c r="CA43" s="395">
        <f t="shared" ca="1" si="32"/>
        <v>0</v>
      </c>
      <c r="CB43" s="395">
        <f t="shared" ca="1" si="32"/>
        <v>0</v>
      </c>
      <c r="CC43" s="395">
        <f t="shared" ca="1" si="32"/>
        <v>0</v>
      </c>
      <c r="CD43" s="395">
        <f t="shared" ca="1" si="32"/>
        <v>0</v>
      </c>
      <c r="CE43" s="395">
        <f t="shared" ca="1" si="32"/>
        <v>0</v>
      </c>
      <c r="CF43" s="395">
        <f t="shared" ca="1" si="32"/>
        <v>0</v>
      </c>
      <c r="CG43" s="395">
        <f t="shared" ca="1" si="32"/>
        <v>0</v>
      </c>
      <c r="CH43" s="395">
        <f t="shared" ca="1" si="32"/>
        <v>0</v>
      </c>
      <c r="CI43" s="395">
        <f t="shared" ca="1" si="32"/>
        <v>0</v>
      </c>
      <c r="CJ43" s="395">
        <f t="shared" ca="1" si="32"/>
        <v>0</v>
      </c>
      <c r="CK43" s="395">
        <f t="shared" ca="1" si="32"/>
        <v>0</v>
      </c>
      <c r="CL43" s="133" t="s">
        <v>15</v>
      </c>
    </row>
    <row r="44" spans="2:90" ht="15" customHeight="1" outlineLevel="1" x14ac:dyDescent="0.2">
      <c r="B44" s="133" t="s">
        <v>30</v>
      </c>
      <c r="C44" s="133"/>
      <c r="D44" s="133"/>
      <c r="E44" s="395">
        <f ca="1">SUM(E42:E43)</f>
        <v>0</v>
      </c>
      <c r="F44" s="395">
        <f t="shared" ref="F44:BQ44" ca="1" si="33">SUM(F42:F43)</f>
        <v>0</v>
      </c>
      <c r="G44" s="395">
        <f t="shared" ca="1" si="33"/>
        <v>0</v>
      </c>
      <c r="H44" s="395">
        <f t="shared" ca="1" si="33"/>
        <v>0</v>
      </c>
      <c r="I44" s="395">
        <f t="shared" ca="1" si="33"/>
        <v>0</v>
      </c>
      <c r="J44" s="395">
        <f t="shared" ca="1" si="33"/>
        <v>0</v>
      </c>
      <c r="K44" s="395">
        <f t="shared" ca="1" si="33"/>
        <v>0</v>
      </c>
      <c r="L44" s="395">
        <f t="shared" ca="1" si="33"/>
        <v>0</v>
      </c>
      <c r="M44" s="395">
        <f t="shared" ca="1" si="33"/>
        <v>0</v>
      </c>
      <c r="N44" s="395">
        <f t="shared" ca="1" si="33"/>
        <v>0</v>
      </c>
      <c r="O44" s="395">
        <f t="shared" ca="1" si="33"/>
        <v>0</v>
      </c>
      <c r="P44" s="395">
        <f t="shared" ca="1" si="33"/>
        <v>0</v>
      </c>
      <c r="Q44" s="395">
        <f t="shared" ca="1" si="33"/>
        <v>0</v>
      </c>
      <c r="R44" s="395">
        <f t="shared" ca="1" si="33"/>
        <v>0</v>
      </c>
      <c r="S44" s="395">
        <f t="shared" ca="1" si="33"/>
        <v>0</v>
      </c>
      <c r="T44" s="395">
        <f t="shared" ca="1" si="33"/>
        <v>0</v>
      </c>
      <c r="U44" s="395">
        <f t="shared" ca="1" si="33"/>
        <v>0</v>
      </c>
      <c r="V44" s="395">
        <f t="shared" ca="1" si="33"/>
        <v>0</v>
      </c>
      <c r="W44" s="395">
        <f t="shared" ca="1" si="33"/>
        <v>0</v>
      </c>
      <c r="X44" s="395">
        <f t="shared" ca="1" si="33"/>
        <v>0</v>
      </c>
      <c r="Y44" s="395">
        <f t="shared" ca="1" si="33"/>
        <v>0</v>
      </c>
      <c r="Z44" s="395">
        <f t="shared" ca="1" si="33"/>
        <v>0</v>
      </c>
      <c r="AA44" s="395">
        <f t="shared" ca="1" si="33"/>
        <v>0</v>
      </c>
      <c r="AB44" s="395">
        <f t="shared" ca="1" si="33"/>
        <v>0</v>
      </c>
      <c r="AC44" s="395">
        <f t="shared" ca="1" si="33"/>
        <v>0</v>
      </c>
      <c r="AD44" s="395">
        <f t="shared" ca="1" si="33"/>
        <v>0</v>
      </c>
      <c r="AE44" s="395">
        <f t="shared" ca="1" si="33"/>
        <v>0</v>
      </c>
      <c r="AF44" s="395">
        <f t="shared" ca="1" si="33"/>
        <v>0</v>
      </c>
      <c r="AG44" s="395">
        <f t="shared" ca="1" si="33"/>
        <v>0</v>
      </c>
      <c r="AH44" s="395">
        <f t="shared" ca="1" si="33"/>
        <v>0</v>
      </c>
      <c r="AI44" s="395">
        <f t="shared" ca="1" si="33"/>
        <v>0</v>
      </c>
      <c r="AJ44" s="395">
        <f t="shared" ca="1" si="33"/>
        <v>0</v>
      </c>
      <c r="AK44" s="395">
        <f t="shared" ca="1" si="33"/>
        <v>0</v>
      </c>
      <c r="AL44" s="395">
        <f t="shared" ca="1" si="33"/>
        <v>0</v>
      </c>
      <c r="AM44" s="395">
        <f t="shared" ca="1" si="33"/>
        <v>0</v>
      </c>
      <c r="AN44" s="395">
        <f t="shared" ca="1" si="33"/>
        <v>0</v>
      </c>
      <c r="AO44" s="395">
        <f t="shared" ca="1" si="33"/>
        <v>13984089.806935186</v>
      </c>
      <c r="AP44" s="395">
        <f t="shared" ca="1" si="33"/>
        <v>0</v>
      </c>
      <c r="AQ44" s="395">
        <f t="shared" ca="1" si="33"/>
        <v>0</v>
      </c>
      <c r="AR44" s="395">
        <f t="shared" ca="1" si="33"/>
        <v>0</v>
      </c>
      <c r="AS44" s="395">
        <f t="shared" ca="1" si="33"/>
        <v>0</v>
      </c>
      <c r="AT44" s="395">
        <f t="shared" ca="1" si="33"/>
        <v>0</v>
      </c>
      <c r="AU44" s="395">
        <f t="shared" ca="1" si="33"/>
        <v>0</v>
      </c>
      <c r="AV44" s="395">
        <f t="shared" ca="1" si="33"/>
        <v>0</v>
      </c>
      <c r="AW44" s="395">
        <f t="shared" ca="1" si="33"/>
        <v>0</v>
      </c>
      <c r="AX44" s="395">
        <f t="shared" ca="1" si="33"/>
        <v>0</v>
      </c>
      <c r="AY44" s="395">
        <f t="shared" ca="1" si="33"/>
        <v>0</v>
      </c>
      <c r="AZ44" s="395">
        <f t="shared" ca="1" si="33"/>
        <v>0</v>
      </c>
      <c r="BA44" s="395">
        <f t="shared" ca="1" si="33"/>
        <v>0</v>
      </c>
      <c r="BB44" s="395">
        <f t="shared" ca="1" si="33"/>
        <v>0</v>
      </c>
      <c r="BC44" s="395">
        <f t="shared" ca="1" si="33"/>
        <v>0</v>
      </c>
      <c r="BD44" s="395">
        <f t="shared" ca="1" si="33"/>
        <v>0</v>
      </c>
      <c r="BE44" s="395">
        <f t="shared" ca="1" si="33"/>
        <v>0</v>
      </c>
      <c r="BF44" s="395">
        <f t="shared" ca="1" si="33"/>
        <v>0</v>
      </c>
      <c r="BG44" s="395">
        <f t="shared" ca="1" si="33"/>
        <v>0</v>
      </c>
      <c r="BH44" s="395">
        <f t="shared" ca="1" si="33"/>
        <v>0</v>
      </c>
      <c r="BI44" s="395">
        <f t="shared" ca="1" si="33"/>
        <v>0</v>
      </c>
      <c r="BJ44" s="395">
        <f t="shared" ca="1" si="33"/>
        <v>0</v>
      </c>
      <c r="BK44" s="395">
        <f t="shared" ca="1" si="33"/>
        <v>0</v>
      </c>
      <c r="BL44" s="395">
        <f t="shared" ca="1" si="33"/>
        <v>0</v>
      </c>
      <c r="BM44" s="395">
        <f t="shared" ca="1" si="33"/>
        <v>0</v>
      </c>
      <c r="BN44" s="395">
        <f t="shared" ca="1" si="33"/>
        <v>0</v>
      </c>
      <c r="BO44" s="395">
        <f t="shared" ca="1" si="33"/>
        <v>0</v>
      </c>
      <c r="BP44" s="395">
        <f t="shared" ca="1" si="33"/>
        <v>0</v>
      </c>
      <c r="BQ44" s="395">
        <f t="shared" ca="1" si="33"/>
        <v>0</v>
      </c>
      <c r="BR44" s="395">
        <f t="shared" ref="BR44:CK44" ca="1" si="34">SUM(BR42:BR43)</f>
        <v>0</v>
      </c>
      <c r="BS44" s="395">
        <f t="shared" ca="1" si="34"/>
        <v>0</v>
      </c>
      <c r="BT44" s="395">
        <f t="shared" ca="1" si="34"/>
        <v>0</v>
      </c>
      <c r="BU44" s="395">
        <f t="shared" ca="1" si="34"/>
        <v>0</v>
      </c>
      <c r="BV44" s="395">
        <f t="shared" ca="1" si="34"/>
        <v>0</v>
      </c>
      <c r="BW44" s="395">
        <f t="shared" ca="1" si="34"/>
        <v>0</v>
      </c>
      <c r="BX44" s="395">
        <f t="shared" ca="1" si="34"/>
        <v>0</v>
      </c>
      <c r="BY44" s="395">
        <f t="shared" ca="1" si="34"/>
        <v>0</v>
      </c>
      <c r="BZ44" s="395">
        <f t="shared" ca="1" si="34"/>
        <v>0</v>
      </c>
      <c r="CA44" s="395">
        <f t="shared" ca="1" si="34"/>
        <v>0</v>
      </c>
      <c r="CB44" s="395">
        <f t="shared" ca="1" si="34"/>
        <v>0</v>
      </c>
      <c r="CC44" s="395">
        <f t="shared" ca="1" si="34"/>
        <v>0</v>
      </c>
      <c r="CD44" s="395">
        <f t="shared" ca="1" si="34"/>
        <v>0</v>
      </c>
      <c r="CE44" s="395">
        <f t="shared" ca="1" si="34"/>
        <v>0</v>
      </c>
      <c r="CF44" s="395">
        <f t="shared" ca="1" si="34"/>
        <v>0</v>
      </c>
      <c r="CG44" s="395">
        <f t="shared" ca="1" si="34"/>
        <v>0</v>
      </c>
      <c r="CH44" s="395">
        <f t="shared" ca="1" si="34"/>
        <v>0</v>
      </c>
      <c r="CI44" s="395">
        <f t="shared" ca="1" si="34"/>
        <v>0</v>
      </c>
      <c r="CJ44" s="395">
        <f t="shared" ca="1" si="34"/>
        <v>0</v>
      </c>
      <c r="CK44" s="395">
        <f t="shared" ca="1" si="34"/>
        <v>0</v>
      </c>
      <c r="CL44" s="133" t="s">
        <v>15</v>
      </c>
    </row>
    <row r="45" spans="2:90" ht="15" customHeight="1" outlineLevel="1" x14ac:dyDescent="0.2">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row>
    <row r="46" spans="2:90" ht="15" customHeight="1" x14ac:dyDescent="0.2">
      <c r="B46" s="133" t="s">
        <v>267</v>
      </c>
      <c r="C46" s="133"/>
      <c r="D46" s="133"/>
      <c r="E46" s="395">
        <f ca="1">-E34+E42</f>
        <v>-3358172.9905319572</v>
      </c>
      <c r="F46" s="395">
        <f t="shared" ref="F46:BQ46" ca="1" si="35">-F34+F42</f>
        <v>-128422.48084919996</v>
      </c>
      <c r="G46" s="395">
        <f t="shared" ca="1" si="35"/>
        <v>-128506.5682378714</v>
      </c>
      <c r="H46" s="395">
        <f t="shared" ca="1" si="35"/>
        <v>-158833.09271914329</v>
      </c>
      <c r="I46" s="395">
        <f t="shared" ca="1" si="35"/>
        <v>-288212.83321714279</v>
      </c>
      <c r="J46" s="395">
        <f t="shared" ca="1" si="35"/>
        <v>-244261.56490285712</v>
      </c>
      <c r="K46" s="395">
        <f t="shared" ca="1" si="35"/>
        <v>-413184.54954857146</v>
      </c>
      <c r="L46" s="395">
        <f t="shared" ca="1" si="35"/>
        <v>-631013.1134575489</v>
      </c>
      <c r="M46" s="395">
        <f t="shared" ca="1" si="35"/>
        <v>-631431.44036652637</v>
      </c>
      <c r="N46" s="395">
        <f t="shared" ca="1" si="35"/>
        <v>-631849.76727550384</v>
      </c>
      <c r="O46" s="395">
        <f t="shared" ca="1" si="35"/>
        <v>-632268.09418448119</v>
      </c>
      <c r="P46" s="395">
        <f t="shared" ca="1" si="35"/>
        <v>-632686.42109345866</v>
      </c>
      <c r="Q46" s="395">
        <f t="shared" ca="1" si="35"/>
        <v>-633104.74800243613</v>
      </c>
      <c r="R46" s="395">
        <f t="shared" ca="1" si="35"/>
        <v>-974044.22176741331</v>
      </c>
      <c r="S46" s="395">
        <f t="shared" ca="1" si="35"/>
        <v>-1079788.5309323911</v>
      </c>
      <c r="T46" s="395">
        <f t="shared" ca="1" si="35"/>
        <v>-475749.59246165282</v>
      </c>
      <c r="U46" s="395">
        <f t="shared" ca="1" si="35"/>
        <v>-7287.0918000000011</v>
      </c>
      <c r="V46" s="395">
        <f t="shared" ca="1" si="35"/>
        <v>-7287.0918000000011</v>
      </c>
      <c r="W46" s="395">
        <f t="shared" ca="1" si="35"/>
        <v>-7287.0918000000011</v>
      </c>
      <c r="X46" s="395">
        <f t="shared" ca="1" si="35"/>
        <v>-7287.0918000000011</v>
      </c>
      <c r="Y46" s="395">
        <f t="shared" ca="1" si="35"/>
        <v>-7287.0918000000011</v>
      </c>
      <c r="Z46" s="395">
        <f t="shared" ca="1" si="35"/>
        <v>-7287.0918000000011</v>
      </c>
      <c r="AA46" s="395">
        <f t="shared" ca="1" si="35"/>
        <v>-7287.0918000000011</v>
      </c>
      <c r="AB46" s="395">
        <f t="shared" ca="1" si="35"/>
        <v>-7287.0918000000011</v>
      </c>
      <c r="AC46" s="395">
        <f t="shared" ca="1" si="35"/>
        <v>-7287.0918000000011</v>
      </c>
      <c r="AD46" s="395">
        <f t="shared" ca="1" si="35"/>
        <v>-7287.0918000000011</v>
      </c>
      <c r="AE46" s="395">
        <f t="shared" ca="1" si="35"/>
        <v>-7287.0918000000011</v>
      </c>
      <c r="AF46" s="395">
        <f t="shared" ca="1" si="35"/>
        <v>-7287.0918000000011</v>
      </c>
      <c r="AG46" s="395">
        <f t="shared" ca="1" si="35"/>
        <v>-7287.0918000000011</v>
      </c>
      <c r="AH46" s="395">
        <f t="shared" ca="1" si="35"/>
        <v>-7287.0918000000011</v>
      </c>
      <c r="AI46" s="395">
        <f t="shared" ca="1" si="35"/>
        <v>-7287.0918000000011</v>
      </c>
      <c r="AJ46" s="395">
        <f t="shared" ca="1" si="35"/>
        <v>-7287.0918000000011</v>
      </c>
      <c r="AK46" s="395">
        <f t="shared" ca="1" si="35"/>
        <v>-7287.0918000000011</v>
      </c>
      <c r="AL46" s="395">
        <f t="shared" ca="1" si="35"/>
        <v>-7287.0918000000011</v>
      </c>
      <c r="AM46" s="395">
        <f t="shared" ca="1" si="35"/>
        <v>-7287.0918000000011</v>
      </c>
      <c r="AN46" s="395">
        <f t="shared" ca="1" si="35"/>
        <v>-7287.0918000000011</v>
      </c>
      <c r="AO46" s="395">
        <f t="shared" ca="1" si="35"/>
        <v>13984089.806935186</v>
      </c>
      <c r="AP46" s="395">
        <f t="shared" ca="1" si="35"/>
        <v>0</v>
      </c>
      <c r="AQ46" s="395">
        <f t="shared" ca="1" si="35"/>
        <v>0</v>
      </c>
      <c r="AR46" s="395">
        <f t="shared" ca="1" si="35"/>
        <v>0</v>
      </c>
      <c r="AS46" s="395">
        <f t="shared" ca="1" si="35"/>
        <v>0</v>
      </c>
      <c r="AT46" s="395">
        <f t="shared" ca="1" si="35"/>
        <v>0</v>
      </c>
      <c r="AU46" s="395">
        <f t="shared" ca="1" si="35"/>
        <v>0</v>
      </c>
      <c r="AV46" s="395">
        <f t="shared" ca="1" si="35"/>
        <v>0</v>
      </c>
      <c r="AW46" s="395">
        <f t="shared" ca="1" si="35"/>
        <v>0</v>
      </c>
      <c r="AX46" s="395">
        <f t="shared" ca="1" si="35"/>
        <v>0</v>
      </c>
      <c r="AY46" s="395">
        <f t="shared" ca="1" si="35"/>
        <v>0</v>
      </c>
      <c r="AZ46" s="395">
        <f t="shared" ca="1" si="35"/>
        <v>0</v>
      </c>
      <c r="BA46" s="395">
        <f t="shared" ca="1" si="35"/>
        <v>0</v>
      </c>
      <c r="BB46" s="395">
        <f t="shared" ca="1" si="35"/>
        <v>0</v>
      </c>
      <c r="BC46" s="395">
        <f t="shared" ca="1" si="35"/>
        <v>0</v>
      </c>
      <c r="BD46" s="395">
        <f t="shared" ca="1" si="35"/>
        <v>0</v>
      </c>
      <c r="BE46" s="395">
        <f t="shared" ca="1" si="35"/>
        <v>0</v>
      </c>
      <c r="BF46" s="395">
        <f t="shared" ca="1" si="35"/>
        <v>0</v>
      </c>
      <c r="BG46" s="395">
        <f t="shared" ca="1" si="35"/>
        <v>0</v>
      </c>
      <c r="BH46" s="395">
        <f t="shared" ca="1" si="35"/>
        <v>0</v>
      </c>
      <c r="BI46" s="395">
        <f t="shared" ca="1" si="35"/>
        <v>0</v>
      </c>
      <c r="BJ46" s="395">
        <f t="shared" ca="1" si="35"/>
        <v>0</v>
      </c>
      <c r="BK46" s="395">
        <f t="shared" ca="1" si="35"/>
        <v>0</v>
      </c>
      <c r="BL46" s="395">
        <f t="shared" ca="1" si="35"/>
        <v>0</v>
      </c>
      <c r="BM46" s="395">
        <f t="shared" ca="1" si="35"/>
        <v>0</v>
      </c>
      <c r="BN46" s="395">
        <f t="shared" ca="1" si="35"/>
        <v>0</v>
      </c>
      <c r="BO46" s="395">
        <f t="shared" ca="1" si="35"/>
        <v>0</v>
      </c>
      <c r="BP46" s="395">
        <f t="shared" ca="1" si="35"/>
        <v>0</v>
      </c>
      <c r="BQ46" s="395">
        <f t="shared" ca="1" si="35"/>
        <v>0</v>
      </c>
      <c r="BR46" s="395">
        <f t="shared" ref="BR46:CK46" ca="1" si="36">-BR34+BR42</f>
        <v>0</v>
      </c>
      <c r="BS46" s="395">
        <f t="shared" ca="1" si="36"/>
        <v>0</v>
      </c>
      <c r="BT46" s="395">
        <f t="shared" ca="1" si="36"/>
        <v>0</v>
      </c>
      <c r="BU46" s="395">
        <f t="shared" ca="1" si="36"/>
        <v>0</v>
      </c>
      <c r="BV46" s="395">
        <f t="shared" ca="1" si="36"/>
        <v>0</v>
      </c>
      <c r="BW46" s="395">
        <f t="shared" ca="1" si="36"/>
        <v>0</v>
      </c>
      <c r="BX46" s="395">
        <f t="shared" ca="1" si="36"/>
        <v>0</v>
      </c>
      <c r="BY46" s="395">
        <f t="shared" ca="1" si="36"/>
        <v>0</v>
      </c>
      <c r="BZ46" s="395">
        <f t="shared" ca="1" si="36"/>
        <v>0</v>
      </c>
      <c r="CA46" s="395">
        <f t="shared" ca="1" si="36"/>
        <v>0</v>
      </c>
      <c r="CB46" s="395">
        <f t="shared" ca="1" si="36"/>
        <v>0</v>
      </c>
      <c r="CC46" s="395">
        <f t="shared" ca="1" si="36"/>
        <v>0</v>
      </c>
      <c r="CD46" s="395">
        <f t="shared" ca="1" si="36"/>
        <v>0</v>
      </c>
      <c r="CE46" s="395">
        <f t="shared" ca="1" si="36"/>
        <v>0</v>
      </c>
      <c r="CF46" s="395">
        <f t="shared" ca="1" si="36"/>
        <v>0</v>
      </c>
      <c r="CG46" s="395">
        <f t="shared" ca="1" si="36"/>
        <v>0</v>
      </c>
      <c r="CH46" s="395">
        <f t="shared" ca="1" si="36"/>
        <v>0</v>
      </c>
      <c r="CI46" s="395">
        <f t="shared" ca="1" si="36"/>
        <v>0</v>
      </c>
      <c r="CJ46" s="395">
        <f t="shared" ca="1" si="36"/>
        <v>0</v>
      </c>
      <c r="CK46" s="395">
        <f t="shared" ca="1" si="36"/>
        <v>0</v>
      </c>
      <c r="CL46" s="133" t="s">
        <v>15</v>
      </c>
    </row>
    <row r="47" spans="2:90" ht="15" customHeight="1" x14ac:dyDescent="0.2">
      <c r="B47" s="133" t="s">
        <v>268</v>
      </c>
      <c r="C47" s="133"/>
      <c r="D47" s="133"/>
      <c r="E47" s="395">
        <f t="shared" ref="E47:AJ47" ca="1" si="37">MIN(E23,0)*SponsorEquityContributionPct</f>
        <v>-373130.33228132862</v>
      </c>
      <c r="F47" s="395">
        <f t="shared" ca="1" si="37"/>
        <v>-14269.164538799996</v>
      </c>
      <c r="G47" s="395">
        <f t="shared" ca="1" si="37"/>
        <v>-14278.50758198571</v>
      </c>
      <c r="H47" s="395">
        <f t="shared" ca="1" si="37"/>
        <v>-17648.121413238143</v>
      </c>
      <c r="I47" s="395">
        <f t="shared" ca="1" si="37"/>
        <v>-32023.648135238091</v>
      </c>
      <c r="J47" s="395">
        <f t="shared" ca="1" si="37"/>
        <v>-27140.173878095236</v>
      </c>
      <c r="K47" s="395">
        <f t="shared" ca="1" si="37"/>
        <v>-45909.394394285715</v>
      </c>
      <c r="L47" s="395">
        <f t="shared" ca="1" si="37"/>
        <v>-70112.568161949879</v>
      </c>
      <c r="M47" s="395">
        <f t="shared" ca="1" si="37"/>
        <v>-70159.048929614044</v>
      </c>
      <c r="N47" s="395">
        <f t="shared" ca="1" si="37"/>
        <v>-70205.529697278209</v>
      </c>
      <c r="O47" s="395">
        <f t="shared" ca="1" si="37"/>
        <v>-70252.010464942359</v>
      </c>
      <c r="P47" s="395">
        <f t="shared" ca="1" si="37"/>
        <v>-70298.49123260651</v>
      </c>
      <c r="Q47" s="395">
        <f t="shared" ca="1" si="37"/>
        <v>-70344.972000270674</v>
      </c>
      <c r="R47" s="395">
        <f t="shared" ca="1" si="37"/>
        <v>-108227.13575193482</v>
      </c>
      <c r="S47" s="395">
        <f t="shared" ca="1" si="37"/>
        <v>-119976.50343693234</v>
      </c>
      <c r="T47" s="395">
        <f t="shared" ca="1" si="37"/>
        <v>-52861.065829072533</v>
      </c>
      <c r="U47" s="395">
        <f t="shared" ca="1" si="37"/>
        <v>-809.6768666666668</v>
      </c>
      <c r="V47" s="395">
        <f t="shared" ca="1" si="37"/>
        <v>-809.6768666666668</v>
      </c>
      <c r="W47" s="395">
        <f t="shared" ca="1" si="37"/>
        <v>-809.6768666666668</v>
      </c>
      <c r="X47" s="395">
        <f t="shared" ca="1" si="37"/>
        <v>-809.6768666666668</v>
      </c>
      <c r="Y47" s="395">
        <f t="shared" ca="1" si="37"/>
        <v>-809.6768666666668</v>
      </c>
      <c r="Z47" s="395">
        <f t="shared" ca="1" si="37"/>
        <v>-809.6768666666668</v>
      </c>
      <c r="AA47" s="395">
        <f t="shared" ca="1" si="37"/>
        <v>-809.6768666666668</v>
      </c>
      <c r="AB47" s="395">
        <f t="shared" ca="1" si="37"/>
        <v>-809.6768666666668</v>
      </c>
      <c r="AC47" s="395">
        <f t="shared" ca="1" si="37"/>
        <v>-809.6768666666668</v>
      </c>
      <c r="AD47" s="395">
        <f t="shared" ca="1" si="37"/>
        <v>-809.6768666666668</v>
      </c>
      <c r="AE47" s="395">
        <f t="shared" ca="1" si="37"/>
        <v>-809.6768666666668</v>
      </c>
      <c r="AF47" s="395">
        <f t="shared" ca="1" si="37"/>
        <v>-809.6768666666668</v>
      </c>
      <c r="AG47" s="395">
        <f t="shared" ca="1" si="37"/>
        <v>-809.6768666666668</v>
      </c>
      <c r="AH47" s="395">
        <f t="shared" ca="1" si="37"/>
        <v>-809.6768666666668</v>
      </c>
      <c r="AI47" s="395">
        <f t="shared" ca="1" si="37"/>
        <v>-809.6768666666668</v>
      </c>
      <c r="AJ47" s="395">
        <f t="shared" ca="1" si="37"/>
        <v>-809.6768666666668</v>
      </c>
      <c r="AK47" s="395">
        <f t="shared" ref="AK47:BP47" ca="1" si="38">MIN(AK23,0)*SponsorEquityContributionPct</f>
        <v>-809.6768666666668</v>
      </c>
      <c r="AL47" s="395">
        <f t="shared" ca="1" si="38"/>
        <v>-809.6768666666668</v>
      </c>
      <c r="AM47" s="395">
        <f t="shared" ca="1" si="38"/>
        <v>-809.6768666666668</v>
      </c>
      <c r="AN47" s="395">
        <f t="shared" ca="1" si="38"/>
        <v>-809.6768666666668</v>
      </c>
      <c r="AO47" s="395">
        <f t="shared" ca="1" si="38"/>
        <v>0</v>
      </c>
      <c r="AP47" s="395">
        <f t="shared" ca="1" si="38"/>
        <v>0</v>
      </c>
      <c r="AQ47" s="395">
        <f t="shared" ca="1" si="38"/>
        <v>0</v>
      </c>
      <c r="AR47" s="395">
        <f t="shared" ca="1" si="38"/>
        <v>0</v>
      </c>
      <c r="AS47" s="395">
        <f t="shared" ca="1" si="38"/>
        <v>0</v>
      </c>
      <c r="AT47" s="395">
        <f t="shared" ca="1" si="38"/>
        <v>0</v>
      </c>
      <c r="AU47" s="395">
        <f t="shared" ca="1" si="38"/>
        <v>0</v>
      </c>
      <c r="AV47" s="395">
        <f t="shared" ca="1" si="38"/>
        <v>0</v>
      </c>
      <c r="AW47" s="395">
        <f t="shared" ca="1" si="38"/>
        <v>0</v>
      </c>
      <c r="AX47" s="395">
        <f t="shared" ca="1" si="38"/>
        <v>0</v>
      </c>
      <c r="AY47" s="395">
        <f t="shared" ca="1" si="38"/>
        <v>0</v>
      </c>
      <c r="AZ47" s="395">
        <f t="shared" ca="1" si="38"/>
        <v>0</v>
      </c>
      <c r="BA47" s="395">
        <f t="shared" ca="1" si="38"/>
        <v>0</v>
      </c>
      <c r="BB47" s="395">
        <f t="shared" ca="1" si="38"/>
        <v>0</v>
      </c>
      <c r="BC47" s="395">
        <f t="shared" ca="1" si="38"/>
        <v>0</v>
      </c>
      <c r="BD47" s="395">
        <f t="shared" ca="1" si="38"/>
        <v>0</v>
      </c>
      <c r="BE47" s="395">
        <f t="shared" ca="1" si="38"/>
        <v>0</v>
      </c>
      <c r="BF47" s="395">
        <f t="shared" ca="1" si="38"/>
        <v>0</v>
      </c>
      <c r="BG47" s="395">
        <f t="shared" ca="1" si="38"/>
        <v>0</v>
      </c>
      <c r="BH47" s="395">
        <f t="shared" ca="1" si="38"/>
        <v>0</v>
      </c>
      <c r="BI47" s="395">
        <f t="shared" ca="1" si="38"/>
        <v>0</v>
      </c>
      <c r="BJ47" s="395">
        <f t="shared" ca="1" si="38"/>
        <v>0</v>
      </c>
      <c r="BK47" s="395">
        <f t="shared" ca="1" si="38"/>
        <v>0</v>
      </c>
      <c r="BL47" s="395">
        <f t="shared" ca="1" si="38"/>
        <v>0</v>
      </c>
      <c r="BM47" s="395">
        <f t="shared" ca="1" si="38"/>
        <v>0</v>
      </c>
      <c r="BN47" s="395">
        <f t="shared" ca="1" si="38"/>
        <v>0</v>
      </c>
      <c r="BO47" s="395">
        <f t="shared" ca="1" si="38"/>
        <v>0</v>
      </c>
      <c r="BP47" s="395">
        <f t="shared" ca="1" si="38"/>
        <v>0</v>
      </c>
      <c r="BQ47" s="395">
        <f t="shared" ref="BQ47:CK47" ca="1" si="39">MIN(BQ23,0)*SponsorEquityContributionPct</f>
        <v>0</v>
      </c>
      <c r="BR47" s="395">
        <f t="shared" ca="1" si="39"/>
        <v>0</v>
      </c>
      <c r="BS47" s="395">
        <f t="shared" ca="1" si="39"/>
        <v>0</v>
      </c>
      <c r="BT47" s="395">
        <f t="shared" ca="1" si="39"/>
        <v>0</v>
      </c>
      <c r="BU47" s="395">
        <f t="shared" ca="1" si="39"/>
        <v>0</v>
      </c>
      <c r="BV47" s="395">
        <f t="shared" ca="1" si="39"/>
        <v>0</v>
      </c>
      <c r="BW47" s="395">
        <f t="shared" ca="1" si="39"/>
        <v>0</v>
      </c>
      <c r="BX47" s="395">
        <f t="shared" ca="1" si="39"/>
        <v>0</v>
      </c>
      <c r="BY47" s="395">
        <f t="shared" ca="1" si="39"/>
        <v>0</v>
      </c>
      <c r="BZ47" s="395">
        <f t="shared" ca="1" si="39"/>
        <v>0</v>
      </c>
      <c r="CA47" s="395">
        <f t="shared" ca="1" si="39"/>
        <v>0</v>
      </c>
      <c r="CB47" s="395">
        <f t="shared" ca="1" si="39"/>
        <v>0</v>
      </c>
      <c r="CC47" s="395">
        <f t="shared" ca="1" si="39"/>
        <v>0</v>
      </c>
      <c r="CD47" s="395">
        <f t="shared" ca="1" si="39"/>
        <v>0</v>
      </c>
      <c r="CE47" s="395">
        <f t="shared" ca="1" si="39"/>
        <v>0</v>
      </c>
      <c r="CF47" s="395">
        <f t="shared" ca="1" si="39"/>
        <v>0</v>
      </c>
      <c r="CG47" s="395">
        <f t="shared" ca="1" si="39"/>
        <v>0</v>
      </c>
      <c r="CH47" s="395">
        <f t="shared" ca="1" si="39"/>
        <v>0</v>
      </c>
      <c r="CI47" s="395">
        <f t="shared" ca="1" si="39"/>
        <v>0</v>
      </c>
      <c r="CJ47" s="395">
        <f t="shared" ca="1" si="39"/>
        <v>0</v>
      </c>
      <c r="CK47" s="395">
        <f t="shared" ca="1" si="39"/>
        <v>0</v>
      </c>
      <c r="CL47" s="133" t="s">
        <v>15</v>
      </c>
    </row>
    <row r="48" spans="2:90" ht="15" customHeight="1" x14ac:dyDescent="0.2">
      <c r="B48" s="133" t="s">
        <v>30</v>
      </c>
      <c r="C48" s="133"/>
      <c r="D48" s="133"/>
      <c r="E48" s="395">
        <f ca="1">SUM(E46:E47)</f>
        <v>-3731303.322813286</v>
      </c>
      <c r="F48" s="395">
        <f t="shared" ref="F48:BQ48" ca="1" si="40">SUM(F46:F47)</f>
        <v>-142691.64538799995</v>
      </c>
      <c r="G48" s="395">
        <f t="shared" ca="1" si="40"/>
        <v>-142785.0758198571</v>
      </c>
      <c r="H48" s="395">
        <f t="shared" ca="1" si="40"/>
        <v>-176481.21413238143</v>
      </c>
      <c r="I48" s="395">
        <f t="shared" ca="1" si="40"/>
        <v>-320236.48135238088</v>
      </c>
      <c r="J48" s="395">
        <f t="shared" ca="1" si="40"/>
        <v>-271401.73878095235</v>
      </c>
      <c r="K48" s="395">
        <f t="shared" ca="1" si="40"/>
        <v>-459093.94394285721</v>
      </c>
      <c r="L48" s="395">
        <f t="shared" ca="1" si="40"/>
        <v>-701125.68161949876</v>
      </c>
      <c r="M48" s="395">
        <f t="shared" ca="1" si="40"/>
        <v>-701590.48929614038</v>
      </c>
      <c r="N48" s="395">
        <f t="shared" ca="1" si="40"/>
        <v>-702055.296972782</v>
      </c>
      <c r="O48" s="395">
        <f t="shared" ca="1" si="40"/>
        <v>-702520.10464942351</v>
      </c>
      <c r="P48" s="395">
        <f t="shared" ca="1" si="40"/>
        <v>-702984.91232606512</v>
      </c>
      <c r="Q48" s="395">
        <f t="shared" ca="1" si="40"/>
        <v>-703449.72000270686</v>
      </c>
      <c r="R48" s="395">
        <f t="shared" ca="1" si="40"/>
        <v>-1082271.3575193482</v>
      </c>
      <c r="S48" s="395">
        <f t="shared" ca="1" si="40"/>
        <v>-1199765.0343693234</v>
      </c>
      <c r="T48" s="395">
        <f t="shared" ca="1" si="40"/>
        <v>-528610.65829072532</v>
      </c>
      <c r="U48" s="395">
        <f t="shared" ca="1" si="40"/>
        <v>-8096.7686666666677</v>
      </c>
      <c r="V48" s="395">
        <f t="shared" ca="1" si="40"/>
        <v>-8096.7686666666677</v>
      </c>
      <c r="W48" s="395">
        <f t="shared" ca="1" si="40"/>
        <v>-8096.7686666666677</v>
      </c>
      <c r="X48" s="395">
        <f t="shared" ca="1" si="40"/>
        <v>-8096.7686666666677</v>
      </c>
      <c r="Y48" s="395">
        <f t="shared" ca="1" si="40"/>
        <v>-8096.7686666666677</v>
      </c>
      <c r="Z48" s="395">
        <f t="shared" ca="1" si="40"/>
        <v>-8096.7686666666677</v>
      </c>
      <c r="AA48" s="395">
        <f t="shared" ca="1" si="40"/>
        <v>-8096.7686666666677</v>
      </c>
      <c r="AB48" s="395">
        <f t="shared" ca="1" si="40"/>
        <v>-8096.7686666666677</v>
      </c>
      <c r="AC48" s="395">
        <f t="shared" ca="1" si="40"/>
        <v>-8096.7686666666677</v>
      </c>
      <c r="AD48" s="395">
        <f t="shared" ca="1" si="40"/>
        <v>-8096.7686666666677</v>
      </c>
      <c r="AE48" s="395">
        <f t="shared" ca="1" si="40"/>
        <v>-8096.7686666666677</v>
      </c>
      <c r="AF48" s="395">
        <f t="shared" ca="1" si="40"/>
        <v>-8096.7686666666677</v>
      </c>
      <c r="AG48" s="395">
        <f t="shared" ca="1" si="40"/>
        <v>-8096.7686666666677</v>
      </c>
      <c r="AH48" s="395">
        <f t="shared" ca="1" si="40"/>
        <v>-8096.7686666666677</v>
      </c>
      <c r="AI48" s="395">
        <f t="shared" ca="1" si="40"/>
        <v>-8096.7686666666677</v>
      </c>
      <c r="AJ48" s="395">
        <f t="shared" ca="1" si="40"/>
        <v>-8096.7686666666677</v>
      </c>
      <c r="AK48" s="395">
        <f t="shared" ca="1" si="40"/>
        <v>-8096.7686666666677</v>
      </c>
      <c r="AL48" s="395">
        <f t="shared" ca="1" si="40"/>
        <v>-8096.7686666666677</v>
      </c>
      <c r="AM48" s="395">
        <f t="shared" ca="1" si="40"/>
        <v>-8096.7686666666677</v>
      </c>
      <c r="AN48" s="395">
        <f t="shared" ca="1" si="40"/>
        <v>-8096.7686666666677</v>
      </c>
      <c r="AO48" s="395">
        <f ca="1">SUM(AO46:AO47)</f>
        <v>13984089.806935186</v>
      </c>
      <c r="AP48" s="395">
        <f t="shared" ca="1" si="40"/>
        <v>0</v>
      </c>
      <c r="AQ48" s="395">
        <f t="shared" ca="1" si="40"/>
        <v>0</v>
      </c>
      <c r="AR48" s="395">
        <f t="shared" ca="1" si="40"/>
        <v>0</v>
      </c>
      <c r="AS48" s="395">
        <f t="shared" ca="1" si="40"/>
        <v>0</v>
      </c>
      <c r="AT48" s="395">
        <f t="shared" ca="1" si="40"/>
        <v>0</v>
      </c>
      <c r="AU48" s="395">
        <f t="shared" ca="1" si="40"/>
        <v>0</v>
      </c>
      <c r="AV48" s="395">
        <f t="shared" ca="1" si="40"/>
        <v>0</v>
      </c>
      <c r="AW48" s="395">
        <f t="shared" ca="1" si="40"/>
        <v>0</v>
      </c>
      <c r="AX48" s="395">
        <f t="shared" ca="1" si="40"/>
        <v>0</v>
      </c>
      <c r="AY48" s="395">
        <f t="shared" ca="1" si="40"/>
        <v>0</v>
      </c>
      <c r="AZ48" s="395">
        <f t="shared" ca="1" si="40"/>
        <v>0</v>
      </c>
      <c r="BA48" s="395">
        <f t="shared" ca="1" si="40"/>
        <v>0</v>
      </c>
      <c r="BB48" s="395">
        <f t="shared" ca="1" si="40"/>
        <v>0</v>
      </c>
      <c r="BC48" s="395">
        <f t="shared" ca="1" si="40"/>
        <v>0</v>
      </c>
      <c r="BD48" s="395">
        <f t="shared" ca="1" si="40"/>
        <v>0</v>
      </c>
      <c r="BE48" s="395">
        <f t="shared" ca="1" si="40"/>
        <v>0</v>
      </c>
      <c r="BF48" s="395">
        <f t="shared" ca="1" si="40"/>
        <v>0</v>
      </c>
      <c r="BG48" s="395">
        <f t="shared" ca="1" si="40"/>
        <v>0</v>
      </c>
      <c r="BH48" s="395">
        <f t="shared" ca="1" si="40"/>
        <v>0</v>
      </c>
      <c r="BI48" s="395">
        <f t="shared" ca="1" si="40"/>
        <v>0</v>
      </c>
      <c r="BJ48" s="395">
        <f t="shared" ca="1" si="40"/>
        <v>0</v>
      </c>
      <c r="BK48" s="395">
        <f t="shared" ca="1" si="40"/>
        <v>0</v>
      </c>
      <c r="BL48" s="395">
        <f t="shared" ca="1" si="40"/>
        <v>0</v>
      </c>
      <c r="BM48" s="395">
        <f t="shared" ca="1" si="40"/>
        <v>0</v>
      </c>
      <c r="BN48" s="395">
        <f t="shared" ca="1" si="40"/>
        <v>0</v>
      </c>
      <c r="BO48" s="395">
        <f t="shared" ca="1" si="40"/>
        <v>0</v>
      </c>
      <c r="BP48" s="395">
        <f t="shared" ca="1" si="40"/>
        <v>0</v>
      </c>
      <c r="BQ48" s="395">
        <f t="shared" ca="1" si="40"/>
        <v>0</v>
      </c>
      <c r="BR48" s="395">
        <f t="shared" ref="BR48:CK48" ca="1" si="41">SUM(BR46:BR47)</f>
        <v>0</v>
      </c>
      <c r="BS48" s="395">
        <f t="shared" ca="1" si="41"/>
        <v>0</v>
      </c>
      <c r="BT48" s="395">
        <f t="shared" ca="1" si="41"/>
        <v>0</v>
      </c>
      <c r="BU48" s="395">
        <f t="shared" ca="1" si="41"/>
        <v>0</v>
      </c>
      <c r="BV48" s="395">
        <f t="shared" ca="1" si="41"/>
        <v>0</v>
      </c>
      <c r="BW48" s="395">
        <f t="shared" ca="1" si="41"/>
        <v>0</v>
      </c>
      <c r="BX48" s="395">
        <f t="shared" ca="1" si="41"/>
        <v>0</v>
      </c>
      <c r="BY48" s="395">
        <f t="shared" ca="1" si="41"/>
        <v>0</v>
      </c>
      <c r="BZ48" s="395">
        <f t="shared" ca="1" si="41"/>
        <v>0</v>
      </c>
      <c r="CA48" s="395">
        <f t="shared" ca="1" si="41"/>
        <v>0</v>
      </c>
      <c r="CB48" s="395">
        <f t="shared" ca="1" si="41"/>
        <v>0</v>
      </c>
      <c r="CC48" s="395">
        <f t="shared" ca="1" si="41"/>
        <v>0</v>
      </c>
      <c r="CD48" s="395">
        <f t="shared" ca="1" si="41"/>
        <v>0</v>
      </c>
      <c r="CE48" s="395">
        <f t="shared" ca="1" si="41"/>
        <v>0</v>
      </c>
      <c r="CF48" s="395">
        <f t="shared" ca="1" si="41"/>
        <v>0</v>
      </c>
      <c r="CG48" s="395">
        <f t="shared" ca="1" si="41"/>
        <v>0</v>
      </c>
      <c r="CH48" s="395">
        <f t="shared" ca="1" si="41"/>
        <v>0</v>
      </c>
      <c r="CI48" s="395">
        <f t="shared" ca="1" si="41"/>
        <v>0</v>
      </c>
      <c r="CJ48" s="395">
        <f t="shared" ca="1" si="41"/>
        <v>0</v>
      </c>
      <c r="CK48" s="395">
        <f t="shared" ca="1" si="41"/>
        <v>0</v>
      </c>
      <c r="CL48" s="133" t="s">
        <v>15</v>
      </c>
    </row>
    <row r="49" spans="2:90" ht="15" customHeight="1" x14ac:dyDescent="0.2">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row>
    <row r="50" spans="2:90" ht="15" customHeight="1" x14ac:dyDescent="0.25">
      <c r="B50" s="146" t="s">
        <v>269</v>
      </c>
      <c r="C50" s="146"/>
      <c r="D50" s="146"/>
      <c r="E50" s="134" t="s">
        <v>164</v>
      </c>
      <c r="F50" s="134" t="s">
        <v>161</v>
      </c>
      <c r="G50" s="134" t="s">
        <v>30</v>
      </c>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row>
    <row r="51" spans="2:90" ht="15" customHeight="1" x14ac:dyDescent="0.2">
      <c r="B51" s="306" t="s">
        <v>217</v>
      </c>
      <c r="C51" s="307"/>
      <c r="D51" s="307"/>
      <c r="E51" s="398">
        <f ca="1">XIRR(E46:CK46,HoldingDates)</f>
        <v>9.6860533952713018E-2</v>
      </c>
      <c r="F51" s="398" t="e">
        <f ca="1">XIRR(E47:CK47,HoldingDates)</f>
        <v>#NUM!</v>
      </c>
      <c r="G51" s="399">
        <f ca="1">XIRR(E48:CK48,HoldingDates)</f>
        <v>5.0119778513908392E-2</v>
      </c>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row>
    <row r="52" spans="2:90" ht="15" customHeight="1" x14ac:dyDescent="0.2">
      <c r="B52" s="308" t="s">
        <v>218</v>
      </c>
      <c r="C52" s="133"/>
      <c r="D52" s="133"/>
      <c r="E52" s="414">
        <f ca="1">-SUMIF(E46:CK46,"&gt;"&amp;0)/SUMIF(E46:CK46,"&lt;"&amp;0)</f>
        <v>1.249999999999998</v>
      </c>
      <c r="F52" s="407">
        <f ca="1">-SUMIF(E47:CK47,"&gt;"&amp;0)/SUMIF(E47:CK47,"&lt;"&amp;0)</f>
        <v>0</v>
      </c>
      <c r="G52" s="415">
        <f ca="1">-SUMIF(E48:CK48,"&gt;"&amp;0)/SUMIF(E48:CK48,"&lt;"&amp;0)</f>
        <v>1.1250000000000004</v>
      </c>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row>
    <row r="53" spans="2:90" ht="15" customHeight="1" x14ac:dyDescent="0.2">
      <c r="B53" s="301" t="s">
        <v>220</v>
      </c>
      <c r="C53" s="142"/>
      <c r="D53" s="142"/>
      <c r="E53" s="402">
        <f ca="1">SUM(E46:CK46)</f>
        <v>2796817.9613870196</v>
      </c>
      <c r="F53" s="402">
        <f ca="1">SUM(E47:CK47)</f>
        <v>-1243030.2050609058</v>
      </c>
      <c r="G53" s="403">
        <f ca="1">SUM(E48:CK48)</f>
        <v>1553787.7563261371</v>
      </c>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row>
    <row r="54" spans="2:90" ht="15" customHeight="1" x14ac:dyDescent="0.2">
      <c r="CL54" s="133"/>
    </row>
    <row r="55" spans="2:90" ht="15" customHeight="1" x14ac:dyDescent="0.25">
      <c r="B55" s="132" t="s">
        <v>257</v>
      </c>
      <c r="CL55" s="133"/>
    </row>
    <row r="56" spans="2:90" s="21" customFormat="1" ht="10.15" customHeight="1" x14ac:dyDescent="0.25">
      <c r="B56" s="22"/>
      <c r="C56" s="23"/>
      <c r="D56" s="23"/>
      <c r="E56" s="23"/>
      <c r="O56" s="13"/>
      <c r="P56" s="13"/>
      <c r="Q56" s="13"/>
      <c r="R56" s="13"/>
      <c r="S56" s="13"/>
      <c r="T56" s="13"/>
      <c r="U56" s="13"/>
      <c r="V56" s="13"/>
      <c r="W56" s="13"/>
      <c r="X56" s="13"/>
      <c r="Y56" s="13"/>
      <c r="Z56" s="13"/>
      <c r="AA56" s="13"/>
      <c r="AB56" s="13"/>
      <c r="AC56" s="13"/>
      <c r="AD56" s="13"/>
      <c r="AE56" s="13"/>
      <c r="AF56" s="13"/>
      <c r="AG56" s="13"/>
    </row>
    <row r="57" spans="2:90" s="133" customFormat="1" ht="15" customHeight="1" outlineLevel="1" x14ac:dyDescent="0.2">
      <c r="B57" s="133" t="s">
        <v>270</v>
      </c>
      <c r="E57" s="395">
        <f ca="1">E31-E44</f>
        <v>0</v>
      </c>
      <c r="F57" s="395">
        <f t="shared" ref="F57:BQ57" ca="1" si="42">F31-F44</f>
        <v>0</v>
      </c>
      <c r="G57" s="395">
        <f t="shared" ca="1" si="42"/>
        <v>0</v>
      </c>
      <c r="H57" s="395">
        <f t="shared" ca="1" si="42"/>
        <v>0</v>
      </c>
      <c r="I57" s="395">
        <f t="shared" ca="1" si="42"/>
        <v>0</v>
      </c>
      <c r="J57" s="395">
        <f t="shared" ca="1" si="42"/>
        <v>0</v>
      </c>
      <c r="K57" s="395">
        <f t="shared" ca="1" si="42"/>
        <v>0</v>
      </c>
      <c r="L57" s="395">
        <f t="shared" ca="1" si="42"/>
        <v>0</v>
      </c>
      <c r="M57" s="395">
        <f t="shared" ca="1" si="42"/>
        <v>0</v>
      </c>
      <c r="N57" s="395">
        <f t="shared" ca="1" si="42"/>
        <v>0</v>
      </c>
      <c r="O57" s="395">
        <f t="shared" ca="1" si="42"/>
        <v>0</v>
      </c>
      <c r="P57" s="395">
        <f t="shared" ca="1" si="42"/>
        <v>0</v>
      </c>
      <c r="Q57" s="395">
        <f t="shared" ca="1" si="42"/>
        <v>0</v>
      </c>
      <c r="R57" s="395">
        <f t="shared" ca="1" si="42"/>
        <v>0</v>
      </c>
      <c r="S57" s="395">
        <f t="shared" ca="1" si="42"/>
        <v>0</v>
      </c>
      <c r="T57" s="395">
        <f t="shared" ca="1" si="42"/>
        <v>0</v>
      </c>
      <c r="U57" s="395">
        <f t="shared" ca="1" si="42"/>
        <v>0</v>
      </c>
      <c r="V57" s="395">
        <f t="shared" ca="1" si="42"/>
        <v>0</v>
      </c>
      <c r="W57" s="395">
        <f t="shared" ca="1" si="42"/>
        <v>0</v>
      </c>
      <c r="X57" s="395">
        <f t="shared" ca="1" si="42"/>
        <v>0</v>
      </c>
      <c r="Y57" s="395">
        <f t="shared" ca="1" si="42"/>
        <v>0</v>
      </c>
      <c r="Z57" s="395">
        <f t="shared" ca="1" si="42"/>
        <v>0</v>
      </c>
      <c r="AA57" s="395">
        <f t="shared" ca="1" si="42"/>
        <v>0</v>
      </c>
      <c r="AB57" s="395">
        <f t="shared" ca="1" si="42"/>
        <v>0</v>
      </c>
      <c r="AC57" s="395">
        <f t="shared" ca="1" si="42"/>
        <v>0</v>
      </c>
      <c r="AD57" s="395">
        <f t="shared" ca="1" si="42"/>
        <v>0</v>
      </c>
      <c r="AE57" s="395">
        <f t="shared" ca="1" si="42"/>
        <v>0</v>
      </c>
      <c r="AF57" s="395">
        <f t="shared" ca="1" si="42"/>
        <v>0</v>
      </c>
      <c r="AG57" s="395">
        <f t="shared" ca="1" si="42"/>
        <v>0</v>
      </c>
      <c r="AH57" s="395">
        <f t="shared" ca="1" si="42"/>
        <v>0</v>
      </c>
      <c r="AI57" s="395">
        <f t="shared" ca="1" si="42"/>
        <v>0</v>
      </c>
      <c r="AJ57" s="395">
        <f t="shared" ca="1" si="42"/>
        <v>0</v>
      </c>
      <c r="AK57" s="395">
        <f t="shared" ca="1" si="42"/>
        <v>0</v>
      </c>
      <c r="AL57" s="395">
        <f t="shared" ca="1" si="42"/>
        <v>0</v>
      </c>
      <c r="AM57" s="395">
        <f t="shared" ca="1" si="42"/>
        <v>0</v>
      </c>
      <c r="AN57" s="395">
        <f t="shared" ca="1" si="42"/>
        <v>0</v>
      </c>
      <c r="AO57" s="395">
        <f t="shared" ca="1" si="42"/>
        <v>5343516.8938630875</v>
      </c>
      <c r="AP57" s="395">
        <f t="shared" ca="1" si="42"/>
        <v>110073.79706883527</v>
      </c>
      <c r="AQ57" s="395">
        <f t="shared" ca="1" si="42"/>
        <v>110073.79706883527</v>
      </c>
      <c r="AR57" s="395">
        <f t="shared" ca="1" si="42"/>
        <v>110073.79706883527</v>
      </c>
      <c r="AS57" s="395">
        <f t="shared" ca="1" si="42"/>
        <v>110073.79706883527</v>
      </c>
      <c r="AT57" s="395">
        <f t="shared" ca="1" si="42"/>
        <v>110073.79706883527</v>
      </c>
      <c r="AU57" s="395">
        <f t="shared" ca="1" si="42"/>
        <v>110073.79706883527</v>
      </c>
      <c r="AV57" s="395">
        <f t="shared" ca="1" si="42"/>
        <v>110073.79706883527</v>
      </c>
      <c r="AW57" s="395">
        <f t="shared" ca="1" si="42"/>
        <v>110073.79706883527</v>
      </c>
      <c r="AX57" s="395">
        <f t="shared" ca="1" si="42"/>
        <v>110073.79706883527</v>
      </c>
      <c r="AY57" s="395">
        <f t="shared" ca="1" si="42"/>
        <v>110073.79706883527</v>
      </c>
      <c r="AZ57" s="395">
        <f t="shared" ca="1" si="42"/>
        <v>110073.79706883527</v>
      </c>
      <c r="BA57" s="395">
        <f t="shared" ca="1" si="42"/>
        <v>110073.79706883527</v>
      </c>
      <c r="BB57" s="395">
        <f t="shared" ca="1" si="42"/>
        <v>92276.448121092428</v>
      </c>
      <c r="BC57" s="395">
        <f t="shared" ca="1" si="42"/>
        <v>92276.448121092428</v>
      </c>
      <c r="BD57" s="395">
        <f t="shared" ca="1" si="42"/>
        <v>92276.448121092428</v>
      </c>
      <c r="BE57" s="395">
        <f t="shared" ca="1" si="42"/>
        <v>92276.448121092428</v>
      </c>
      <c r="BF57" s="395">
        <f t="shared" ca="1" si="42"/>
        <v>92276.448121092428</v>
      </c>
      <c r="BG57" s="395">
        <f t="shared" ca="1" si="42"/>
        <v>92276.448121092428</v>
      </c>
      <c r="BH57" s="395">
        <f t="shared" ca="1" si="42"/>
        <v>92276.448121092428</v>
      </c>
      <c r="BI57" s="395">
        <f t="shared" ca="1" si="42"/>
        <v>92276.448121092428</v>
      </c>
      <c r="BJ57" s="395">
        <f t="shared" ca="1" si="42"/>
        <v>92276.448121092428</v>
      </c>
      <c r="BK57" s="395">
        <f t="shared" ca="1" si="42"/>
        <v>92276.448121092428</v>
      </c>
      <c r="BL57" s="395">
        <f t="shared" ca="1" si="42"/>
        <v>92276.448121092428</v>
      </c>
      <c r="BM57" s="395">
        <f t="shared" ca="1" si="42"/>
        <v>92276.448121092428</v>
      </c>
      <c r="BN57" s="395">
        <f t="shared" ca="1" si="42"/>
        <v>106921.35986988785</v>
      </c>
      <c r="BO57" s="395">
        <f t="shared" ca="1" si="42"/>
        <v>106921.35986988785</v>
      </c>
      <c r="BP57" s="395">
        <f t="shared" ca="1" si="42"/>
        <v>106921.35986988785</v>
      </c>
      <c r="BQ57" s="395">
        <f t="shared" ca="1" si="42"/>
        <v>106921.35986988785</v>
      </c>
      <c r="BR57" s="395">
        <f t="shared" ref="BR57:CK57" ca="1" si="43">BR31-BR44</f>
        <v>106921.35986988785</v>
      </c>
      <c r="BS57" s="395">
        <f t="shared" ca="1" si="43"/>
        <v>106921.35986988785</v>
      </c>
      <c r="BT57" s="395">
        <f t="shared" ca="1" si="43"/>
        <v>106921.35986988785</v>
      </c>
      <c r="BU57" s="395">
        <f t="shared" ca="1" si="43"/>
        <v>106921.35986988785</v>
      </c>
      <c r="BV57" s="395">
        <f t="shared" ca="1" si="43"/>
        <v>106921.35986988785</v>
      </c>
      <c r="BW57" s="395">
        <f t="shared" ca="1" si="43"/>
        <v>106921.35986988785</v>
      </c>
      <c r="BX57" s="395">
        <f t="shared" ca="1" si="43"/>
        <v>106921.35986988785</v>
      </c>
      <c r="BY57" s="395">
        <f t="shared" ca="1" si="43"/>
        <v>12719474.3621164</v>
      </c>
      <c r="BZ57" s="395">
        <f t="shared" ca="1" si="43"/>
        <v>0</v>
      </c>
      <c r="CA57" s="395">
        <f t="shared" ca="1" si="43"/>
        <v>0</v>
      </c>
      <c r="CB57" s="395">
        <f t="shared" ca="1" si="43"/>
        <v>0</v>
      </c>
      <c r="CC57" s="395">
        <f t="shared" ca="1" si="43"/>
        <v>0</v>
      </c>
      <c r="CD57" s="395">
        <f t="shared" ca="1" si="43"/>
        <v>0</v>
      </c>
      <c r="CE57" s="395">
        <f t="shared" ca="1" si="43"/>
        <v>0</v>
      </c>
      <c r="CF57" s="395">
        <f t="shared" ca="1" si="43"/>
        <v>0</v>
      </c>
      <c r="CG57" s="395">
        <f t="shared" ca="1" si="43"/>
        <v>0</v>
      </c>
      <c r="CH57" s="395">
        <f t="shared" ca="1" si="43"/>
        <v>0</v>
      </c>
      <c r="CI57" s="395">
        <f t="shared" ca="1" si="43"/>
        <v>0</v>
      </c>
      <c r="CJ57" s="395">
        <f t="shared" ca="1" si="43"/>
        <v>0</v>
      </c>
      <c r="CK57" s="395">
        <f t="shared" ca="1" si="43"/>
        <v>0</v>
      </c>
      <c r="CL57" s="133" t="s">
        <v>15</v>
      </c>
    </row>
    <row r="58" spans="2:90" s="133" customFormat="1" ht="15" customHeight="1" outlineLevel="1" x14ac:dyDescent="0.2"/>
    <row r="59" spans="2:90" s="133" customFormat="1" ht="15" customHeight="1" outlineLevel="1" x14ac:dyDescent="0.2">
      <c r="B59" s="133" t="s">
        <v>329</v>
      </c>
      <c r="E59" s="395">
        <f>D67</f>
        <v>0</v>
      </c>
      <c r="F59" s="395">
        <f t="shared" ref="F59:BQ59" ca="1" si="44">E67</f>
        <v>466412.91535166081</v>
      </c>
      <c r="G59" s="395">
        <f t="shared" ca="1" si="44"/>
        <v>484249.37102516083</v>
      </c>
      <c r="H59" s="395">
        <f t="shared" ca="1" si="44"/>
        <v>502097.50550264301</v>
      </c>
      <c r="I59" s="395">
        <f t="shared" ca="1" si="44"/>
        <v>524157.65726919071</v>
      </c>
      <c r="J59" s="395">
        <f t="shared" ca="1" si="44"/>
        <v>564187.21743823821</v>
      </c>
      <c r="K59" s="395">
        <f t="shared" ca="1" si="44"/>
        <v>598112.43478585721</v>
      </c>
      <c r="L59" s="395">
        <f t="shared" ca="1" si="44"/>
        <v>655499.17777871434</v>
      </c>
      <c r="M59" s="395">
        <f t="shared" ca="1" si="44"/>
        <v>743139.8879811517</v>
      </c>
      <c r="N59" s="395">
        <f t="shared" ca="1" si="44"/>
        <v>830838.69914316921</v>
      </c>
      <c r="O59" s="395">
        <f t="shared" ca="1" si="44"/>
        <v>918595.61126476689</v>
      </c>
      <c r="P59" s="395">
        <f t="shared" ca="1" si="44"/>
        <v>1006410.6243459448</v>
      </c>
      <c r="Q59" s="395">
        <f t="shared" ca="1" si="44"/>
        <v>1094283.738386703</v>
      </c>
      <c r="R59" s="395">
        <f t="shared" ca="1" si="44"/>
        <v>1182214.9533870413</v>
      </c>
      <c r="S59" s="395">
        <f t="shared" ca="1" si="44"/>
        <v>1317498.8730769597</v>
      </c>
      <c r="T59" s="395">
        <f t="shared" ca="1" si="44"/>
        <v>1467469.5023731252</v>
      </c>
      <c r="U59" s="395">
        <f t="shared" ca="1" si="44"/>
        <v>1533545.8346594658</v>
      </c>
      <c r="V59" s="395">
        <f t="shared" ca="1" si="44"/>
        <v>1534557.9307427991</v>
      </c>
      <c r="W59" s="395">
        <f t="shared" ca="1" si="44"/>
        <v>1535570.0268261323</v>
      </c>
      <c r="X59" s="395">
        <f t="shared" ca="1" si="44"/>
        <v>1536582.1229094656</v>
      </c>
      <c r="Y59" s="395">
        <f t="shared" ca="1" si="44"/>
        <v>1537594.2189927988</v>
      </c>
      <c r="Z59" s="395">
        <f t="shared" ca="1" si="44"/>
        <v>1538606.3150761321</v>
      </c>
      <c r="AA59" s="395">
        <f t="shared" ca="1" si="44"/>
        <v>1539618.4111594653</v>
      </c>
      <c r="AB59" s="395">
        <f t="shared" ca="1" si="44"/>
        <v>1540630.5072427986</v>
      </c>
      <c r="AC59" s="395">
        <f t="shared" ca="1" si="44"/>
        <v>1541642.6033261318</v>
      </c>
      <c r="AD59" s="395">
        <f t="shared" ca="1" si="44"/>
        <v>1542654.6994094651</v>
      </c>
      <c r="AE59" s="395">
        <f t="shared" ca="1" si="44"/>
        <v>1543666.7954927983</v>
      </c>
      <c r="AF59" s="395">
        <f t="shared" ca="1" si="44"/>
        <v>1544678.8915761316</v>
      </c>
      <c r="AG59" s="395">
        <f t="shared" ca="1" si="44"/>
        <v>1545690.9876594648</v>
      </c>
      <c r="AH59" s="395">
        <f t="shared" ca="1" si="44"/>
        <v>1546703.0837427981</v>
      </c>
      <c r="AI59" s="395">
        <f t="shared" ca="1" si="44"/>
        <v>1547715.1798261313</v>
      </c>
      <c r="AJ59" s="395">
        <f t="shared" ca="1" si="44"/>
        <v>1548727.2759094646</v>
      </c>
      <c r="AK59" s="395">
        <f t="shared" ca="1" si="44"/>
        <v>1549739.3719927978</v>
      </c>
      <c r="AL59" s="395">
        <f t="shared" ca="1" si="44"/>
        <v>1550751.4680761311</v>
      </c>
      <c r="AM59" s="395">
        <f t="shared" ca="1" si="44"/>
        <v>1551763.5641594643</v>
      </c>
      <c r="AN59" s="395">
        <f t="shared" ca="1" si="44"/>
        <v>1552775.6602427976</v>
      </c>
      <c r="AO59" s="395">
        <f t="shared" ca="1" si="44"/>
        <v>1553787.7563261308</v>
      </c>
      <c r="AP59" s="395">
        <f t="shared" ca="1" si="44"/>
        <v>0</v>
      </c>
      <c r="AQ59" s="395">
        <f t="shared" ca="1" si="44"/>
        <v>0</v>
      </c>
      <c r="AR59" s="395">
        <f t="shared" ca="1" si="44"/>
        <v>0</v>
      </c>
      <c r="AS59" s="395">
        <f t="shared" ca="1" si="44"/>
        <v>0</v>
      </c>
      <c r="AT59" s="395">
        <f t="shared" ca="1" si="44"/>
        <v>0</v>
      </c>
      <c r="AU59" s="395">
        <f t="shared" ca="1" si="44"/>
        <v>0</v>
      </c>
      <c r="AV59" s="395">
        <f t="shared" ca="1" si="44"/>
        <v>0</v>
      </c>
      <c r="AW59" s="395">
        <f t="shared" ca="1" si="44"/>
        <v>0</v>
      </c>
      <c r="AX59" s="395">
        <f t="shared" ca="1" si="44"/>
        <v>0</v>
      </c>
      <c r="AY59" s="395">
        <f t="shared" ca="1" si="44"/>
        <v>0</v>
      </c>
      <c r="AZ59" s="395">
        <f t="shared" ca="1" si="44"/>
        <v>0</v>
      </c>
      <c r="BA59" s="395">
        <f t="shared" ca="1" si="44"/>
        <v>0</v>
      </c>
      <c r="BB59" s="395">
        <f t="shared" ca="1" si="44"/>
        <v>0</v>
      </c>
      <c r="BC59" s="395">
        <f t="shared" ca="1" si="44"/>
        <v>0</v>
      </c>
      <c r="BD59" s="395">
        <f t="shared" ca="1" si="44"/>
        <v>0</v>
      </c>
      <c r="BE59" s="395">
        <f t="shared" ca="1" si="44"/>
        <v>0</v>
      </c>
      <c r="BF59" s="395">
        <f t="shared" ca="1" si="44"/>
        <v>0</v>
      </c>
      <c r="BG59" s="395">
        <f t="shared" ca="1" si="44"/>
        <v>0</v>
      </c>
      <c r="BH59" s="395">
        <f t="shared" ca="1" si="44"/>
        <v>0</v>
      </c>
      <c r="BI59" s="395">
        <f t="shared" ca="1" si="44"/>
        <v>0</v>
      </c>
      <c r="BJ59" s="395">
        <f t="shared" ca="1" si="44"/>
        <v>0</v>
      </c>
      <c r="BK59" s="395">
        <f t="shared" ca="1" si="44"/>
        <v>0</v>
      </c>
      <c r="BL59" s="395">
        <f t="shared" ca="1" si="44"/>
        <v>0</v>
      </c>
      <c r="BM59" s="395">
        <f t="shared" ca="1" si="44"/>
        <v>0</v>
      </c>
      <c r="BN59" s="395">
        <f t="shared" ca="1" si="44"/>
        <v>0</v>
      </c>
      <c r="BO59" s="395">
        <f t="shared" ca="1" si="44"/>
        <v>0</v>
      </c>
      <c r="BP59" s="395">
        <f t="shared" ca="1" si="44"/>
        <v>0</v>
      </c>
      <c r="BQ59" s="395">
        <f t="shared" ca="1" si="44"/>
        <v>0</v>
      </c>
      <c r="BR59" s="395">
        <f t="shared" ref="BR59:CK59" ca="1" si="45">BQ67</f>
        <v>0</v>
      </c>
      <c r="BS59" s="395">
        <f t="shared" ca="1" si="45"/>
        <v>0</v>
      </c>
      <c r="BT59" s="395">
        <f t="shared" ca="1" si="45"/>
        <v>0</v>
      </c>
      <c r="BU59" s="395">
        <f t="shared" ca="1" si="45"/>
        <v>0</v>
      </c>
      <c r="BV59" s="395">
        <f t="shared" ca="1" si="45"/>
        <v>0</v>
      </c>
      <c r="BW59" s="395">
        <f t="shared" ca="1" si="45"/>
        <v>0</v>
      </c>
      <c r="BX59" s="395">
        <f t="shared" ca="1" si="45"/>
        <v>0</v>
      </c>
      <c r="BY59" s="395">
        <f t="shared" ca="1" si="45"/>
        <v>0</v>
      </c>
      <c r="BZ59" s="395">
        <f t="shared" ca="1" si="45"/>
        <v>0</v>
      </c>
      <c r="CA59" s="395">
        <f t="shared" ca="1" si="45"/>
        <v>0</v>
      </c>
      <c r="CB59" s="395">
        <f t="shared" ca="1" si="45"/>
        <v>0</v>
      </c>
      <c r="CC59" s="395">
        <f t="shared" ca="1" si="45"/>
        <v>0</v>
      </c>
      <c r="CD59" s="395">
        <f t="shared" ca="1" si="45"/>
        <v>0</v>
      </c>
      <c r="CE59" s="395">
        <f t="shared" ca="1" si="45"/>
        <v>0</v>
      </c>
      <c r="CF59" s="395">
        <f t="shared" ca="1" si="45"/>
        <v>0</v>
      </c>
      <c r="CG59" s="395">
        <f t="shared" ca="1" si="45"/>
        <v>0</v>
      </c>
      <c r="CH59" s="395">
        <f t="shared" ca="1" si="45"/>
        <v>0</v>
      </c>
      <c r="CI59" s="395">
        <f t="shared" ca="1" si="45"/>
        <v>0</v>
      </c>
      <c r="CJ59" s="395">
        <f t="shared" ca="1" si="45"/>
        <v>0</v>
      </c>
      <c r="CK59" s="395">
        <f t="shared" ca="1" si="45"/>
        <v>0</v>
      </c>
      <c r="CL59" s="133" t="s">
        <v>15</v>
      </c>
    </row>
    <row r="60" spans="2:90" s="133" customFormat="1" ht="15" customHeight="1" outlineLevel="1" x14ac:dyDescent="0.2">
      <c r="B60" s="133" t="s">
        <v>262</v>
      </c>
      <c r="E60" s="395">
        <f t="shared" ref="E60:AJ60" ca="1" si="46">-MIN(E23,0)*SponsorEquityContributionPct</f>
        <v>373130.33228132862</v>
      </c>
      <c r="F60" s="395">
        <f t="shared" ca="1" si="46"/>
        <v>14269.164538799996</v>
      </c>
      <c r="G60" s="395">
        <f t="shared" ca="1" si="46"/>
        <v>14278.50758198571</v>
      </c>
      <c r="H60" s="395">
        <f t="shared" ca="1" si="46"/>
        <v>17648.121413238143</v>
      </c>
      <c r="I60" s="395">
        <f t="shared" ca="1" si="46"/>
        <v>32023.648135238091</v>
      </c>
      <c r="J60" s="395">
        <f t="shared" ca="1" si="46"/>
        <v>27140.173878095236</v>
      </c>
      <c r="K60" s="395">
        <f t="shared" ca="1" si="46"/>
        <v>45909.394394285715</v>
      </c>
      <c r="L60" s="395">
        <f t="shared" ca="1" si="46"/>
        <v>70112.568161949879</v>
      </c>
      <c r="M60" s="395">
        <f t="shared" ca="1" si="46"/>
        <v>70159.048929614044</v>
      </c>
      <c r="N60" s="395">
        <f t="shared" ca="1" si="46"/>
        <v>70205.529697278209</v>
      </c>
      <c r="O60" s="395">
        <f t="shared" ca="1" si="46"/>
        <v>70252.010464942359</v>
      </c>
      <c r="P60" s="395">
        <f t="shared" ca="1" si="46"/>
        <v>70298.49123260651</v>
      </c>
      <c r="Q60" s="395">
        <f t="shared" ca="1" si="46"/>
        <v>70344.972000270674</v>
      </c>
      <c r="R60" s="395">
        <f t="shared" ca="1" si="46"/>
        <v>108227.13575193482</v>
      </c>
      <c r="S60" s="395">
        <f t="shared" ca="1" si="46"/>
        <v>119976.50343693234</v>
      </c>
      <c r="T60" s="395">
        <f t="shared" ca="1" si="46"/>
        <v>52861.065829072533</v>
      </c>
      <c r="U60" s="395">
        <f t="shared" ca="1" si="46"/>
        <v>809.6768666666668</v>
      </c>
      <c r="V60" s="395">
        <f t="shared" ca="1" si="46"/>
        <v>809.6768666666668</v>
      </c>
      <c r="W60" s="395">
        <f t="shared" ca="1" si="46"/>
        <v>809.6768666666668</v>
      </c>
      <c r="X60" s="395">
        <f t="shared" ca="1" si="46"/>
        <v>809.6768666666668</v>
      </c>
      <c r="Y60" s="395">
        <f t="shared" ca="1" si="46"/>
        <v>809.6768666666668</v>
      </c>
      <c r="Z60" s="395">
        <f t="shared" ca="1" si="46"/>
        <v>809.6768666666668</v>
      </c>
      <c r="AA60" s="395">
        <f t="shared" ca="1" si="46"/>
        <v>809.6768666666668</v>
      </c>
      <c r="AB60" s="395">
        <f t="shared" ca="1" si="46"/>
        <v>809.6768666666668</v>
      </c>
      <c r="AC60" s="395">
        <f t="shared" ca="1" si="46"/>
        <v>809.6768666666668</v>
      </c>
      <c r="AD60" s="395">
        <f t="shared" ca="1" si="46"/>
        <v>809.6768666666668</v>
      </c>
      <c r="AE60" s="395">
        <f t="shared" ca="1" si="46"/>
        <v>809.6768666666668</v>
      </c>
      <c r="AF60" s="395">
        <f t="shared" ca="1" si="46"/>
        <v>809.6768666666668</v>
      </c>
      <c r="AG60" s="395">
        <f t="shared" ca="1" si="46"/>
        <v>809.6768666666668</v>
      </c>
      <c r="AH60" s="395">
        <f t="shared" ca="1" si="46"/>
        <v>809.6768666666668</v>
      </c>
      <c r="AI60" s="395">
        <f t="shared" ca="1" si="46"/>
        <v>809.6768666666668</v>
      </c>
      <c r="AJ60" s="395">
        <f t="shared" ca="1" si="46"/>
        <v>809.6768666666668</v>
      </c>
      <c r="AK60" s="395">
        <f t="shared" ref="AK60:BP60" ca="1" si="47">-MIN(AK23,0)*SponsorEquityContributionPct</f>
        <v>809.6768666666668</v>
      </c>
      <c r="AL60" s="395">
        <f t="shared" ca="1" si="47"/>
        <v>809.6768666666668</v>
      </c>
      <c r="AM60" s="395">
        <f t="shared" ca="1" si="47"/>
        <v>809.6768666666668</v>
      </c>
      <c r="AN60" s="395">
        <f t="shared" ca="1" si="47"/>
        <v>809.6768666666668</v>
      </c>
      <c r="AO60" s="395">
        <f t="shared" ca="1" si="47"/>
        <v>0</v>
      </c>
      <c r="AP60" s="395">
        <f t="shared" ca="1" si="47"/>
        <v>0</v>
      </c>
      <c r="AQ60" s="395">
        <f t="shared" ca="1" si="47"/>
        <v>0</v>
      </c>
      <c r="AR60" s="395">
        <f t="shared" ca="1" si="47"/>
        <v>0</v>
      </c>
      <c r="AS60" s="395">
        <f t="shared" ca="1" si="47"/>
        <v>0</v>
      </c>
      <c r="AT60" s="395">
        <f t="shared" ca="1" si="47"/>
        <v>0</v>
      </c>
      <c r="AU60" s="395">
        <f t="shared" ca="1" si="47"/>
        <v>0</v>
      </c>
      <c r="AV60" s="395">
        <f t="shared" ca="1" si="47"/>
        <v>0</v>
      </c>
      <c r="AW60" s="395">
        <f t="shared" ca="1" si="47"/>
        <v>0</v>
      </c>
      <c r="AX60" s="395">
        <f t="shared" ca="1" si="47"/>
        <v>0</v>
      </c>
      <c r="AY60" s="395">
        <f t="shared" ca="1" si="47"/>
        <v>0</v>
      </c>
      <c r="AZ60" s="395">
        <f t="shared" ca="1" si="47"/>
        <v>0</v>
      </c>
      <c r="BA60" s="395">
        <f t="shared" ca="1" si="47"/>
        <v>0</v>
      </c>
      <c r="BB60" s="395">
        <f t="shared" ca="1" si="47"/>
        <v>0</v>
      </c>
      <c r="BC60" s="395">
        <f t="shared" ca="1" si="47"/>
        <v>0</v>
      </c>
      <c r="BD60" s="395">
        <f t="shared" ca="1" si="47"/>
        <v>0</v>
      </c>
      <c r="BE60" s="395">
        <f t="shared" ca="1" si="47"/>
        <v>0</v>
      </c>
      <c r="BF60" s="395">
        <f t="shared" ca="1" si="47"/>
        <v>0</v>
      </c>
      <c r="BG60" s="395">
        <f t="shared" ca="1" si="47"/>
        <v>0</v>
      </c>
      <c r="BH60" s="395">
        <f t="shared" ca="1" si="47"/>
        <v>0</v>
      </c>
      <c r="BI60" s="395">
        <f t="shared" ca="1" si="47"/>
        <v>0</v>
      </c>
      <c r="BJ60" s="395">
        <f t="shared" ca="1" si="47"/>
        <v>0</v>
      </c>
      <c r="BK60" s="395">
        <f t="shared" ca="1" si="47"/>
        <v>0</v>
      </c>
      <c r="BL60" s="395">
        <f t="shared" ca="1" si="47"/>
        <v>0</v>
      </c>
      <c r="BM60" s="395">
        <f t="shared" ca="1" si="47"/>
        <v>0</v>
      </c>
      <c r="BN60" s="395">
        <f t="shared" ca="1" si="47"/>
        <v>0</v>
      </c>
      <c r="BO60" s="395">
        <f t="shared" ca="1" si="47"/>
        <v>0</v>
      </c>
      <c r="BP60" s="395">
        <f t="shared" ca="1" si="47"/>
        <v>0</v>
      </c>
      <c r="BQ60" s="395">
        <f t="shared" ref="BQ60:CK60" ca="1" si="48">-MIN(BQ23,0)*SponsorEquityContributionPct</f>
        <v>0</v>
      </c>
      <c r="BR60" s="395">
        <f t="shared" ca="1" si="48"/>
        <v>0</v>
      </c>
      <c r="BS60" s="395">
        <f t="shared" ca="1" si="48"/>
        <v>0</v>
      </c>
      <c r="BT60" s="395">
        <f t="shared" ca="1" si="48"/>
        <v>0</v>
      </c>
      <c r="BU60" s="395">
        <f t="shared" ca="1" si="48"/>
        <v>0</v>
      </c>
      <c r="BV60" s="395">
        <f t="shared" ca="1" si="48"/>
        <v>0</v>
      </c>
      <c r="BW60" s="395">
        <f t="shared" ca="1" si="48"/>
        <v>0</v>
      </c>
      <c r="BX60" s="395">
        <f t="shared" ca="1" si="48"/>
        <v>0</v>
      </c>
      <c r="BY60" s="395">
        <f t="shared" ca="1" si="48"/>
        <v>0</v>
      </c>
      <c r="BZ60" s="395">
        <f t="shared" ca="1" si="48"/>
        <v>0</v>
      </c>
      <c r="CA60" s="395">
        <f t="shared" ca="1" si="48"/>
        <v>0</v>
      </c>
      <c r="CB60" s="395">
        <f t="shared" ca="1" si="48"/>
        <v>0</v>
      </c>
      <c r="CC60" s="395">
        <f t="shared" ca="1" si="48"/>
        <v>0</v>
      </c>
      <c r="CD60" s="395">
        <f t="shared" ca="1" si="48"/>
        <v>0</v>
      </c>
      <c r="CE60" s="395">
        <f t="shared" ca="1" si="48"/>
        <v>0</v>
      </c>
      <c r="CF60" s="395">
        <f t="shared" ca="1" si="48"/>
        <v>0</v>
      </c>
      <c r="CG60" s="395">
        <f t="shared" ca="1" si="48"/>
        <v>0</v>
      </c>
      <c r="CH60" s="395">
        <f t="shared" ca="1" si="48"/>
        <v>0</v>
      </c>
      <c r="CI60" s="395">
        <f t="shared" ca="1" si="48"/>
        <v>0</v>
      </c>
      <c r="CJ60" s="395">
        <f t="shared" ca="1" si="48"/>
        <v>0</v>
      </c>
      <c r="CK60" s="395">
        <f t="shared" ca="1" si="48"/>
        <v>0</v>
      </c>
      <c r="CL60" s="133" t="s">
        <v>15</v>
      </c>
    </row>
    <row r="61" spans="2:90" s="133" customFormat="1" ht="15" customHeight="1" outlineLevel="1" x14ac:dyDescent="0.2">
      <c r="B61" s="133" t="s">
        <v>330</v>
      </c>
      <c r="E61" s="395">
        <f t="shared" ref="E61:AJ61" si="49">MAX((D63+D65+D66)*Tier2_HurdleMonthly_Case2,0)</f>
        <v>0</v>
      </c>
      <c r="F61" s="395">
        <f t="shared" ca="1" si="49"/>
        <v>1520.1791611479739</v>
      </c>
      <c r="G61" s="395">
        <f t="shared" ca="1" si="49"/>
        <v>1584.5069018441304</v>
      </c>
      <c r="H61" s="395">
        <f t="shared" ca="1" si="49"/>
        <v>1649.1347864330598</v>
      </c>
      <c r="I61" s="395">
        <f t="shared" ca="1" si="49"/>
        <v>1727.754196875296</v>
      </c>
      <c r="J61" s="395">
        <f t="shared" ca="1" si="49"/>
        <v>1865.2615878480437</v>
      </c>
      <c r="K61" s="395">
        <f t="shared" ca="1" si="49"/>
        <v>1983.4333223349208</v>
      </c>
      <c r="L61" s="395">
        <f t="shared" ca="1" si="49"/>
        <v>2178.5546308013777</v>
      </c>
      <c r="M61" s="395">
        <f t="shared" ca="1" si="49"/>
        <v>2473.0776135179694</v>
      </c>
      <c r="N61" s="395">
        <f t="shared" ca="1" si="49"/>
        <v>2768.9898877243004</v>
      </c>
      <c r="O61" s="395">
        <f t="shared" ca="1" si="49"/>
        <v>3066.2971135658713</v>
      </c>
      <c r="P61" s="395">
        <f t="shared" ca="1" si="49"/>
        <v>3365.004974248317</v>
      </c>
      <c r="Q61" s="395">
        <f t="shared" ca="1" si="49"/>
        <v>3665.1191761313544</v>
      </c>
      <c r="R61" s="395">
        <f t="shared" ca="1" si="49"/>
        <v>3966.6454488231166</v>
      </c>
      <c r="S61" s="395">
        <f t="shared" ca="1" si="49"/>
        <v>4423.7368011905646</v>
      </c>
      <c r="T61" s="395">
        <f t="shared" ca="1" si="49"/>
        <v>4930.5587786362703</v>
      </c>
      <c r="U61" s="395">
        <f t="shared" ca="1" si="49"/>
        <v>5166.0090109462135</v>
      </c>
      <c r="V61" s="395">
        <f t="shared" ca="1" si="49"/>
        <v>5190.3546949038073</v>
      </c>
      <c r="W61" s="395">
        <f t="shared" ca="1" si="49"/>
        <v>5214.7995661914429</v>
      </c>
      <c r="X61" s="395">
        <f t="shared" ca="1" si="49"/>
        <v>5239.3440289105783</v>
      </c>
      <c r="Y61" s="395">
        <f t="shared" ca="1" si="49"/>
        <v>5263.9884888090355</v>
      </c>
      <c r="Z61" s="395">
        <f t="shared" ca="1" si="49"/>
        <v>5288.7333532877001</v>
      </c>
      <c r="AA61" s="395">
        <f t="shared" ca="1" si="49"/>
        <v>5313.5790314072601</v>
      </c>
      <c r="AB61" s="395">
        <f t="shared" ca="1" si="49"/>
        <v>5338.5259338949681</v>
      </c>
      <c r="AC61" s="395">
        <f t="shared" ca="1" si="49"/>
        <v>5363.5744731514305</v>
      </c>
      <c r="AD61" s="395">
        <f t="shared" ca="1" si="49"/>
        <v>5388.7250632574223</v>
      </c>
      <c r="AE61" s="395">
        <f t="shared" ca="1" si="49"/>
        <v>5413.9781199807376</v>
      </c>
      <c r="AF61" s="395">
        <f t="shared" ca="1" si="49"/>
        <v>5439.3340607830596</v>
      </c>
      <c r="AG61" s="395">
        <f t="shared" ca="1" si="49"/>
        <v>5464.7933048268605</v>
      </c>
      <c r="AH61" s="395">
        <f t="shared" ca="1" si="49"/>
        <v>5490.3562729823343</v>
      </c>
      <c r="AI61" s="395">
        <f t="shared" ca="1" si="49"/>
        <v>5516.0233878343515</v>
      </c>
      <c r="AJ61" s="395">
        <f t="shared" ca="1" si="49"/>
        <v>5541.7950736894454</v>
      </c>
      <c r="AK61" s="395">
        <f t="shared" ref="AK61:BP61" ca="1" si="50">MAX((AJ63+AJ65+AJ66)*Tier2_HurdleMonthly_Case2,0)</f>
        <v>5567.6717565828249</v>
      </c>
      <c r="AL61" s="395">
        <f t="shared" ca="1" si="50"/>
        <v>5593.6538642854221</v>
      </c>
      <c r="AM61" s="395">
        <f t="shared" ca="1" si="50"/>
        <v>5619.7418263109612</v>
      </c>
      <c r="AN61" s="395">
        <f t="shared" ca="1" si="50"/>
        <v>5645.9360739230542</v>
      </c>
      <c r="AO61" s="395">
        <f t="shared" ca="1" si="50"/>
        <v>5672.2370401423386</v>
      </c>
      <c r="AP61" s="395">
        <f t="shared" ca="1" si="50"/>
        <v>0</v>
      </c>
      <c r="AQ61" s="395">
        <f t="shared" ca="1" si="50"/>
        <v>0</v>
      </c>
      <c r="AR61" s="395">
        <f t="shared" ca="1" si="50"/>
        <v>0</v>
      </c>
      <c r="AS61" s="395">
        <f t="shared" ca="1" si="50"/>
        <v>0</v>
      </c>
      <c r="AT61" s="395">
        <f t="shared" ca="1" si="50"/>
        <v>0</v>
      </c>
      <c r="AU61" s="395">
        <f t="shared" ca="1" si="50"/>
        <v>0</v>
      </c>
      <c r="AV61" s="395">
        <f t="shared" ca="1" si="50"/>
        <v>0</v>
      </c>
      <c r="AW61" s="395">
        <f t="shared" ca="1" si="50"/>
        <v>0</v>
      </c>
      <c r="AX61" s="395">
        <f t="shared" ca="1" si="50"/>
        <v>0</v>
      </c>
      <c r="AY61" s="395">
        <f t="shared" ca="1" si="50"/>
        <v>0</v>
      </c>
      <c r="AZ61" s="395">
        <f t="shared" ca="1" si="50"/>
        <v>0</v>
      </c>
      <c r="BA61" s="395">
        <f t="shared" ca="1" si="50"/>
        <v>0</v>
      </c>
      <c r="BB61" s="395">
        <f t="shared" ca="1" si="50"/>
        <v>0</v>
      </c>
      <c r="BC61" s="395">
        <f t="shared" ca="1" si="50"/>
        <v>0</v>
      </c>
      <c r="BD61" s="395">
        <f t="shared" ca="1" si="50"/>
        <v>0</v>
      </c>
      <c r="BE61" s="395">
        <f t="shared" ca="1" si="50"/>
        <v>0</v>
      </c>
      <c r="BF61" s="395">
        <f t="shared" ca="1" si="50"/>
        <v>0</v>
      </c>
      <c r="BG61" s="395">
        <f t="shared" ca="1" si="50"/>
        <v>0</v>
      </c>
      <c r="BH61" s="395">
        <f t="shared" ca="1" si="50"/>
        <v>0</v>
      </c>
      <c r="BI61" s="395">
        <f t="shared" ca="1" si="50"/>
        <v>0</v>
      </c>
      <c r="BJ61" s="395">
        <f t="shared" ca="1" si="50"/>
        <v>0</v>
      </c>
      <c r="BK61" s="395">
        <f t="shared" ca="1" si="50"/>
        <v>0</v>
      </c>
      <c r="BL61" s="395">
        <f t="shared" ca="1" si="50"/>
        <v>0</v>
      </c>
      <c r="BM61" s="395">
        <f t="shared" ca="1" si="50"/>
        <v>0</v>
      </c>
      <c r="BN61" s="395">
        <f t="shared" ca="1" si="50"/>
        <v>0</v>
      </c>
      <c r="BO61" s="395">
        <f t="shared" ca="1" si="50"/>
        <v>0</v>
      </c>
      <c r="BP61" s="395">
        <f t="shared" ca="1" si="50"/>
        <v>0</v>
      </c>
      <c r="BQ61" s="395">
        <f t="shared" ref="BQ61:CK61" ca="1" si="51">MAX((BP63+BP65+BP66)*Tier2_HurdleMonthly_Case2,0)</f>
        <v>0</v>
      </c>
      <c r="BR61" s="395">
        <f t="shared" ca="1" si="51"/>
        <v>0</v>
      </c>
      <c r="BS61" s="395">
        <f t="shared" ca="1" si="51"/>
        <v>0</v>
      </c>
      <c r="BT61" s="395">
        <f t="shared" ca="1" si="51"/>
        <v>0</v>
      </c>
      <c r="BU61" s="395">
        <f t="shared" ca="1" si="51"/>
        <v>0</v>
      </c>
      <c r="BV61" s="395">
        <f t="shared" ca="1" si="51"/>
        <v>0</v>
      </c>
      <c r="BW61" s="395">
        <f t="shared" ca="1" si="51"/>
        <v>0</v>
      </c>
      <c r="BX61" s="395">
        <f t="shared" ca="1" si="51"/>
        <v>0</v>
      </c>
      <c r="BY61" s="395">
        <f t="shared" ca="1" si="51"/>
        <v>0</v>
      </c>
      <c r="BZ61" s="395">
        <f t="shared" ca="1" si="51"/>
        <v>0</v>
      </c>
      <c r="CA61" s="395">
        <f t="shared" ca="1" si="51"/>
        <v>0</v>
      </c>
      <c r="CB61" s="395">
        <f t="shared" ca="1" si="51"/>
        <v>0</v>
      </c>
      <c r="CC61" s="395">
        <f t="shared" ca="1" si="51"/>
        <v>0</v>
      </c>
      <c r="CD61" s="395">
        <f t="shared" ca="1" si="51"/>
        <v>0</v>
      </c>
      <c r="CE61" s="395">
        <f t="shared" ca="1" si="51"/>
        <v>0</v>
      </c>
      <c r="CF61" s="395">
        <f t="shared" ca="1" si="51"/>
        <v>0</v>
      </c>
      <c r="CG61" s="395">
        <f t="shared" ca="1" si="51"/>
        <v>0</v>
      </c>
      <c r="CH61" s="395">
        <f t="shared" ca="1" si="51"/>
        <v>0</v>
      </c>
      <c r="CI61" s="395">
        <f t="shared" ca="1" si="51"/>
        <v>0</v>
      </c>
      <c r="CJ61" s="395">
        <f t="shared" ca="1" si="51"/>
        <v>0</v>
      </c>
      <c r="CK61" s="395">
        <f t="shared" ca="1" si="51"/>
        <v>0</v>
      </c>
      <c r="CL61" s="133" t="s">
        <v>15</v>
      </c>
    </row>
    <row r="62" spans="2:90" s="133" customFormat="1" ht="15" customHeight="1" outlineLevel="1" x14ac:dyDescent="0.2">
      <c r="B62" s="133" t="s">
        <v>328</v>
      </c>
      <c r="E62" s="395">
        <f t="shared" ref="E62:AJ62" ca="1" si="52">MAX(E60*(Tier2_Hurdle_EM_Case2-1),0)</f>
        <v>93282.583070332155</v>
      </c>
      <c r="F62" s="395">
        <f t="shared" ca="1" si="52"/>
        <v>3567.291134699999</v>
      </c>
      <c r="G62" s="395">
        <f t="shared" ca="1" si="52"/>
        <v>3569.6268954964276</v>
      </c>
      <c r="H62" s="395">
        <f t="shared" ca="1" si="52"/>
        <v>4412.0303533095357</v>
      </c>
      <c r="I62" s="395">
        <f t="shared" ca="1" si="52"/>
        <v>8005.9120338095227</v>
      </c>
      <c r="J62" s="395">
        <f t="shared" ca="1" si="52"/>
        <v>6785.0434695238091</v>
      </c>
      <c r="K62" s="395">
        <f t="shared" ca="1" si="52"/>
        <v>11477.348598571429</v>
      </c>
      <c r="L62" s="395">
        <f t="shared" ca="1" si="52"/>
        <v>17528.14204048747</v>
      </c>
      <c r="M62" s="395">
        <f t="shared" ca="1" si="52"/>
        <v>17539.762232403511</v>
      </c>
      <c r="N62" s="395">
        <f t="shared" ca="1" si="52"/>
        <v>17551.382424319552</v>
      </c>
      <c r="O62" s="395">
        <f t="shared" ca="1" si="52"/>
        <v>17563.00261623559</v>
      </c>
      <c r="P62" s="395">
        <f t="shared" ca="1" si="52"/>
        <v>17574.622808151627</v>
      </c>
      <c r="Q62" s="395">
        <f t="shared" ca="1" si="52"/>
        <v>17586.243000067669</v>
      </c>
      <c r="R62" s="395">
        <f t="shared" ca="1" si="52"/>
        <v>27056.783937983706</v>
      </c>
      <c r="S62" s="395">
        <f t="shared" ca="1" si="52"/>
        <v>29994.125859233085</v>
      </c>
      <c r="T62" s="395">
        <f t="shared" ca="1" si="52"/>
        <v>13215.266457268133</v>
      </c>
      <c r="U62" s="395">
        <f t="shared" ca="1" si="52"/>
        <v>202.4192166666667</v>
      </c>
      <c r="V62" s="395">
        <f t="shared" ca="1" si="52"/>
        <v>202.4192166666667</v>
      </c>
      <c r="W62" s="395">
        <f t="shared" ca="1" si="52"/>
        <v>202.4192166666667</v>
      </c>
      <c r="X62" s="395">
        <f t="shared" ca="1" si="52"/>
        <v>202.4192166666667</v>
      </c>
      <c r="Y62" s="395">
        <f t="shared" ca="1" si="52"/>
        <v>202.4192166666667</v>
      </c>
      <c r="Z62" s="395">
        <f t="shared" ca="1" si="52"/>
        <v>202.4192166666667</v>
      </c>
      <c r="AA62" s="395">
        <f t="shared" ca="1" si="52"/>
        <v>202.4192166666667</v>
      </c>
      <c r="AB62" s="395">
        <f t="shared" ca="1" si="52"/>
        <v>202.4192166666667</v>
      </c>
      <c r="AC62" s="395">
        <f t="shared" ca="1" si="52"/>
        <v>202.4192166666667</v>
      </c>
      <c r="AD62" s="395">
        <f t="shared" ca="1" si="52"/>
        <v>202.4192166666667</v>
      </c>
      <c r="AE62" s="395">
        <f t="shared" ca="1" si="52"/>
        <v>202.4192166666667</v>
      </c>
      <c r="AF62" s="395">
        <f t="shared" ca="1" si="52"/>
        <v>202.4192166666667</v>
      </c>
      <c r="AG62" s="395">
        <f t="shared" ca="1" si="52"/>
        <v>202.4192166666667</v>
      </c>
      <c r="AH62" s="395">
        <f t="shared" ca="1" si="52"/>
        <v>202.4192166666667</v>
      </c>
      <c r="AI62" s="395">
        <f t="shared" ca="1" si="52"/>
        <v>202.4192166666667</v>
      </c>
      <c r="AJ62" s="395">
        <f t="shared" ca="1" si="52"/>
        <v>202.4192166666667</v>
      </c>
      <c r="AK62" s="395">
        <f t="shared" ref="AK62:BP62" ca="1" si="53">MAX(AK60*(Tier2_Hurdle_EM_Case2-1),0)</f>
        <v>202.4192166666667</v>
      </c>
      <c r="AL62" s="395">
        <f t="shared" ca="1" si="53"/>
        <v>202.4192166666667</v>
      </c>
      <c r="AM62" s="395">
        <f t="shared" ca="1" si="53"/>
        <v>202.4192166666667</v>
      </c>
      <c r="AN62" s="395">
        <f t="shared" ca="1" si="53"/>
        <v>202.4192166666667</v>
      </c>
      <c r="AO62" s="395">
        <f t="shared" ca="1" si="53"/>
        <v>0</v>
      </c>
      <c r="AP62" s="395">
        <f t="shared" ca="1" si="53"/>
        <v>0</v>
      </c>
      <c r="AQ62" s="395">
        <f t="shared" ca="1" si="53"/>
        <v>0</v>
      </c>
      <c r="AR62" s="395">
        <f t="shared" ca="1" si="53"/>
        <v>0</v>
      </c>
      <c r="AS62" s="395">
        <f t="shared" ca="1" si="53"/>
        <v>0</v>
      </c>
      <c r="AT62" s="395">
        <f t="shared" ca="1" si="53"/>
        <v>0</v>
      </c>
      <c r="AU62" s="395">
        <f t="shared" ca="1" si="53"/>
        <v>0</v>
      </c>
      <c r="AV62" s="395">
        <f t="shared" ca="1" si="53"/>
        <v>0</v>
      </c>
      <c r="AW62" s="395">
        <f t="shared" ca="1" si="53"/>
        <v>0</v>
      </c>
      <c r="AX62" s="395">
        <f t="shared" ca="1" si="53"/>
        <v>0</v>
      </c>
      <c r="AY62" s="395">
        <f t="shared" ca="1" si="53"/>
        <v>0</v>
      </c>
      <c r="AZ62" s="395">
        <f t="shared" ca="1" si="53"/>
        <v>0</v>
      </c>
      <c r="BA62" s="395">
        <f t="shared" ca="1" si="53"/>
        <v>0</v>
      </c>
      <c r="BB62" s="395">
        <f t="shared" ca="1" si="53"/>
        <v>0</v>
      </c>
      <c r="BC62" s="395">
        <f t="shared" ca="1" si="53"/>
        <v>0</v>
      </c>
      <c r="BD62" s="395">
        <f t="shared" ca="1" si="53"/>
        <v>0</v>
      </c>
      <c r="BE62" s="395">
        <f t="shared" ca="1" si="53"/>
        <v>0</v>
      </c>
      <c r="BF62" s="395">
        <f t="shared" ca="1" si="53"/>
        <v>0</v>
      </c>
      <c r="BG62" s="395">
        <f t="shared" ca="1" si="53"/>
        <v>0</v>
      </c>
      <c r="BH62" s="395">
        <f t="shared" ca="1" si="53"/>
        <v>0</v>
      </c>
      <c r="BI62" s="395">
        <f t="shared" ca="1" si="53"/>
        <v>0</v>
      </c>
      <c r="BJ62" s="395">
        <f t="shared" ca="1" si="53"/>
        <v>0</v>
      </c>
      <c r="BK62" s="395">
        <f t="shared" ca="1" si="53"/>
        <v>0</v>
      </c>
      <c r="BL62" s="395">
        <f t="shared" ca="1" si="53"/>
        <v>0</v>
      </c>
      <c r="BM62" s="395">
        <f t="shared" ca="1" si="53"/>
        <v>0</v>
      </c>
      <c r="BN62" s="395">
        <f t="shared" ca="1" si="53"/>
        <v>0</v>
      </c>
      <c r="BO62" s="395">
        <f t="shared" ca="1" si="53"/>
        <v>0</v>
      </c>
      <c r="BP62" s="395">
        <f t="shared" ca="1" si="53"/>
        <v>0</v>
      </c>
      <c r="BQ62" s="395">
        <f t="shared" ref="BQ62:CK62" ca="1" si="54">MAX(BQ60*(Tier2_Hurdle_EM_Case2-1),0)</f>
        <v>0</v>
      </c>
      <c r="BR62" s="395">
        <f t="shared" ca="1" si="54"/>
        <v>0</v>
      </c>
      <c r="BS62" s="395">
        <f t="shared" ca="1" si="54"/>
        <v>0</v>
      </c>
      <c r="BT62" s="395">
        <f t="shared" ca="1" si="54"/>
        <v>0</v>
      </c>
      <c r="BU62" s="395">
        <f t="shared" ca="1" si="54"/>
        <v>0</v>
      </c>
      <c r="BV62" s="395">
        <f t="shared" ca="1" si="54"/>
        <v>0</v>
      </c>
      <c r="BW62" s="395">
        <f t="shared" ca="1" si="54"/>
        <v>0</v>
      </c>
      <c r="BX62" s="395">
        <f t="shared" ca="1" si="54"/>
        <v>0</v>
      </c>
      <c r="BY62" s="395">
        <f t="shared" ca="1" si="54"/>
        <v>0</v>
      </c>
      <c r="BZ62" s="395">
        <f t="shared" ca="1" si="54"/>
        <v>0</v>
      </c>
      <c r="CA62" s="395">
        <f t="shared" ca="1" si="54"/>
        <v>0</v>
      </c>
      <c r="CB62" s="395">
        <f t="shared" ca="1" si="54"/>
        <v>0</v>
      </c>
      <c r="CC62" s="395">
        <f t="shared" ca="1" si="54"/>
        <v>0</v>
      </c>
      <c r="CD62" s="395">
        <f t="shared" ca="1" si="54"/>
        <v>0</v>
      </c>
      <c r="CE62" s="395">
        <f t="shared" ca="1" si="54"/>
        <v>0</v>
      </c>
      <c r="CF62" s="395">
        <f t="shared" ca="1" si="54"/>
        <v>0</v>
      </c>
      <c r="CG62" s="395">
        <f t="shared" ca="1" si="54"/>
        <v>0</v>
      </c>
      <c r="CH62" s="395">
        <f t="shared" ca="1" si="54"/>
        <v>0</v>
      </c>
      <c r="CI62" s="395">
        <f t="shared" ca="1" si="54"/>
        <v>0</v>
      </c>
      <c r="CJ62" s="395">
        <f t="shared" ca="1" si="54"/>
        <v>0</v>
      </c>
      <c r="CK62" s="395">
        <f t="shared" ca="1" si="54"/>
        <v>0</v>
      </c>
      <c r="CL62" s="133" t="s">
        <v>15</v>
      </c>
    </row>
    <row r="63" spans="2:90" s="133" customFormat="1" ht="15" customHeight="1" outlineLevel="1" x14ac:dyDescent="0.2">
      <c r="B63" s="133" t="s">
        <v>361</v>
      </c>
      <c r="E63" s="395">
        <f ca="1">MAX(D63+D66+E60+E61,0)</f>
        <v>373130.33228132862</v>
      </c>
      <c r="F63" s="395">
        <f t="shared" ref="F63:BQ63" ca="1" si="55">MAX(E63+E66+F60+F61,0)</f>
        <v>388919.67598127661</v>
      </c>
      <c r="G63" s="395">
        <f t="shared" ca="1" si="55"/>
        <v>404782.69046510645</v>
      </c>
      <c r="H63" s="395">
        <f t="shared" ca="1" si="55"/>
        <v>424079.9466647777</v>
      </c>
      <c r="I63" s="395">
        <f t="shared" ca="1" si="55"/>
        <v>457831.34899689112</v>
      </c>
      <c r="J63" s="395">
        <f t="shared" ca="1" si="55"/>
        <v>486836.78446283442</v>
      </c>
      <c r="K63" s="395">
        <f t="shared" ca="1" si="55"/>
        <v>534729.612179455</v>
      </c>
      <c r="L63" s="395">
        <f t="shared" ca="1" si="55"/>
        <v>607020.73497220629</v>
      </c>
      <c r="M63" s="395">
        <f t="shared" ca="1" si="55"/>
        <v>679652.8615153383</v>
      </c>
      <c r="N63" s="395">
        <f t="shared" ca="1" si="55"/>
        <v>752627.38110034075</v>
      </c>
      <c r="O63" s="395">
        <f t="shared" ca="1" si="55"/>
        <v>825945.68867884891</v>
      </c>
      <c r="P63" s="395">
        <f t="shared" ca="1" si="55"/>
        <v>899609.18488570373</v>
      </c>
      <c r="Q63" s="395">
        <f t="shared" ca="1" si="55"/>
        <v>973619.27606210567</v>
      </c>
      <c r="R63" s="395">
        <f t="shared" ca="1" si="55"/>
        <v>1085813.0572628637</v>
      </c>
      <c r="S63" s="395">
        <f t="shared" ca="1" si="55"/>
        <v>1210213.2975009866</v>
      </c>
      <c r="T63" s="395">
        <f t="shared" ca="1" si="55"/>
        <v>1268004.9221086954</v>
      </c>
      <c r="U63" s="395">
        <f t="shared" ca="1" si="55"/>
        <v>1273980.6079863082</v>
      </c>
      <c r="V63" s="395">
        <f t="shared" ca="1" si="55"/>
        <v>1279980.6395478786</v>
      </c>
      <c r="W63" s="395">
        <f t="shared" ca="1" si="55"/>
        <v>1286005.1159807367</v>
      </c>
      <c r="X63" s="395">
        <f t="shared" ca="1" si="55"/>
        <v>1292054.1368763139</v>
      </c>
      <c r="Y63" s="395">
        <f t="shared" ca="1" si="55"/>
        <v>1298127.8022317896</v>
      </c>
      <c r="Z63" s="395">
        <f t="shared" ca="1" si="55"/>
        <v>1304226.2124517439</v>
      </c>
      <c r="AA63" s="395">
        <f t="shared" ca="1" si="55"/>
        <v>1310349.4683498179</v>
      </c>
      <c r="AB63" s="395">
        <f t="shared" ca="1" si="55"/>
        <v>1316497.6711503796</v>
      </c>
      <c r="AC63" s="395">
        <f t="shared" ca="1" si="55"/>
        <v>1322670.9224901977</v>
      </c>
      <c r="AD63" s="395">
        <f t="shared" ca="1" si="55"/>
        <v>1328869.3244201217</v>
      </c>
      <c r="AE63" s="395">
        <f t="shared" ca="1" si="55"/>
        <v>1335092.9794067692</v>
      </c>
      <c r="AF63" s="395">
        <f t="shared" ca="1" si="55"/>
        <v>1341341.9903342188</v>
      </c>
      <c r="AG63" s="395">
        <f t="shared" ca="1" si="55"/>
        <v>1347616.4605057123</v>
      </c>
      <c r="AH63" s="395">
        <f t="shared" ca="1" si="55"/>
        <v>1353916.4936453614</v>
      </c>
      <c r="AI63" s="395">
        <f t="shared" ca="1" si="55"/>
        <v>1360242.1938998625</v>
      </c>
      <c r="AJ63" s="395">
        <f t="shared" ca="1" si="55"/>
        <v>1366593.6658402185</v>
      </c>
      <c r="AK63" s="395">
        <f t="shared" ca="1" si="55"/>
        <v>1372971.014463468</v>
      </c>
      <c r="AL63" s="395">
        <f t="shared" ca="1" si="55"/>
        <v>1379374.3451944201</v>
      </c>
      <c r="AM63" s="395">
        <f t="shared" ca="1" si="55"/>
        <v>1385803.7638873977</v>
      </c>
      <c r="AN63" s="395">
        <f t="shared" ca="1" si="55"/>
        <v>1392259.3768279874</v>
      </c>
      <c r="AO63" s="395">
        <f t="shared" ca="1" si="55"/>
        <v>1397931.6138681297</v>
      </c>
      <c r="AP63" s="395">
        <f t="shared" ca="1" si="55"/>
        <v>0</v>
      </c>
      <c r="AQ63" s="395">
        <f t="shared" ca="1" si="55"/>
        <v>0</v>
      </c>
      <c r="AR63" s="395">
        <f t="shared" ca="1" si="55"/>
        <v>0</v>
      </c>
      <c r="AS63" s="395">
        <f t="shared" ca="1" si="55"/>
        <v>0</v>
      </c>
      <c r="AT63" s="395">
        <f t="shared" ca="1" si="55"/>
        <v>0</v>
      </c>
      <c r="AU63" s="395">
        <f t="shared" ca="1" si="55"/>
        <v>0</v>
      </c>
      <c r="AV63" s="395">
        <f t="shared" ca="1" si="55"/>
        <v>0</v>
      </c>
      <c r="AW63" s="395">
        <f t="shared" ca="1" si="55"/>
        <v>0</v>
      </c>
      <c r="AX63" s="395">
        <f t="shared" ca="1" si="55"/>
        <v>0</v>
      </c>
      <c r="AY63" s="395">
        <f t="shared" ca="1" si="55"/>
        <v>0</v>
      </c>
      <c r="AZ63" s="395">
        <f t="shared" ca="1" si="55"/>
        <v>0</v>
      </c>
      <c r="BA63" s="395">
        <f t="shared" ca="1" si="55"/>
        <v>0</v>
      </c>
      <c r="BB63" s="395">
        <f t="shared" ca="1" si="55"/>
        <v>0</v>
      </c>
      <c r="BC63" s="395">
        <f t="shared" ca="1" si="55"/>
        <v>0</v>
      </c>
      <c r="BD63" s="395">
        <f t="shared" ca="1" si="55"/>
        <v>0</v>
      </c>
      <c r="BE63" s="395">
        <f t="shared" ca="1" si="55"/>
        <v>0</v>
      </c>
      <c r="BF63" s="395">
        <f t="shared" ca="1" si="55"/>
        <v>0</v>
      </c>
      <c r="BG63" s="395">
        <f t="shared" ca="1" si="55"/>
        <v>0</v>
      </c>
      <c r="BH63" s="395">
        <f t="shared" ca="1" si="55"/>
        <v>0</v>
      </c>
      <c r="BI63" s="395">
        <f t="shared" ca="1" si="55"/>
        <v>0</v>
      </c>
      <c r="BJ63" s="395">
        <f t="shared" ca="1" si="55"/>
        <v>0</v>
      </c>
      <c r="BK63" s="395">
        <f t="shared" ca="1" si="55"/>
        <v>0</v>
      </c>
      <c r="BL63" s="395">
        <f t="shared" ca="1" si="55"/>
        <v>0</v>
      </c>
      <c r="BM63" s="395">
        <f t="shared" ca="1" si="55"/>
        <v>0</v>
      </c>
      <c r="BN63" s="395">
        <f t="shared" ca="1" si="55"/>
        <v>0</v>
      </c>
      <c r="BO63" s="395">
        <f t="shared" ca="1" si="55"/>
        <v>0</v>
      </c>
      <c r="BP63" s="395">
        <f t="shared" ca="1" si="55"/>
        <v>0</v>
      </c>
      <c r="BQ63" s="395">
        <f t="shared" ca="1" si="55"/>
        <v>0</v>
      </c>
      <c r="BR63" s="395">
        <f t="shared" ref="BR63:CK63" ca="1" si="56">MAX(BQ63+BQ66+BR60+BR61,0)</f>
        <v>0</v>
      </c>
      <c r="BS63" s="395">
        <f t="shared" ca="1" si="56"/>
        <v>0</v>
      </c>
      <c r="BT63" s="395">
        <f t="shared" ca="1" si="56"/>
        <v>0</v>
      </c>
      <c r="BU63" s="395">
        <f t="shared" ca="1" si="56"/>
        <v>0</v>
      </c>
      <c r="BV63" s="395">
        <f t="shared" ca="1" si="56"/>
        <v>0</v>
      </c>
      <c r="BW63" s="395">
        <f t="shared" ca="1" si="56"/>
        <v>0</v>
      </c>
      <c r="BX63" s="395">
        <f t="shared" ca="1" si="56"/>
        <v>0</v>
      </c>
      <c r="BY63" s="395">
        <f t="shared" ca="1" si="56"/>
        <v>0</v>
      </c>
      <c r="BZ63" s="395">
        <f t="shared" ca="1" si="56"/>
        <v>0</v>
      </c>
      <c r="CA63" s="395">
        <f t="shared" ca="1" si="56"/>
        <v>0</v>
      </c>
      <c r="CB63" s="395">
        <f t="shared" ca="1" si="56"/>
        <v>0</v>
      </c>
      <c r="CC63" s="395">
        <f t="shared" ca="1" si="56"/>
        <v>0</v>
      </c>
      <c r="CD63" s="395">
        <f t="shared" ca="1" si="56"/>
        <v>0</v>
      </c>
      <c r="CE63" s="395">
        <f t="shared" ca="1" si="56"/>
        <v>0</v>
      </c>
      <c r="CF63" s="395">
        <f t="shared" ca="1" si="56"/>
        <v>0</v>
      </c>
      <c r="CG63" s="395">
        <f t="shared" ca="1" si="56"/>
        <v>0</v>
      </c>
      <c r="CH63" s="395">
        <f t="shared" ca="1" si="56"/>
        <v>0</v>
      </c>
      <c r="CI63" s="395">
        <f t="shared" ca="1" si="56"/>
        <v>0</v>
      </c>
      <c r="CJ63" s="395">
        <f t="shared" ca="1" si="56"/>
        <v>0</v>
      </c>
      <c r="CK63" s="395">
        <f t="shared" ca="1" si="56"/>
        <v>0</v>
      </c>
      <c r="CL63" s="133" t="s">
        <v>15</v>
      </c>
    </row>
    <row r="64" spans="2:90" s="133" customFormat="1" ht="15" customHeight="1" outlineLevel="1" x14ac:dyDescent="0.2">
      <c r="B64" s="133" t="s">
        <v>362</v>
      </c>
      <c r="E64" s="395">
        <f ca="1">MAX(D64+D66+E60+E62,0)</f>
        <v>466412.91535166081</v>
      </c>
      <c r="F64" s="395">
        <f t="shared" ref="F64:BQ64" ca="1" si="57">MAX(E64+E66+F60+F62,0)</f>
        <v>484249.37102516083</v>
      </c>
      <c r="G64" s="395">
        <f t="shared" ca="1" si="57"/>
        <v>502097.50550264301</v>
      </c>
      <c r="H64" s="395">
        <f t="shared" ca="1" si="57"/>
        <v>524157.65726919071</v>
      </c>
      <c r="I64" s="395">
        <f t="shared" ca="1" si="57"/>
        <v>564187.21743823821</v>
      </c>
      <c r="J64" s="395">
        <f t="shared" ca="1" si="57"/>
        <v>598112.43478585721</v>
      </c>
      <c r="K64" s="395">
        <f t="shared" ca="1" si="57"/>
        <v>655499.17777871434</v>
      </c>
      <c r="L64" s="395">
        <f t="shared" ca="1" si="57"/>
        <v>743139.8879811517</v>
      </c>
      <c r="M64" s="395">
        <f t="shared" ca="1" si="57"/>
        <v>830838.69914316921</v>
      </c>
      <c r="N64" s="395">
        <f t="shared" ca="1" si="57"/>
        <v>918595.61126476689</v>
      </c>
      <c r="O64" s="395">
        <f t="shared" ca="1" si="57"/>
        <v>1006410.6243459448</v>
      </c>
      <c r="P64" s="395">
        <f t="shared" ca="1" si="57"/>
        <v>1094283.738386703</v>
      </c>
      <c r="Q64" s="395">
        <f t="shared" ca="1" si="57"/>
        <v>1182214.9533870413</v>
      </c>
      <c r="R64" s="395">
        <f t="shared" ca="1" si="57"/>
        <v>1317498.8730769597</v>
      </c>
      <c r="S64" s="395">
        <f t="shared" ca="1" si="57"/>
        <v>1467469.5023731252</v>
      </c>
      <c r="T64" s="395">
        <f t="shared" ca="1" si="57"/>
        <v>1533545.8346594658</v>
      </c>
      <c r="U64" s="395">
        <f t="shared" ca="1" si="57"/>
        <v>1534557.9307427991</v>
      </c>
      <c r="V64" s="395">
        <f t="shared" ca="1" si="57"/>
        <v>1535570.0268261323</v>
      </c>
      <c r="W64" s="395">
        <f t="shared" ca="1" si="57"/>
        <v>1536582.1229094656</v>
      </c>
      <c r="X64" s="395">
        <f t="shared" ca="1" si="57"/>
        <v>1537594.2189927988</v>
      </c>
      <c r="Y64" s="395">
        <f t="shared" ca="1" si="57"/>
        <v>1538606.3150761321</v>
      </c>
      <c r="Z64" s="395">
        <f t="shared" ca="1" si="57"/>
        <v>1539618.4111594653</v>
      </c>
      <c r="AA64" s="395">
        <f t="shared" ca="1" si="57"/>
        <v>1540630.5072427986</v>
      </c>
      <c r="AB64" s="395">
        <f t="shared" ca="1" si="57"/>
        <v>1541642.6033261318</v>
      </c>
      <c r="AC64" s="395">
        <f t="shared" ca="1" si="57"/>
        <v>1542654.6994094651</v>
      </c>
      <c r="AD64" s="395">
        <f t="shared" ca="1" si="57"/>
        <v>1543666.7954927983</v>
      </c>
      <c r="AE64" s="395">
        <f t="shared" ca="1" si="57"/>
        <v>1544678.8915761316</v>
      </c>
      <c r="AF64" s="395">
        <f t="shared" ca="1" si="57"/>
        <v>1545690.9876594648</v>
      </c>
      <c r="AG64" s="395">
        <f t="shared" ca="1" si="57"/>
        <v>1546703.0837427981</v>
      </c>
      <c r="AH64" s="395">
        <f t="shared" ca="1" si="57"/>
        <v>1547715.1798261313</v>
      </c>
      <c r="AI64" s="395">
        <f t="shared" ca="1" si="57"/>
        <v>1548727.2759094646</v>
      </c>
      <c r="AJ64" s="395">
        <f t="shared" ca="1" si="57"/>
        <v>1549739.3719927978</v>
      </c>
      <c r="AK64" s="395">
        <f t="shared" ca="1" si="57"/>
        <v>1550751.4680761311</v>
      </c>
      <c r="AL64" s="395">
        <f t="shared" ca="1" si="57"/>
        <v>1551763.5641594643</v>
      </c>
      <c r="AM64" s="395">
        <f t="shared" ca="1" si="57"/>
        <v>1552775.6602427976</v>
      </c>
      <c r="AN64" s="395">
        <f t="shared" ca="1" si="57"/>
        <v>1553787.7563261308</v>
      </c>
      <c r="AO64" s="395">
        <f t="shared" ca="1" si="57"/>
        <v>1553787.7563261308</v>
      </c>
      <c r="AP64" s="395">
        <f t="shared" ca="1" si="57"/>
        <v>0</v>
      </c>
      <c r="AQ64" s="395">
        <f t="shared" ca="1" si="57"/>
        <v>0</v>
      </c>
      <c r="AR64" s="395">
        <f t="shared" ca="1" si="57"/>
        <v>0</v>
      </c>
      <c r="AS64" s="395">
        <f t="shared" ca="1" si="57"/>
        <v>0</v>
      </c>
      <c r="AT64" s="395">
        <f t="shared" ca="1" si="57"/>
        <v>0</v>
      </c>
      <c r="AU64" s="395">
        <f t="shared" ca="1" si="57"/>
        <v>0</v>
      </c>
      <c r="AV64" s="395">
        <f t="shared" ca="1" si="57"/>
        <v>0</v>
      </c>
      <c r="AW64" s="395">
        <f t="shared" ca="1" si="57"/>
        <v>0</v>
      </c>
      <c r="AX64" s="395">
        <f t="shared" ca="1" si="57"/>
        <v>0</v>
      </c>
      <c r="AY64" s="395">
        <f t="shared" ca="1" si="57"/>
        <v>0</v>
      </c>
      <c r="AZ64" s="395">
        <f t="shared" ca="1" si="57"/>
        <v>0</v>
      </c>
      <c r="BA64" s="395">
        <f t="shared" ca="1" si="57"/>
        <v>0</v>
      </c>
      <c r="BB64" s="395">
        <f t="shared" ca="1" si="57"/>
        <v>0</v>
      </c>
      <c r="BC64" s="395">
        <f t="shared" ca="1" si="57"/>
        <v>0</v>
      </c>
      <c r="BD64" s="395">
        <f t="shared" ca="1" si="57"/>
        <v>0</v>
      </c>
      <c r="BE64" s="395">
        <f t="shared" ca="1" si="57"/>
        <v>0</v>
      </c>
      <c r="BF64" s="395">
        <f t="shared" ca="1" si="57"/>
        <v>0</v>
      </c>
      <c r="BG64" s="395">
        <f t="shared" ca="1" si="57"/>
        <v>0</v>
      </c>
      <c r="BH64" s="395">
        <f t="shared" ca="1" si="57"/>
        <v>0</v>
      </c>
      <c r="BI64" s="395">
        <f t="shared" ca="1" si="57"/>
        <v>0</v>
      </c>
      <c r="BJ64" s="395">
        <f t="shared" ca="1" si="57"/>
        <v>0</v>
      </c>
      <c r="BK64" s="395">
        <f t="shared" ca="1" si="57"/>
        <v>0</v>
      </c>
      <c r="BL64" s="395">
        <f t="shared" ca="1" si="57"/>
        <v>0</v>
      </c>
      <c r="BM64" s="395">
        <f t="shared" ca="1" si="57"/>
        <v>0</v>
      </c>
      <c r="BN64" s="395">
        <f t="shared" ca="1" si="57"/>
        <v>0</v>
      </c>
      <c r="BO64" s="395">
        <f t="shared" ca="1" si="57"/>
        <v>0</v>
      </c>
      <c r="BP64" s="395">
        <f t="shared" ca="1" si="57"/>
        <v>0</v>
      </c>
      <c r="BQ64" s="395">
        <f t="shared" ca="1" si="57"/>
        <v>0</v>
      </c>
      <c r="BR64" s="395">
        <f t="shared" ref="BR64:CK64" ca="1" si="58">MAX(BQ64+BQ66+BR60+BR62,0)</f>
        <v>0</v>
      </c>
      <c r="BS64" s="395">
        <f t="shared" ca="1" si="58"/>
        <v>0</v>
      </c>
      <c r="BT64" s="395">
        <f t="shared" ca="1" si="58"/>
        <v>0</v>
      </c>
      <c r="BU64" s="395">
        <f t="shared" ca="1" si="58"/>
        <v>0</v>
      </c>
      <c r="BV64" s="395">
        <f t="shared" ca="1" si="58"/>
        <v>0</v>
      </c>
      <c r="BW64" s="395">
        <f t="shared" ca="1" si="58"/>
        <v>0</v>
      </c>
      <c r="BX64" s="395">
        <f t="shared" ca="1" si="58"/>
        <v>0</v>
      </c>
      <c r="BY64" s="395">
        <f t="shared" ca="1" si="58"/>
        <v>0</v>
      </c>
      <c r="BZ64" s="395">
        <f t="shared" ca="1" si="58"/>
        <v>0</v>
      </c>
      <c r="CA64" s="395">
        <f t="shared" ca="1" si="58"/>
        <v>0</v>
      </c>
      <c r="CB64" s="395">
        <f t="shared" ca="1" si="58"/>
        <v>0</v>
      </c>
      <c r="CC64" s="395">
        <f t="shared" ca="1" si="58"/>
        <v>0</v>
      </c>
      <c r="CD64" s="395">
        <f t="shared" ca="1" si="58"/>
        <v>0</v>
      </c>
      <c r="CE64" s="395">
        <f t="shared" ca="1" si="58"/>
        <v>0</v>
      </c>
      <c r="CF64" s="395">
        <f t="shared" ca="1" si="58"/>
        <v>0</v>
      </c>
      <c r="CG64" s="395">
        <f t="shared" ca="1" si="58"/>
        <v>0</v>
      </c>
      <c r="CH64" s="395">
        <f t="shared" ca="1" si="58"/>
        <v>0</v>
      </c>
      <c r="CI64" s="395">
        <f t="shared" ca="1" si="58"/>
        <v>0</v>
      </c>
      <c r="CJ64" s="395">
        <f t="shared" ca="1" si="58"/>
        <v>0</v>
      </c>
      <c r="CK64" s="395">
        <f t="shared" ca="1" si="58"/>
        <v>0</v>
      </c>
      <c r="CL64" s="133" t="s">
        <v>15</v>
      </c>
    </row>
    <row r="65" spans="2:90" s="133" customFormat="1" ht="15" customHeight="1" outlineLevel="1" x14ac:dyDescent="0.2">
      <c r="B65" s="133" t="s">
        <v>263</v>
      </c>
      <c r="E65" s="395">
        <f ca="1">-E43</f>
        <v>0</v>
      </c>
      <c r="F65" s="395">
        <f t="shared" ref="F65:BQ65" ca="1" si="59">-F43</f>
        <v>0</v>
      </c>
      <c r="G65" s="395">
        <f t="shared" ca="1" si="59"/>
        <v>0</v>
      </c>
      <c r="H65" s="395">
        <f t="shared" ca="1" si="59"/>
        <v>0</v>
      </c>
      <c r="I65" s="395">
        <f t="shared" ca="1" si="59"/>
        <v>0</v>
      </c>
      <c r="J65" s="395">
        <f t="shared" ca="1" si="59"/>
        <v>0</v>
      </c>
      <c r="K65" s="395">
        <f t="shared" ca="1" si="59"/>
        <v>0</v>
      </c>
      <c r="L65" s="395">
        <f t="shared" ca="1" si="59"/>
        <v>0</v>
      </c>
      <c r="M65" s="395">
        <f t="shared" ca="1" si="59"/>
        <v>0</v>
      </c>
      <c r="N65" s="395">
        <f t="shared" ca="1" si="59"/>
        <v>0</v>
      </c>
      <c r="O65" s="395">
        <f t="shared" ca="1" si="59"/>
        <v>0</v>
      </c>
      <c r="P65" s="395">
        <f t="shared" ca="1" si="59"/>
        <v>0</v>
      </c>
      <c r="Q65" s="395">
        <f t="shared" ca="1" si="59"/>
        <v>0</v>
      </c>
      <c r="R65" s="395">
        <f t="shared" ca="1" si="59"/>
        <v>0</v>
      </c>
      <c r="S65" s="395">
        <f t="shared" ca="1" si="59"/>
        <v>0</v>
      </c>
      <c r="T65" s="395">
        <f t="shared" ca="1" si="59"/>
        <v>0</v>
      </c>
      <c r="U65" s="395">
        <f t="shared" ca="1" si="59"/>
        <v>0</v>
      </c>
      <c r="V65" s="395">
        <f t="shared" ca="1" si="59"/>
        <v>0</v>
      </c>
      <c r="W65" s="395">
        <f t="shared" ca="1" si="59"/>
        <v>0</v>
      </c>
      <c r="X65" s="395">
        <f t="shared" ca="1" si="59"/>
        <v>0</v>
      </c>
      <c r="Y65" s="395">
        <f t="shared" ca="1" si="59"/>
        <v>0</v>
      </c>
      <c r="Z65" s="395">
        <f t="shared" ca="1" si="59"/>
        <v>0</v>
      </c>
      <c r="AA65" s="395">
        <f t="shared" ca="1" si="59"/>
        <v>0</v>
      </c>
      <c r="AB65" s="395">
        <f t="shared" ca="1" si="59"/>
        <v>0</v>
      </c>
      <c r="AC65" s="395">
        <f t="shared" ca="1" si="59"/>
        <v>0</v>
      </c>
      <c r="AD65" s="395">
        <f t="shared" ca="1" si="59"/>
        <v>0</v>
      </c>
      <c r="AE65" s="395">
        <f t="shared" ca="1" si="59"/>
        <v>0</v>
      </c>
      <c r="AF65" s="395">
        <f t="shared" ca="1" si="59"/>
        <v>0</v>
      </c>
      <c r="AG65" s="395">
        <f t="shared" ca="1" si="59"/>
        <v>0</v>
      </c>
      <c r="AH65" s="395">
        <f t="shared" ca="1" si="59"/>
        <v>0</v>
      </c>
      <c r="AI65" s="395">
        <f t="shared" ca="1" si="59"/>
        <v>0</v>
      </c>
      <c r="AJ65" s="395">
        <f t="shared" ca="1" si="59"/>
        <v>0</v>
      </c>
      <c r="AK65" s="395">
        <f t="shared" ca="1" si="59"/>
        <v>0</v>
      </c>
      <c r="AL65" s="395">
        <f t="shared" ca="1" si="59"/>
        <v>0</v>
      </c>
      <c r="AM65" s="395">
        <f t="shared" ca="1" si="59"/>
        <v>0</v>
      </c>
      <c r="AN65" s="395">
        <f t="shared" ca="1" si="59"/>
        <v>0</v>
      </c>
      <c r="AO65" s="395">
        <f t="shared" ca="1" si="59"/>
        <v>0</v>
      </c>
      <c r="AP65" s="395">
        <f t="shared" ca="1" si="59"/>
        <v>0</v>
      </c>
      <c r="AQ65" s="395">
        <f t="shared" ca="1" si="59"/>
        <v>0</v>
      </c>
      <c r="AR65" s="395">
        <f t="shared" ca="1" si="59"/>
        <v>0</v>
      </c>
      <c r="AS65" s="395">
        <f t="shared" ca="1" si="59"/>
        <v>0</v>
      </c>
      <c r="AT65" s="395">
        <f t="shared" ca="1" si="59"/>
        <v>0</v>
      </c>
      <c r="AU65" s="395">
        <f t="shared" ca="1" si="59"/>
        <v>0</v>
      </c>
      <c r="AV65" s="395">
        <f t="shared" ca="1" si="59"/>
        <v>0</v>
      </c>
      <c r="AW65" s="395">
        <f t="shared" ca="1" si="59"/>
        <v>0</v>
      </c>
      <c r="AX65" s="395">
        <f t="shared" ca="1" si="59"/>
        <v>0</v>
      </c>
      <c r="AY65" s="395">
        <f t="shared" ca="1" si="59"/>
        <v>0</v>
      </c>
      <c r="AZ65" s="395">
        <f t="shared" ca="1" si="59"/>
        <v>0</v>
      </c>
      <c r="BA65" s="395">
        <f t="shared" ca="1" si="59"/>
        <v>0</v>
      </c>
      <c r="BB65" s="395">
        <f t="shared" ca="1" si="59"/>
        <v>0</v>
      </c>
      <c r="BC65" s="395">
        <f t="shared" ca="1" si="59"/>
        <v>0</v>
      </c>
      <c r="BD65" s="395">
        <f t="shared" ca="1" si="59"/>
        <v>0</v>
      </c>
      <c r="BE65" s="395">
        <f t="shared" ca="1" si="59"/>
        <v>0</v>
      </c>
      <c r="BF65" s="395">
        <f t="shared" ca="1" si="59"/>
        <v>0</v>
      </c>
      <c r="BG65" s="395">
        <f t="shared" ca="1" si="59"/>
        <v>0</v>
      </c>
      <c r="BH65" s="395">
        <f t="shared" ca="1" si="59"/>
        <v>0</v>
      </c>
      <c r="BI65" s="395">
        <f t="shared" ca="1" si="59"/>
        <v>0</v>
      </c>
      <c r="BJ65" s="395">
        <f t="shared" ca="1" si="59"/>
        <v>0</v>
      </c>
      <c r="BK65" s="395">
        <f t="shared" ca="1" si="59"/>
        <v>0</v>
      </c>
      <c r="BL65" s="395">
        <f t="shared" ca="1" si="59"/>
        <v>0</v>
      </c>
      <c r="BM65" s="395">
        <f t="shared" ca="1" si="59"/>
        <v>0</v>
      </c>
      <c r="BN65" s="395">
        <f t="shared" ca="1" si="59"/>
        <v>0</v>
      </c>
      <c r="BO65" s="395">
        <f t="shared" ca="1" si="59"/>
        <v>0</v>
      </c>
      <c r="BP65" s="395">
        <f t="shared" ca="1" si="59"/>
        <v>0</v>
      </c>
      <c r="BQ65" s="395">
        <f t="shared" ca="1" si="59"/>
        <v>0</v>
      </c>
      <c r="BR65" s="395">
        <f t="shared" ref="BR65:CK65" ca="1" si="60">-BR43</f>
        <v>0</v>
      </c>
      <c r="BS65" s="395">
        <f t="shared" ca="1" si="60"/>
        <v>0</v>
      </c>
      <c r="BT65" s="395">
        <f t="shared" ca="1" si="60"/>
        <v>0</v>
      </c>
      <c r="BU65" s="395">
        <f t="shared" ca="1" si="60"/>
        <v>0</v>
      </c>
      <c r="BV65" s="395">
        <f t="shared" ca="1" si="60"/>
        <v>0</v>
      </c>
      <c r="BW65" s="395">
        <f t="shared" ca="1" si="60"/>
        <v>0</v>
      </c>
      <c r="BX65" s="395">
        <f t="shared" ca="1" si="60"/>
        <v>0</v>
      </c>
      <c r="BY65" s="395">
        <f t="shared" ca="1" si="60"/>
        <v>0</v>
      </c>
      <c r="BZ65" s="395">
        <f t="shared" ca="1" si="60"/>
        <v>0</v>
      </c>
      <c r="CA65" s="395">
        <f t="shared" ca="1" si="60"/>
        <v>0</v>
      </c>
      <c r="CB65" s="395">
        <f t="shared" ca="1" si="60"/>
        <v>0</v>
      </c>
      <c r="CC65" s="395">
        <f t="shared" ca="1" si="60"/>
        <v>0</v>
      </c>
      <c r="CD65" s="395">
        <f t="shared" ca="1" si="60"/>
        <v>0</v>
      </c>
      <c r="CE65" s="395">
        <f t="shared" ca="1" si="60"/>
        <v>0</v>
      </c>
      <c r="CF65" s="395">
        <f t="shared" ca="1" si="60"/>
        <v>0</v>
      </c>
      <c r="CG65" s="395">
        <f t="shared" ca="1" si="60"/>
        <v>0</v>
      </c>
      <c r="CH65" s="395">
        <f t="shared" ca="1" si="60"/>
        <v>0</v>
      </c>
      <c r="CI65" s="395">
        <f t="shared" ca="1" si="60"/>
        <v>0</v>
      </c>
      <c r="CJ65" s="395">
        <f t="shared" ca="1" si="60"/>
        <v>0</v>
      </c>
      <c r="CK65" s="395">
        <f t="shared" ca="1" si="60"/>
        <v>0</v>
      </c>
      <c r="CL65" s="133" t="s">
        <v>15</v>
      </c>
    </row>
    <row r="66" spans="2:90" s="133" customFormat="1" ht="15" customHeight="1" outlineLevel="1" x14ac:dyDescent="0.2">
      <c r="B66" s="133" t="s">
        <v>271</v>
      </c>
      <c r="E66" s="395">
        <f t="shared" ref="E66:AJ66" ca="1" si="61">-MIN(MAX(E63:E64)+E65,E57*Tier2_SponsorPctCF_Case2)</f>
        <v>0</v>
      </c>
      <c r="F66" s="395">
        <f t="shared" ca="1" si="61"/>
        <v>0</v>
      </c>
      <c r="G66" s="395">
        <f t="shared" ca="1" si="61"/>
        <v>0</v>
      </c>
      <c r="H66" s="395">
        <f t="shared" ca="1" si="61"/>
        <v>0</v>
      </c>
      <c r="I66" s="395">
        <f t="shared" ca="1" si="61"/>
        <v>0</v>
      </c>
      <c r="J66" s="395">
        <f t="shared" ca="1" si="61"/>
        <v>0</v>
      </c>
      <c r="K66" s="395">
        <f t="shared" ca="1" si="61"/>
        <v>0</v>
      </c>
      <c r="L66" s="395">
        <f t="shared" ca="1" si="61"/>
        <v>0</v>
      </c>
      <c r="M66" s="395">
        <f t="shared" ca="1" si="61"/>
        <v>0</v>
      </c>
      <c r="N66" s="395">
        <f t="shared" ca="1" si="61"/>
        <v>0</v>
      </c>
      <c r="O66" s="395">
        <f t="shared" ca="1" si="61"/>
        <v>0</v>
      </c>
      <c r="P66" s="395">
        <f t="shared" ca="1" si="61"/>
        <v>0</v>
      </c>
      <c r="Q66" s="395">
        <f t="shared" ca="1" si="61"/>
        <v>0</v>
      </c>
      <c r="R66" s="395">
        <f t="shared" ca="1" si="61"/>
        <v>0</v>
      </c>
      <c r="S66" s="395">
        <f t="shared" ca="1" si="61"/>
        <v>0</v>
      </c>
      <c r="T66" s="395">
        <f t="shared" ca="1" si="61"/>
        <v>0</v>
      </c>
      <c r="U66" s="395">
        <f t="shared" ca="1" si="61"/>
        <v>0</v>
      </c>
      <c r="V66" s="395">
        <f t="shared" ca="1" si="61"/>
        <v>0</v>
      </c>
      <c r="W66" s="395">
        <f t="shared" ca="1" si="61"/>
        <v>0</v>
      </c>
      <c r="X66" s="395">
        <f t="shared" ca="1" si="61"/>
        <v>0</v>
      </c>
      <c r="Y66" s="395">
        <f t="shared" ca="1" si="61"/>
        <v>0</v>
      </c>
      <c r="Z66" s="395">
        <f t="shared" ca="1" si="61"/>
        <v>0</v>
      </c>
      <c r="AA66" s="395">
        <f t="shared" ca="1" si="61"/>
        <v>0</v>
      </c>
      <c r="AB66" s="395">
        <f t="shared" ca="1" si="61"/>
        <v>0</v>
      </c>
      <c r="AC66" s="395">
        <f t="shared" ca="1" si="61"/>
        <v>0</v>
      </c>
      <c r="AD66" s="395">
        <f t="shared" ca="1" si="61"/>
        <v>0</v>
      </c>
      <c r="AE66" s="395">
        <f t="shared" ca="1" si="61"/>
        <v>0</v>
      </c>
      <c r="AF66" s="395">
        <f t="shared" ca="1" si="61"/>
        <v>0</v>
      </c>
      <c r="AG66" s="395">
        <f t="shared" ca="1" si="61"/>
        <v>0</v>
      </c>
      <c r="AH66" s="395">
        <f t="shared" ca="1" si="61"/>
        <v>0</v>
      </c>
      <c r="AI66" s="395">
        <f t="shared" ca="1" si="61"/>
        <v>0</v>
      </c>
      <c r="AJ66" s="395">
        <f t="shared" ca="1" si="61"/>
        <v>0</v>
      </c>
      <c r="AK66" s="395">
        <f t="shared" ref="AK66:BP66" ca="1" si="62">-MIN(MAX(AK63:AK64)+AK65,AK57*Tier2_SponsorPctCF_Case2)</f>
        <v>0</v>
      </c>
      <c r="AL66" s="395">
        <f t="shared" ca="1" si="62"/>
        <v>0</v>
      </c>
      <c r="AM66" s="395">
        <f t="shared" ca="1" si="62"/>
        <v>0</v>
      </c>
      <c r="AN66" s="395">
        <f t="shared" ca="1" si="62"/>
        <v>0</v>
      </c>
      <c r="AO66" s="395">
        <f t="shared" ca="1" si="62"/>
        <v>-1553787.7563261308</v>
      </c>
      <c r="AP66" s="395">
        <f t="shared" ca="1" si="62"/>
        <v>0</v>
      </c>
      <c r="AQ66" s="395">
        <f t="shared" ca="1" si="62"/>
        <v>0</v>
      </c>
      <c r="AR66" s="395">
        <f t="shared" ca="1" si="62"/>
        <v>0</v>
      </c>
      <c r="AS66" s="395">
        <f t="shared" ca="1" si="62"/>
        <v>0</v>
      </c>
      <c r="AT66" s="395">
        <f t="shared" ca="1" si="62"/>
        <v>0</v>
      </c>
      <c r="AU66" s="395">
        <f t="shared" ca="1" si="62"/>
        <v>0</v>
      </c>
      <c r="AV66" s="395">
        <f t="shared" ca="1" si="62"/>
        <v>0</v>
      </c>
      <c r="AW66" s="395">
        <f t="shared" ca="1" si="62"/>
        <v>0</v>
      </c>
      <c r="AX66" s="395">
        <f t="shared" ca="1" si="62"/>
        <v>0</v>
      </c>
      <c r="AY66" s="395">
        <f t="shared" ca="1" si="62"/>
        <v>0</v>
      </c>
      <c r="AZ66" s="395">
        <f t="shared" ca="1" si="62"/>
        <v>0</v>
      </c>
      <c r="BA66" s="395">
        <f t="shared" ca="1" si="62"/>
        <v>0</v>
      </c>
      <c r="BB66" s="395">
        <f t="shared" ca="1" si="62"/>
        <v>0</v>
      </c>
      <c r="BC66" s="395">
        <f t="shared" ca="1" si="62"/>
        <v>0</v>
      </c>
      <c r="BD66" s="395">
        <f t="shared" ca="1" si="62"/>
        <v>0</v>
      </c>
      <c r="BE66" s="395">
        <f t="shared" ca="1" si="62"/>
        <v>0</v>
      </c>
      <c r="BF66" s="395">
        <f t="shared" ca="1" si="62"/>
        <v>0</v>
      </c>
      <c r="BG66" s="395">
        <f t="shared" ca="1" si="62"/>
        <v>0</v>
      </c>
      <c r="BH66" s="395">
        <f t="shared" ca="1" si="62"/>
        <v>0</v>
      </c>
      <c r="BI66" s="395">
        <f t="shared" ca="1" si="62"/>
        <v>0</v>
      </c>
      <c r="BJ66" s="395">
        <f t="shared" ca="1" si="62"/>
        <v>0</v>
      </c>
      <c r="BK66" s="395">
        <f t="shared" ca="1" si="62"/>
        <v>0</v>
      </c>
      <c r="BL66" s="395">
        <f t="shared" ca="1" si="62"/>
        <v>0</v>
      </c>
      <c r="BM66" s="395">
        <f t="shared" ca="1" si="62"/>
        <v>0</v>
      </c>
      <c r="BN66" s="395">
        <f t="shared" ca="1" si="62"/>
        <v>0</v>
      </c>
      <c r="BO66" s="395">
        <f t="shared" ca="1" si="62"/>
        <v>0</v>
      </c>
      <c r="BP66" s="395">
        <f t="shared" ca="1" si="62"/>
        <v>0</v>
      </c>
      <c r="BQ66" s="395">
        <f t="shared" ref="BQ66:CK66" ca="1" si="63">-MIN(MAX(BQ63:BQ64)+BQ65,BQ57*Tier2_SponsorPctCF_Case2)</f>
        <v>0</v>
      </c>
      <c r="BR66" s="395">
        <f t="shared" ca="1" si="63"/>
        <v>0</v>
      </c>
      <c r="BS66" s="395">
        <f t="shared" ca="1" si="63"/>
        <v>0</v>
      </c>
      <c r="BT66" s="395">
        <f t="shared" ca="1" si="63"/>
        <v>0</v>
      </c>
      <c r="BU66" s="395">
        <f t="shared" ca="1" si="63"/>
        <v>0</v>
      </c>
      <c r="BV66" s="395">
        <f t="shared" ca="1" si="63"/>
        <v>0</v>
      </c>
      <c r="BW66" s="395">
        <f t="shared" ca="1" si="63"/>
        <v>0</v>
      </c>
      <c r="BX66" s="395">
        <f t="shared" ca="1" si="63"/>
        <v>0</v>
      </c>
      <c r="BY66" s="395">
        <f t="shared" ca="1" si="63"/>
        <v>0</v>
      </c>
      <c r="BZ66" s="395">
        <f t="shared" ca="1" si="63"/>
        <v>0</v>
      </c>
      <c r="CA66" s="395">
        <f t="shared" ca="1" si="63"/>
        <v>0</v>
      </c>
      <c r="CB66" s="395">
        <f t="shared" ca="1" si="63"/>
        <v>0</v>
      </c>
      <c r="CC66" s="395">
        <f t="shared" ca="1" si="63"/>
        <v>0</v>
      </c>
      <c r="CD66" s="395">
        <f t="shared" ca="1" si="63"/>
        <v>0</v>
      </c>
      <c r="CE66" s="395">
        <f t="shared" ca="1" si="63"/>
        <v>0</v>
      </c>
      <c r="CF66" s="395">
        <f t="shared" ca="1" si="63"/>
        <v>0</v>
      </c>
      <c r="CG66" s="395">
        <f t="shared" ca="1" si="63"/>
        <v>0</v>
      </c>
      <c r="CH66" s="395">
        <f t="shared" ca="1" si="63"/>
        <v>0</v>
      </c>
      <c r="CI66" s="395">
        <f t="shared" ca="1" si="63"/>
        <v>0</v>
      </c>
      <c r="CJ66" s="395">
        <f t="shared" ca="1" si="63"/>
        <v>0</v>
      </c>
      <c r="CK66" s="395">
        <f t="shared" ca="1" si="63"/>
        <v>0</v>
      </c>
      <c r="CL66" s="133" t="s">
        <v>15</v>
      </c>
    </row>
    <row r="67" spans="2:90" s="133" customFormat="1" ht="15" customHeight="1" outlineLevel="1" x14ac:dyDescent="0.2">
      <c r="B67" s="133" t="s">
        <v>264</v>
      </c>
      <c r="E67" s="395">
        <f ca="1">MAX(E63:E64)+E65+E66</f>
        <v>466412.91535166081</v>
      </c>
      <c r="F67" s="395">
        <f t="shared" ref="F67:BQ67" ca="1" si="64">MAX(F63:F64)+F65+F66</f>
        <v>484249.37102516083</v>
      </c>
      <c r="G67" s="395">
        <f t="shared" ca="1" si="64"/>
        <v>502097.50550264301</v>
      </c>
      <c r="H67" s="395">
        <f t="shared" ca="1" si="64"/>
        <v>524157.65726919071</v>
      </c>
      <c r="I67" s="395">
        <f t="shared" ca="1" si="64"/>
        <v>564187.21743823821</v>
      </c>
      <c r="J67" s="395">
        <f t="shared" ca="1" si="64"/>
        <v>598112.43478585721</v>
      </c>
      <c r="K67" s="395">
        <f t="shared" ca="1" si="64"/>
        <v>655499.17777871434</v>
      </c>
      <c r="L67" s="395">
        <f t="shared" ca="1" si="64"/>
        <v>743139.8879811517</v>
      </c>
      <c r="M67" s="395">
        <f t="shared" ca="1" si="64"/>
        <v>830838.69914316921</v>
      </c>
      <c r="N67" s="395">
        <f t="shared" ca="1" si="64"/>
        <v>918595.61126476689</v>
      </c>
      <c r="O67" s="395">
        <f t="shared" ca="1" si="64"/>
        <v>1006410.6243459448</v>
      </c>
      <c r="P67" s="395">
        <f t="shared" ca="1" si="64"/>
        <v>1094283.738386703</v>
      </c>
      <c r="Q67" s="395">
        <f t="shared" ca="1" si="64"/>
        <v>1182214.9533870413</v>
      </c>
      <c r="R67" s="395">
        <f t="shared" ca="1" si="64"/>
        <v>1317498.8730769597</v>
      </c>
      <c r="S67" s="395">
        <f t="shared" ca="1" si="64"/>
        <v>1467469.5023731252</v>
      </c>
      <c r="T67" s="395">
        <f t="shared" ca="1" si="64"/>
        <v>1533545.8346594658</v>
      </c>
      <c r="U67" s="395">
        <f t="shared" ca="1" si="64"/>
        <v>1534557.9307427991</v>
      </c>
      <c r="V67" s="395">
        <f t="shared" ca="1" si="64"/>
        <v>1535570.0268261323</v>
      </c>
      <c r="W67" s="395">
        <f t="shared" ca="1" si="64"/>
        <v>1536582.1229094656</v>
      </c>
      <c r="X67" s="395">
        <f t="shared" ca="1" si="64"/>
        <v>1537594.2189927988</v>
      </c>
      <c r="Y67" s="395">
        <f t="shared" ca="1" si="64"/>
        <v>1538606.3150761321</v>
      </c>
      <c r="Z67" s="395">
        <f t="shared" ca="1" si="64"/>
        <v>1539618.4111594653</v>
      </c>
      <c r="AA67" s="395">
        <f t="shared" ca="1" si="64"/>
        <v>1540630.5072427986</v>
      </c>
      <c r="AB67" s="395">
        <f t="shared" ca="1" si="64"/>
        <v>1541642.6033261318</v>
      </c>
      <c r="AC67" s="395">
        <f t="shared" ca="1" si="64"/>
        <v>1542654.6994094651</v>
      </c>
      <c r="AD67" s="395">
        <f t="shared" ca="1" si="64"/>
        <v>1543666.7954927983</v>
      </c>
      <c r="AE67" s="395">
        <f t="shared" ca="1" si="64"/>
        <v>1544678.8915761316</v>
      </c>
      <c r="AF67" s="395">
        <f t="shared" ca="1" si="64"/>
        <v>1545690.9876594648</v>
      </c>
      <c r="AG67" s="395">
        <f t="shared" ca="1" si="64"/>
        <v>1546703.0837427981</v>
      </c>
      <c r="AH67" s="395">
        <f t="shared" ca="1" si="64"/>
        <v>1547715.1798261313</v>
      </c>
      <c r="AI67" s="395">
        <f t="shared" ca="1" si="64"/>
        <v>1548727.2759094646</v>
      </c>
      <c r="AJ67" s="395">
        <f t="shared" ca="1" si="64"/>
        <v>1549739.3719927978</v>
      </c>
      <c r="AK67" s="395">
        <f t="shared" ca="1" si="64"/>
        <v>1550751.4680761311</v>
      </c>
      <c r="AL67" s="395">
        <f t="shared" ca="1" si="64"/>
        <v>1551763.5641594643</v>
      </c>
      <c r="AM67" s="395">
        <f t="shared" ca="1" si="64"/>
        <v>1552775.6602427976</v>
      </c>
      <c r="AN67" s="395">
        <f t="shared" ca="1" si="64"/>
        <v>1553787.7563261308</v>
      </c>
      <c r="AO67" s="395">
        <f t="shared" ca="1" si="64"/>
        <v>0</v>
      </c>
      <c r="AP67" s="395">
        <f t="shared" ca="1" si="64"/>
        <v>0</v>
      </c>
      <c r="AQ67" s="395">
        <f t="shared" ca="1" si="64"/>
        <v>0</v>
      </c>
      <c r="AR67" s="395">
        <f t="shared" ca="1" si="64"/>
        <v>0</v>
      </c>
      <c r="AS67" s="395">
        <f t="shared" ca="1" si="64"/>
        <v>0</v>
      </c>
      <c r="AT67" s="395">
        <f t="shared" ca="1" si="64"/>
        <v>0</v>
      </c>
      <c r="AU67" s="395">
        <f t="shared" ca="1" si="64"/>
        <v>0</v>
      </c>
      <c r="AV67" s="395">
        <f t="shared" ca="1" si="64"/>
        <v>0</v>
      </c>
      <c r="AW67" s="395">
        <f t="shared" ca="1" si="64"/>
        <v>0</v>
      </c>
      <c r="AX67" s="395">
        <f t="shared" ca="1" si="64"/>
        <v>0</v>
      </c>
      <c r="AY67" s="395">
        <f t="shared" ca="1" si="64"/>
        <v>0</v>
      </c>
      <c r="AZ67" s="395">
        <f t="shared" ca="1" si="64"/>
        <v>0</v>
      </c>
      <c r="BA67" s="395">
        <f t="shared" ca="1" si="64"/>
        <v>0</v>
      </c>
      <c r="BB67" s="395">
        <f t="shared" ca="1" si="64"/>
        <v>0</v>
      </c>
      <c r="BC67" s="395">
        <f t="shared" ca="1" si="64"/>
        <v>0</v>
      </c>
      <c r="BD67" s="395">
        <f t="shared" ca="1" si="64"/>
        <v>0</v>
      </c>
      <c r="BE67" s="395">
        <f t="shared" ca="1" si="64"/>
        <v>0</v>
      </c>
      <c r="BF67" s="395">
        <f t="shared" ca="1" si="64"/>
        <v>0</v>
      </c>
      <c r="BG67" s="395">
        <f t="shared" ca="1" si="64"/>
        <v>0</v>
      </c>
      <c r="BH67" s="395">
        <f t="shared" ca="1" si="64"/>
        <v>0</v>
      </c>
      <c r="BI67" s="395">
        <f t="shared" ca="1" si="64"/>
        <v>0</v>
      </c>
      <c r="BJ67" s="395">
        <f t="shared" ca="1" si="64"/>
        <v>0</v>
      </c>
      <c r="BK67" s="395">
        <f t="shared" ca="1" si="64"/>
        <v>0</v>
      </c>
      <c r="BL67" s="395">
        <f t="shared" ca="1" si="64"/>
        <v>0</v>
      </c>
      <c r="BM67" s="395">
        <f t="shared" ca="1" si="64"/>
        <v>0</v>
      </c>
      <c r="BN67" s="395">
        <f t="shared" ca="1" si="64"/>
        <v>0</v>
      </c>
      <c r="BO67" s="395">
        <f t="shared" ca="1" si="64"/>
        <v>0</v>
      </c>
      <c r="BP67" s="395">
        <f t="shared" ca="1" si="64"/>
        <v>0</v>
      </c>
      <c r="BQ67" s="395">
        <f t="shared" ca="1" si="64"/>
        <v>0</v>
      </c>
      <c r="BR67" s="395">
        <f t="shared" ref="BR67:CK67" ca="1" si="65">MAX(BR63:BR64)+BR65+BR66</f>
        <v>0</v>
      </c>
      <c r="BS67" s="395">
        <f t="shared" ca="1" si="65"/>
        <v>0</v>
      </c>
      <c r="BT67" s="395">
        <f t="shared" ca="1" si="65"/>
        <v>0</v>
      </c>
      <c r="BU67" s="395">
        <f t="shared" ca="1" si="65"/>
        <v>0</v>
      </c>
      <c r="BV67" s="395">
        <f t="shared" ca="1" si="65"/>
        <v>0</v>
      </c>
      <c r="BW67" s="395">
        <f t="shared" ca="1" si="65"/>
        <v>0</v>
      </c>
      <c r="BX67" s="395">
        <f t="shared" ca="1" si="65"/>
        <v>0</v>
      </c>
      <c r="BY67" s="395">
        <f t="shared" ca="1" si="65"/>
        <v>0</v>
      </c>
      <c r="BZ67" s="395">
        <f t="shared" ca="1" si="65"/>
        <v>0</v>
      </c>
      <c r="CA67" s="395">
        <f t="shared" ca="1" si="65"/>
        <v>0</v>
      </c>
      <c r="CB67" s="395">
        <f t="shared" ca="1" si="65"/>
        <v>0</v>
      </c>
      <c r="CC67" s="395">
        <f t="shared" ca="1" si="65"/>
        <v>0</v>
      </c>
      <c r="CD67" s="395">
        <f t="shared" ca="1" si="65"/>
        <v>0</v>
      </c>
      <c r="CE67" s="395">
        <f t="shared" ca="1" si="65"/>
        <v>0</v>
      </c>
      <c r="CF67" s="395">
        <f t="shared" ca="1" si="65"/>
        <v>0</v>
      </c>
      <c r="CG67" s="395">
        <f t="shared" ca="1" si="65"/>
        <v>0</v>
      </c>
      <c r="CH67" s="395">
        <f t="shared" ca="1" si="65"/>
        <v>0</v>
      </c>
      <c r="CI67" s="395">
        <f t="shared" ca="1" si="65"/>
        <v>0</v>
      </c>
      <c r="CJ67" s="395">
        <f t="shared" ca="1" si="65"/>
        <v>0</v>
      </c>
      <c r="CK67" s="395">
        <f t="shared" ca="1" si="65"/>
        <v>0</v>
      </c>
      <c r="CL67" s="133" t="s">
        <v>15</v>
      </c>
    </row>
    <row r="68" spans="2:90" s="133" customFormat="1" ht="15" customHeight="1" outlineLevel="1" x14ac:dyDescent="0.2"/>
    <row r="69" spans="2:90" s="133" customFormat="1" ht="15" customHeight="1" outlineLevel="1" x14ac:dyDescent="0.2">
      <c r="B69" s="133" t="s">
        <v>272</v>
      </c>
      <c r="E69" s="395">
        <f t="shared" ref="E69:AJ69" ca="1" si="66">E70*Tier2_CoInvestorPctCF_Case2/Tier2_SponsorPctCF_Case2</f>
        <v>0</v>
      </c>
      <c r="F69" s="395">
        <f t="shared" ca="1" si="66"/>
        <v>0</v>
      </c>
      <c r="G69" s="395">
        <f t="shared" ca="1" si="66"/>
        <v>0</v>
      </c>
      <c r="H69" s="395">
        <f t="shared" ca="1" si="66"/>
        <v>0</v>
      </c>
      <c r="I69" s="395">
        <f t="shared" ca="1" si="66"/>
        <v>0</v>
      </c>
      <c r="J69" s="395">
        <f t="shared" ca="1" si="66"/>
        <v>0</v>
      </c>
      <c r="K69" s="395">
        <f t="shared" ca="1" si="66"/>
        <v>0</v>
      </c>
      <c r="L69" s="395">
        <f t="shared" ca="1" si="66"/>
        <v>0</v>
      </c>
      <c r="M69" s="395">
        <f t="shared" ca="1" si="66"/>
        <v>0</v>
      </c>
      <c r="N69" s="395">
        <f t="shared" ca="1" si="66"/>
        <v>0</v>
      </c>
      <c r="O69" s="395">
        <f t="shared" ca="1" si="66"/>
        <v>0</v>
      </c>
      <c r="P69" s="395">
        <f t="shared" ca="1" si="66"/>
        <v>0</v>
      </c>
      <c r="Q69" s="395">
        <f t="shared" ca="1" si="66"/>
        <v>0</v>
      </c>
      <c r="R69" s="395">
        <f t="shared" ca="1" si="66"/>
        <v>0</v>
      </c>
      <c r="S69" s="395">
        <f t="shared" ca="1" si="66"/>
        <v>0</v>
      </c>
      <c r="T69" s="395">
        <f t="shared" ca="1" si="66"/>
        <v>0</v>
      </c>
      <c r="U69" s="395">
        <f t="shared" ca="1" si="66"/>
        <v>0</v>
      </c>
      <c r="V69" s="395">
        <f t="shared" ca="1" si="66"/>
        <v>0</v>
      </c>
      <c r="W69" s="395">
        <f t="shared" ca="1" si="66"/>
        <v>0</v>
      </c>
      <c r="X69" s="395">
        <f t="shared" ca="1" si="66"/>
        <v>0</v>
      </c>
      <c r="Y69" s="395">
        <f t="shared" ca="1" si="66"/>
        <v>0</v>
      </c>
      <c r="Z69" s="395">
        <f t="shared" ca="1" si="66"/>
        <v>0</v>
      </c>
      <c r="AA69" s="395">
        <f t="shared" ca="1" si="66"/>
        <v>0</v>
      </c>
      <c r="AB69" s="395">
        <f t="shared" ca="1" si="66"/>
        <v>0</v>
      </c>
      <c r="AC69" s="395">
        <f t="shared" ca="1" si="66"/>
        <v>0</v>
      </c>
      <c r="AD69" s="395">
        <f t="shared" ca="1" si="66"/>
        <v>0</v>
      </c>
      <c r="AE69" s="395">
        <f t="shared" ca="1" si="66"/>
        <v>0</v>
      </c>
      <c r="AF69" s="395">
        <f t="shared" ca="1" si="66"/>
        <v>0</v>
      </c>
      <c r="AG69" s="395">
        <f t="shared" ca="1" si="66"/>
        <v>0</v>
      </c>
      <c r="AH69" s="395">
        <f t="shared" ca="1" si="66"/>
        <v>0</v>
      </c>
      <c r="AI69" s="395">
        <f t="shared" ca="1" si="66"/>
        <v>0</v>
      </c>
      <c r="AJ69" s="395">
        <f t="shared" ca="1" si="66"/>
        <v>0</v>
      </c>
      <c r="AK69" s="395">
        <f t="shared" ref="AK69:BP69" ca="1" si="67">AK70*Tier2_CoInvestorPctCF_Case2/Tier2_SponsorPctCF_Case2</f>
        <v>0</v>
      </c>
      <c r="AL69" s="395">
        <f t="shared" ca="1" si="67"/>
        <v>0</v>
      </c>
      <c r="AM69" s="395">
        <f t="shared" ca="1" si="67"/>
        <v>0</v>
      </c>
      <c r="AN69" s="395">
        <f t="shared" ca="1" si="67"/>
        <v>0</v>
      </c>
      <c r="AO69" s="395">
        <f t="shared" ca="1" si="67"/>
        <v>0</v>
      </c>
      <c r="AP69" s="395">
        <f t="shared" ca="1" si="67"/>
        <v>0</v>
      </c>
      <c r="AQ69" s="395">
        <f t="shared" ca="1" si="67"/>
        <v>0</v>
      </c>
      <c r="AR69" s="395">
        <f t="shared" ca="1" si="67"/>
        <v>0</v>
      </c>
      <c r="AS69" s="395">
        <f t="shared" ca="1" si="67"/>
        <v>0</v>
      </c>
      <c r="AT69" s="395">
        <f t="shared" ca="1" si="67"/>
        <v>0</v>
      </c>
      <c r="AU69" s="395">
        <f t="shared" ca="1" si="67"/>
        <v>0</v>
      </c>
      <c r="AV69" s="395">
        <f t="shared" ca="1" si="67"/>
        <v>0</v>
      </c>
      <c r="AW69" s="395">
        <f t="shared" ca="1" si="67"/>
        <v>0</v>
      </c>
      <c r="AX69" s="395">
        <f t="shared" ca="1" si="67"/>
        <v>0</v>
      </c>
      <c r="AY69" s="395">
        <f t="shared" ca="1" si="67"/>
        <v>0</v>
      </c>
      <c r="AZ69" s="395">
        <f t="shared" ca="1" si="67"/>
        <v>0</v>
      </c>
      <c r="BA69" s="395">
        <f t="shared" ca="1" si="67"/>
        <v>0</v>
      </c>
      <c r="BB69" s="395">
        <f t="shared" ca="1" si="67"/>
        <v>0</v>
      </c>
      <c r="BC69" s="395">
        <f t="shared" ca="1" si="67"/>
        <v>0</v>
      </c>
      <c r="BD69" s="395">
        <f t="shared" ca="1" si="67"/>
        <v>0</v>
      </c>
      <c r="BE69" s="395">
        <f t="shared" ca="1" si="67"/>
        <v>0</v>
      </c>
      <c r="BF69" s="395">
        <f t="shared" ca="1" si="67"/>
        <v>0</v>
      </c>
      <c r="BG69" s="395">
        <f t="shared" ca="1" si="67"/>
        <v>0</v>
      </c>
      <c r="BH69" s="395">
        <f t="shared" ca="1" si="67"/>
        <v>0</v>
      </c>
      <c r="BI69" s="395">
        <f t="shared" ca="1" si="67"/>
        <v>0</v>
      </c>
      <c r="BJ69" s="395">
        <f t="shared" ca="1" si="67"/>
        <v>0</v>
      </c>
      <c r="BK69" s="395">
        <f t="shared" ca="1" si="67"/>
        <v>0</v>
      </c>
      <c r="BL69" s="395">
        <f t="shared" ca="1" si="67"/>
        <v>0</v>
      </c>
      <c r="BM69" s="395">
        <f t="shared" ca="1" si="67"/>
        <v>0</v>
      </c>
      <c r="BN69" s="395">
        <f t="shared" ca="1" si="67"/>
        <v>0</v>
      </c>
      <c r="BO69" s="395">
        <f t="shared" ca="1" si="67"/>
        <v>0</v>
      </c>
      <c r="BP69" s="395">
        <f t="shared" ca="1" si="67"/>
        <v>0</v>
      </c>
      <c r="BQ69" s="395">
        <f t="shared" ref="BQ69:CK69" ca="1" si="68">BQ70*Tier2_CoInvestorPctCF_Case2/Tier2_SponsorPctCF_Case2</f>
        <v>0</v>
      </c>
      <c r="BR69" s="395">
        <f t="shared" ca="1" si="68"/>
        <v>0</v>
      </c>
      <c r="BS69" s="395">
        <f t="shared" ca="1" si="68"/>
        <v>0</v>
      </c>
      <c r="BT69" s="395">
        <f t="shared" ca="1" si="68"/>
        <v>0</v>
      </c>
      <c r="BU69" s="395">
        <f t="shared" ca="1" si="68"/>
        <v>0</v>
      </c>
      <c r="BV69" s="395">
        <f t="shared" ca="1" si="68"/>
        <v>0</v>
      </c>
      <c r="BW69" s="395">
        <f t="shared" ca="1" si="68"/>
        <v>0</v>
      </c>
      <c r="BX69" s="395">
        <f t="shared" ca="1" si="68"/>
        <v>0</v>
      </c>
      <c r="BY69" s="395">
        <f t="shared" ca="1" si="68"/>
        <v>0</v>
      </c>
      <c r="BZ69" s="395">
        <f t="shared" ca="1" si="68"/>
        <v>0</v>
      </c>
      <c r="CA69" s="395">
        <f t="shared" ca="1" si="68"/>
        <v>0</v>
      </c>
      <c r="CB69" s="395">
        <f t="shared" ca="1" si="68"/>
        <v>0</v>
      </c>
      <c r="CC69" s="395">
        <f t="shared" ca="1" si="68"/>
        <v>0</v>
      </c>
      <c r="CD69" s="395">
        <f t="shared" ca="1" si="68"/>
        <v>0</v>
      </c>
      <c r="CE69" s="395">
        <f t="shared" ca="1" si="68"/>
        <v>0</v>
      </c>
      <c r="CF69" s="395">
        <f t="shared" ca="1" si="68"/>
        <v>0</v>
      </c>
      <c r="CG69" s="395">
        <f t="shared" ca="1" si="68"/>
        <v>0</v>
      </c>
      <c r="CH69" s="395">
        <f t="shared" ca="1" si="68"/>
        <v>0</v>
      </c>
      <c r="CI69" s="395">
        <f t="shared" ca="1" si="68"/>
        <v>0</v>
      </c>
      <c r="CJ69" s="395">
        <f t="shared" ca="1" si="68"/>
        <v>0</v>
      </c>
      <c r="CK69" s="395">
        <f t="shared" ca="1" si="68"/>
        <v>0</v>
      </c>
      <c r="CL69" s="133" t="s">
        <v>15</v>
      </c>
    </row>
    <row r="70" spans="2:90" s="133" customFormat="1" ht="15" customHeight="1" outlineLevel="1" x14ac:dyDescent="0.2">
      <c r="B70" s="133" t="s">
        <v>273</v>
      </c>
      <c r="E70" s="395">
        <f ca="1">-E66</f>
        <v>0</v>
      </c>
      <c r="F70" s="395">
        <f t="shared" ref="F70:BQ70" ca="1" si="69">-F66</f>
        <v>0</v>
      </c>
      <c r="G70" s="395">
        <f t="shared" ca="1" si="69"/>
        <v>0</v>
      </c>
      <c r="H70" s="395">
        <f t="shared" ca="1" si="69"/>
        <v>0</v>
      </c>
      <c r="I70" s="395">
        <f t="shared" ca="1" si="69"/>
        <v>0</v>
      </c>
      <c r="J70" s="395">
        <f t="shared" ca="1" si="69"/>
        <v>0</v>
      </c>
      <c r="K70" s="395">
        <f t="shared" ca="1" si="69"/>
        <v>0</v>
      </c>
      <c r="L70" s="395">
        <f t="shared" ca="1" si="69"/>
        <v>0</v>
      </c>
      <c r="M70" s="395">
        <f t="shared" ca="1" si="69"/>
        <v>0</v>
      </c>
      <c r="N70" s="395">
        <f t="shared" ca="1" si="69"/>
        <v>0</v>
      </c>
      <c r="O70" s="395">
        <f t="shared" ca="1" si="69"/>
        <v>0</v>
      </c>
      <c r="P70" s="395">
        <f t="shared" ca="1" si="69"/>
        <v>0</v>
      </c>
      <c r="Q70" s="395">
        <f t="shared" ca="1" si="69"/>
        <v>0</v>
      </c>
      <c r="R70" s="395">
        <f t="shared" ca="1" si="69"/>
        <v>0</v>
      </c>
      <c r="S70" s="395">
        <f t="shared" ca="1" si="69"/>
        <v>0</v>
      </c>
      <c r="T70" s="395">
        <f t="shared" ca="1" si="69"/>
        <v>0</v>
      </c>
      <c r="U70" s="395">
        <f t="shared" ca="1" si="69"/>
        <v>0</v>
      </c>
      <c r="V70" s="395">
        <f t="shared" ca="1" si="69"/>
        <v>0</v>
      </c>
      <c r="W70" s="395">
        <f t="shared" ca="1" si="69"/>
        <v>0</v>
      </c>
      <c r="X70" s="395">
        <f t="shared" ca="1" si="69"/>
        <v>0</v>
      </c>
      <c r="Y70" s="395">
        <f t="shared" ca="1" si="69"/>
        <v>0</v>
      </c>
      <c r="Z70" s="395">
        <f t="shared" ca="1" si="69"/>
        <v>0</v>
      </c>
      <c r="AA70" s="395">
        <f t="shared" ca="1" si="69"/>
        <v>0</v>
      </c>
      <c r="AB70" s="395">
        <f t="shared" ca="1" si="69"/>
        <v>0</v>
      </c>
      <c r="AC70" s="395">
        <f t="shared" ca="1" si="69"/>
        <v>0</v>
      </c>
      <c r="AD70" s="395">
        <f t="shared" ca="1" si="69"/>
        <v>0</v>
      </c>
      <c r="AE70" s="395">
        <f t="shared" ca="1" si="69"/>
        <v>0</v>
      </c>
      <c r="AF70" s="395">
        <f t="shared" ca="1" si="69"/>
        <v>0</v>
      </c>
      <c r="AG70" s="395">
        <f t="shared" ca="1" si="69"/>
        <v>0</v>
      </c>
      <c r="AH70" s="395">
        <f t="shared" ca="1" si="69"/>
        <v>0</v>
      </c>
      <c r="AI70" s="395">
        <f t="shared" ca="1" si="69"/>
        <v>0</v>
      </c>
      <c r="AJ70" s="395">
        <f t="shared" ca="1" si="69"/>
        <v>0</v>
      </c>
      <c r="AK70" s="395">
        <f t="shared" ca="1" si="69"/>
        <v>0</v>
      </c>
      <c r="AL70" s="395">
        <f t="shared" ca="1" si="69"/>
        <v>0</v>
      </c>
      <c r="AM70" s="395">
        <f t="shared" ca="1" si="69"/>
        <v>0</v>
      </c>
      <c r="AN70" s="395">
        <f t="shared" ca="1" si="69"/>
        <v>0</v>
      </c>
      <c r="AO70" s="395">
        <f t="shared" ca="1" si="69"/>
        <v>1553787.7563261308</v>
      </c>
      <c r="AP70" s="395">
        <f t="shared" ca="1" si="69"/>
        <v>0</v>
      </c>
      <c r="AQ70" s="395">
        <f t="shared" ca="1" si="69"/>
        <v>0</v>
      </c>
      <c r="AR70" s="395">
        <f t="shared" ca="1" si="69"/>
        <v>0</v>
      </c>
      <c r="AS70" s="395">
        <f t="shared" ca="1" si="69"/>
        <v>0</v>
      </c>
      <c r="AT70" s="395">
        <f t="shared" ca="1" si="69"/>
        <v>0</v>
      </c>
      <c r="AU70" s="395">
        <f t="shared" ca="1" si="69"/>
        <v>0</v>
      </c>
      <c r="AV70" s="395">
        <f t="shared" ca="1" si="69"/>
        <v>0</v>
      </c>
      <c r="AW70" s="395">
        <f t="shared" ca="1" si="69"/>
        <v>0</v>
      </c>
      <c r="AX70" s="395">
        <f t="shared" ca="1" si="69"/>
        <v>0</v>
      </c>
      <c r="AY70" s="395">
        <f t="shared" ca="1" si="69"/>
        <v>0</v>
      </c>
      <c r="AZ70" s="395">
        <f t="shared" ca="1" si="69"/>
        <v>0</v>
      </c>
      <c r="BA70" s="395">
        <f t="shared" ca="1" si="69"/>
        <v>0</v>
      </c>
      <c r="BB70" s="395">
        <f t="shared" ca="1" si="69"/>
        <v>0</v>
      </c>
      <c r="BC70" s="395">
        <f t="shared" ca="1" si="69"/>
        <v>0</v>
      </c>
      <c r="BD70" s="395">
        <f t="shared" ca="1" si="69"/>
        <v>0</v>
      </c>
      <c r="BE70" s="395">
        <f t="shared" ca="1" si="69"/>
        <v>0</v>
      </c>
      <c r="BF70" s="395">
        <f t="shared" ca="1" si="69"/>
        <v>0</v>
      </c>
      <c r="BG70" s="395">
        <f t="shared" ca="1" si="69"/>
        <v>0</v>
      </c>
      <c r="BH70" s="395">
        <f t="shared" ca="1" si="69"/>
        <v>0</v>
      </c>
      <c r="BI70" s="395">
        <f t="shared" ca="1" si="69"/>
        <v>0</v>
      </c>
      <c r="BJ70" s="395">
        <f t="shared" ca="1" si="69"/>
        <v>0</v>
      </c>
      <c r="BK70" s="395">
        <f t="shared" ca="1" si="69"/>
        <v>0</v>
      </c>
      <c r="BL70" s="395">
        <f t="shared" ca="1" si="69"/>
        <v>0</v>
      </c>
      <c r="BM70" s="395">
        <f t="shared" ca="1" si="69"/>
        <v>0</v>
      </c>
      <c r="BN70" s="395">
        <f t="shared" ca="1" si="69"/>
        <v>0</v>
      </c>
      <c r="BO70" s="395">
        <f t="shared" ca="1" si="69"/>
        <v>0</v>
      </c>
      <c r="BP70" s="395">
        <f t="shared" ca="1" si="69"/>
        <v>0</v>
      </c>
      <c r="BQ70" s="395">
        <f t="shared" ca="1" si="69"/>
        <v>0</v>
      </c>
      <c r="BR70" s="395">
        <f t="shared" ref="BR70:CK70" ca="1" si="70">-BR66</f>
        <v>0</v>
      </c>
      <c r="BS70" s="395">
        <f t="shared" ca="1" si="70"/>
        <v>0</v>
      </c>
      <c r="BT70" s="395">
        <f t="shared" ca="1" si="70"/>
        <v>0</v>
      </c>
      <c r="BU70" s="395">
        <f t="shared" ca="1" si="70"/>
        <v>0</v>
      </c>
      <c r="BV70" s="395">
        <f t="shared" ca="1" si="70"/>
        <v>0</v>
      </c>
      <c r="BW70" s="395">
        <f t="shared" ca="1" si="70"/>
        <v>0</v>
      </c>
      <c r="BX70" s="395">
        <f t="shared" ca="1" si="70"/>
        <v>0</v>
      </c>
      <c r="BY70" s="395">
        <f t="shared" ca="1" si="70"/>
        <v>0</v>
      </c>
      <c r="BZ70" s="395">
        <f t="shared" ca="1" si="70"/>
        <v>0</v>
      </c>
      <c r="CA70" s="395">
        <f t="shared" ca="1" si="70"/>
        <v>0</v>
      </c>
      <c r="CB70" s="395">
        <f t="shared" ca="1" si="70"/>
        <v>0</v>
      </c>
      <c r="CC70" s="395">
        <f t="shared" ca="1" si="70"/>
        <v>0</v>
      </c>
      <c r="CD70" s="395">
        <f t="shared" ca="1" si="70"/>
        <v>0</v>
      </c>
      <c r="CE70" s="395">
        <f t="shared" ca="1" si="70"/>
        <v>0</v>
      </c>
      <c r="CF70" s="395">
        <f t="shared" ca="1" si="70"/>
        <v>0</v>
      </c>
      <c r="CG70" s="395">
        <f t="shared" ca="1" si="70"/>
        <v>0</v>
      </c>
      <c r="CH70" s="395">
        <f t="shared" ca="1" si="70"/>
        <v>0</v>
      </c>
      <c r="CI70" s="395">
        <f t="shared" ca="1" si="70"/>
        <v>0</v>
      </c>
      <c r="CJ70" s="395">
        <f t="shared" ca="1" si="70"/>
        <v>0</v>
      </c>
      <c r="CK70" s="395">
        <f t="shared" ca="1" si="70"/>
        <v>0</v>
      </c>
      <c r="CL70" s="133" t="s">
        <v>15</v>
      </c>
    </row>
    <row r="71" spans="2:90" s="133" customFormat="1" ht="15" customHeight="1" outlineLevel="1" x14ac:dyDescent="0.2">
      <c r="B71" s="133" t="s">
        <v>30</v>
      </c>
      <c r="E71" s="395">
        <f ca="1">SUM(E69:E70)</f>
        <v>0</v>
      </c>
      <c r="F71" s="395">
        <f t="shared" ref="F71:BQ71" ca="1" si="71">SUM(F69:F70)</f>
        <v>0</v>
      </c>
      <c r="G71" s="395">
        <f t="shared" ca="1" si="71"/>
        <v>0</v>
      </c>
      <c r="H71" s="395">
        <f t="shared" ca="1" si="71"/>
        <v>0</v>
      </c>
      <c r="I71" s="395">
        <f t="shared" ca="1" si="71"/>
        <v>0</v>
      </c>
      <c r="J71" s="395">
        <f t="shared" ca="1" si="71"/>
        <v>0</v>
      </c>
      <c r="K71" s="395">
        <f t="shared" ca="1" si="71"/>
        <v>0</v>
      </c>
      <c r="L71" s="395">
        <f t="shared" ca="1" si="71"/>
        <v>0</v>
      </c>
      <c r="M71" s="395">
        <f t="shared" ca="1" si="71"/>
        <v>0</v>
      </c>
      <c r="N71" s="395">
        <f t="shared" ca="1" si="71"/>
        <v>0</v>
      </c>
      <c r="O71" s="395">
        <f t="shared" ca="1" si="71"/>
        <v>0</v>
      </c>
      <c r="P71" s="395">
        <f t="shared" ca="1" si="71"/>
        <v>0</v>
      </c>
      <c r="Q71" s="395">
        <f t="shared" ca="1" si="71"/>
        <v>0</v>
      </c>
      <c r="R71" s="395">
        <f t="shared" ca="1" si="71"/>
        <v>0</v>
      </c>
      <c r="S71" s="395">
        <f t="shared" ca="1" si="71"/>
        <v>0</v>
      </c>
      <c r="T71" s="395">
        <f t="shared" ca="1" si="71"/>
        <v>0</v>
      </c>
      <c r="U71" s="395">
        <f t="shared" ca="1" si="71"/>
        <v>0</v>
      </c>
      <c r="V71" s="395">
        <f t="shared" ca="1" si="71"/>
        <v>0</v>
      </c>
      <c r="W71" s="395">
        <f t="shared" ca="1" si="71"/>
        <v>0</v>
      </c>
      <c r="X71" s="395">
        <f t="shared" ca="1" si="71"/>
        <v>0</v>
      </c>
      <c r="Y71" s="395">
        <f t="shared" ca="1" si="71"/>
        <v>0</v>
      </c>
      <c r="Z71" s="395">
        <f t="shared" ca="1" si="71"/>
        <v>0</v>
      </c>
      <c r="AA71" s="395">
        <f t="shared" ca="1" si="71"/>
        <v>0</v>
      </c>
      <c r="AB71" s="395">
        <f t="shared" ca="1" si="71"/>
        <v>0</v>
      </c>
      <c r="AC71" s="395">
        <f t="shared" ca="1" si="71"/>
        <v>0</v>
      </c>
      <c r="AD71" s="395">
        <f t="shared" ca="1" si="71"/>
        <v>0</v>
      </c>
      <c r="AE71" s="395">
        <f t="shared" ca="1" si="71"/>
        <v>0</v>
      </c>
      <c r="AF71" s="395">
        <f t="shared" ca="1" si="71"/>
        <v>0</v>
      </c>
      <c r="AG71" s="395">
        <f t="shared" ca="1" si="71"/>
        <v>0</v>
      </c>
      <c r="AH71" s="395">
        <f t="shared" ca="1" si="71"/>
        <v>0</v>
      </c>
      <c r="AI71" s="395">
        <f t="shared" ca="1" si="71"/>
        <v>0</v>
      </c>
      <c r="AJ71" s="395">
        <f t="shared" ca="1" si="71"/>
        <v>0</v>
      </c>
      <c r="AK71" s="395">
        <f t="shared" ca="1" si="71"/>
        <v>0</v>
      </c>
      <c r="AL71" s="395">
        <f t="shared" ca="1" si="71"/>
        <v>0</v>
      </c>
      <c r="AM71" s="395">
        <f t="shared" ca="1" si="71"/>
        <v>0</v>
      </c>
      <c r="AN71" s="395">
        <f t="shared" ca="1" si="71"/>
        <v>0</v>
      </c>
      <c r="AO71" s="395">
        <f t="shared" ca="1" si="71"/>
        <v>1553787.7563261308</v>
      </c>
      <c r="AP71" s="395">
        <f t="shared" ca="1" si="71"/>
        <v>0</v>
      </c>
      <c r="AQ71" s="395">
        <f t="shared" ca="1" si="71"/>
        <v>0</v>
      </c>
      <c r="AR71" s="395">
        <f t="shared" ca="1" si="71"/>
        <v>0</v>
      </c>
      <c r="AS71" s="395">
        <f t="shared" ca="1" si="71"/>
        <v>0</v>
      </c>
      <c r="AT71" s="395">
        <f t="shared" ca="1" si="71"/>
        <v>0</v>
      </c>
      <c r="AU71" s="395">
        <f t="shared" ca="1" si="71"/>
        <v>0</v>
      </c>
      <c r="AV71" s="395">
        <f t="shared" ca="1" si="71"/>
        <v>0</v>
      </c>
      <c r="AW71" s="395">
        <f t="shared" ca="1" si="71"/>
        <v>0</v>
      </c>
      <c r="AX71" s="395">
        <f t="shared" ca="1" si="71"/>
        <v>0</v>
      </c>
      <c r="AY71" s="395">
        <f t="shared" ca="1" si="71"/>
        <v>0</v>
      </c>
      <c r="AZ71" s="395">
        <f t="shared" ca="1" si="71"/>
        <v>0</v>
      </c>
      <c r="BA71" s="395">
        <f t="shared" ca="1" si="71"/>
        <v>0</v>
      </c>
      <c r="BB71" s="395">
        <f t="shared" ca="1" si="71"/>
        <v>0</v>
      </c>
      <c r="BC71" s="395">
        <f t="shared" ca="1" si="71"/>
        <v>0</v>
      </c>
      <c r="BD71" s="395">
        <f t="shared" ca="1" si="71"/>
        <v>0</v>
      </c>
      <c r="BE71" s="395">
        <f t="shared" ca="1" si="71"/>
        <v>0</v>
      </c>
      <c r="BF71" s="395">
        <f t="shared" ca="1" si="71"/>
        <v>0</v>
      </c>
      <c r="BG71" s="395">
        <f t="shared" ca="1" si="71"/>
        <v>0</v>
      </c>
      <c r="BH71" s="395">
        <f t="shared" ca="1" si="71"/>
        <v>0</v>
      </c>
      <c r="BI71" s="395">
        <f t="shared" ca="1" si="71"/>
        <v>0</v>
      </c>
      <c r="BJ71" s="395">
        <f t="shared" ca="1" si="71"/>
        <v>0</v>
      </c>
      <c r="BK71" s="395">
        <f t="shared" ca="1" si="71"/>
        <v>0</v>
      </c>
      <c r="BL71" s="395">
        <f t="shared" ca="1" si="71"/>
        <v>0</v>
      </c>
      <c r="BM71" s="395">
        <f t="shared" ca="1" si="71"/>
        <v>0</v>
      </c>
      <c r="BN71" s="395">
        <f t="shared" ca="1" si="71"/>
        <v>0</v>
      </c>
      <c r="BO71" s="395">
        <f t="shared" ca="1" si="71"/>
        <v>0</v>
      </c>
      <c r="BP71" s="395">
        <f t="shared" ca="1" si="71"/>
        <v>0</v>
      </c>
      <c r="BQ71" s="395">
        <f t="shared" ca="1" si="71"/>
        <v>0</v>
      </c>
      <c r="BR71" s="395">
        <f t="shared" ref="BR71:CK71" ca="1" si="72">SUM(BR69:BR70)</f>
        <v>0</v>
      </c>
      <c r="BS71" s="395">
        <f t="shared" ca="1" si="72"/>
        <v>0</v>
      </c>
      <c r="BT71" s="395">
        <f t="shared" ca="1" si="72"/>
        <v>0</v>
      </c>
      <c r="BU71" s="395">
        <f t="shared" ca="1" si="72"/>
        <v>0</v>
      </c>
      <c r="BV71" s="395">
        <f t="shared" ca="1" si="72"/>
        <v>0</v>
      </c>
      <c r="BW71" s="395">
        <f t="shared" ca="1" si="72"/>
        <v>0</v>
      </c>
      <c r="BX71" s="395">
        <f t="shared" ca="1" si="72"/>
        <v>0</v>
      </c>
      <c r="BY71" s="395">
        <f t="shared" ca="1" si="72"/>
        <v>0</v>
      </c>
      <c r="BZ71" s="395">
        <f t="shared" ca="1" si="72"/>
        <v>0</v>
      </c>
      <c r="CA71" s="395">
        <f t="shared" ca="1" si="72"/>
        <v>0</v>
      </c>
      <c r="CB71" s="395">
        <f t="shared" ca="1" si="72"/>
        <v>0</v>
      </c>
      <c r="CC71" s="395">
        <f t="shared" ca="1" si="72"/>
        <v>0</v>
      </c>
      <c r="CD71" s="395">
        <f t="shared" ca="1" si="72"/>
        <v>0</v>
      </c>
      <c r="CE71" s="395">
        <f t="shared" ca="1" si="72"/>
        <v>0</v>
      </c>
      <c r="CF71" s="395">
        <f t="shared" ca="1" si="72"/>
        <v>0</v>
      </c>
      <c r="CG71" s="395">
        <f t="shared" ca="1" si="72"/>
        <v>0</v>
      </c>
      <c r="CH71" s="395">
        <f t="shared" ca="1" si="72"/>
        <v>0</v>
      </c>
      <c r="CI71" s="395">
        <f t="shared" ca="1" si="72"/>
        <v>0</v>
      </c>
      <c r="CJ71" s="395">
        <f t="shared" ca="1" si="72"/>
        <v>0</v>
      </c>
      <c r="CK71" s="395">
        <f t="shared" ca="1" si="72"/>
        <v>0</v>
      </c>
      <c r="CL71" s="133" t="s">
        <v>15</v>
      </c>
    </row>
    <row r="72" spans="2:90" s="133" customFormat="1" ht="15" customHeight="1" outlineLevel="1" x14ac:dyDescent="0.2"/>
    <row r="73" spans="2:90" s="133" customFormat="1" ht="15" customHeight="1" x14ac:dyDescent="0.2">
      <c r="B73" s="133" t="s">
        <v>267</v>
      </c>
      <c r="E73" s="395">
        <f ca="1">E46+E69</f>
        <v>-3358172.9905319572</v>
      </c>
      <c r="F73" s="395">
        <f t="shared" ref="F73:BQ73" ca="1" si="73">F46+F69</f>
        <v>-128422.48084919996</v>
      </c>
      <c r="G73" s="395">
        <f t="shared" ca="1" si="73"/>
        <v>-128506.5682378714</v>
      </c>
      <c r="H73" s="395">
        <f t="shared" ca="1" si="73"/>
        <v>-158833.09271914329</v>
      </c>
      <c r="I73" s="395">
        <f t="shared" ca="1" si="73"/>
        <v>-288212.83321714279</v>
      </c>
      <c r="J73" s="395">
        <f t="shared" ca="1" si="73"/>
        <v>-244261.56490285712</v>
      </c>
      <c r="K73" s="395">
        <f t="shared" ca="1" si="73"/>
        <v>-413184.54954857146</v>
      </c>
      <c r="L73" s="395">
        <f t="shared" ca="1" si="73"/>
        <v>-631013.1134575489</v>
      </c>
      <c r="M73" s="395">
        <f t="shared" ca="1" si="73"/>
        <v>-631431.44036652637</v>
      </c>
      <c r="N73" s="395">
        <f t="shared" ca="1" si="73"/>
        <v>-631849.76727550384</v>
      </c>
      <c r="O73" s="395">
        <f t="shared" ca="1" si="73"/>
        <v>-632268.09418448119</v>
      </c>
      <c r="P73" s="395">
        <f t="shared" ca="1" si="73"/>
        <v>-632686.42109345866</v>
      </c>
      <c r="Q73" s="395">
        <f t="shared" ca="1" si="73"/>
        <v>-633104.74800243613</v>
      </c>
      <c r="R73" s="395">
        <f t="shared" ca="1" si="73"/>
        <v>-974044.22176741331</v>
      </c>
      <c r="S73" s="395">
        <f t="shared" ca="1" si="73"/>
        <v>-1079788.5309323911</v>
      </c>
      <c r="T73" s="395">
        <f t="shared" ca="1" si="73"/>
        <v>-475749.59246165282</v>
      </c>
      <c r="U73" s="395">
        <f t="shared" ca="1" si="73"/>
        <v>-7287.0918000000011</v>
      </c>
      <c r="V73" s="395">
        <f t="shared" ca="1" si="73"/>
        <v>-7287.0918000000011</v>
      </c>
      <c r="W73" s="395">
        <f t="shared" ca="1" si="73"/>
        <v>-7287.0918000000011</v>
      </c>
      <c r="X73" s="395">
        <f t="shared" ca="1" si="73"/>
        <v>-7287.0918000000011</v>
      </c>
      <c r="Y73" s="395">
        <f t="shared" ca="1" si="73"/>
        <v>-7287.0918000000011</v>
      </c>
      <c r="Z73" s="395">
        <f t="shared" ca="1" si="73"/>
        <v>-7287.0918000000011</v>
      </c>
      <c r="AA73" s="395">
        <f t="shared" ca="1" si="73"/>
        <v>-7287.0918000000011</v>
      </c>
      <c r="AB73" s="395">
        <f t="shared" ca="1" si="73"/>
        <v>-7287.0918000000011</v>
      </c>
      <c r="AC73" s="395">
        <f t="shared" ca="1" si="73"/>
        <v>-7287.0918000000011</v>
      </c>
      <c r="AD73" s="395">
        <f t="shared" ca="1" si="73"/>
        <v>-7287.0918000000011</v>
      </c>
      <c r="AE73" s="395">
        <f t="shared" ca="1" si="73"/>
        <v>-7287.0918000000011</v>
      </c>
      <c r="AF73" s="395">
        <f t="shared" ca="1" si="73"/>
        <v>-7287.0918000000011</v>
      </c>
      <c r="AG73" s="395">
        <f t="shared" ca="1" si="73"/>
        <v>-7287.0918000000011</v>
      </c>
      <c r="AH73" s="395">
        <f t="shared" ca="1" si="73"/>
        <v>-7287.0918000000011</v>
      </c>
      <c r="AI73" s="395">
        <f t="shared" ca="1" si="73"/>
        <v>-7287.0918000000011</v>
      </c>
      <c r="AJ73" s="395">
        <f t="shared" ca="1" si="73"/>
        <v>-7287.0918000000011</v>
      </c>
      <c r="AK73" s="395">
        <f t="shared" ca="1" si="73"/>
        <v>-7287.0918000000011</v>
      </c>
      <c r="AL73" s="395">
        <f t="shared" ca="1" si="73"/>
        <v>-7287.0918000000011</v>
      </c>
      <c r="AM73" s="395">
        <f t="shared" ca="1" si="73"/>
        <v>-7287.0918000000011</v>
      </c>
      <c r="AN73" s="395">
        <f t="shared" ca="1" si="73"/>
        <v>-7287.0918000000011</v>
      </c>
      <c r="AO73" s="395">
        <f t="shared" ca="1" si="73"/>
        <v>13984089.806935186</v>
      </c>
      <c r="AP73" s="395">
        <f t="shared" ca="1" si="73"/>
        <v>0</v>
      </c>
      <c r="AQ73" s="395">
        <f t="shared" ca="1" si="73"/>
        <v>0</v>
      </c>
      <c r="AR73" s="395">
        <f t="shared" ca="1" si="73"/>
        <v>0</v>
      </c>
      <c r="AS73" s="395">
        <f t="shared" ca="1" si="73"/>
        <v>0</v>
      </c>
      <c r="AT73" s="395">
        <f t="shared" ca="1" si="73"/>
        <v>0</v>
      </c>
      <c r="AU73" s="395">
        <f t="shared" ca="1" si="73"/>
        <v>0</v>
      </c>
      <c r="AV73" s="395">
        <f t="shared" ca="1" si="73"/>
        <v>0</v>
      </c>
      <c r="AW73" s="395">
        <f t="shared" ca="1" si="73"/>
        <v>0</v>
      </c>
      <c r="AX73" s="395">
        <f t="shared" ca="1" si="73"/>
        <v>0</v>
      </c>
      <c r="AY73" s="395">
        <f t="shared" ca="1" si="73"/>
        <v>0</v>
      </c>
      <c r="AZ73" s="395">
        <f t="shared" ca="1" si="73"/>
        <v>0</v>
      </c>
      <c r="BA73" s="395">
        <f t="shared" ca="1" si="73"/>
        <v>0</v>
      </c>
      <c r="BB73" s="395">
        <f t="shared" ca="1" si="73"/>
        <v>0</v>
      </c>
      <c r="BC73" s="395">
        <f t="shared" ca="1" si="73"/>
        <v>0</v>
      </c>
      <c r="BD73" s="395">
        <f t="shared" ca="1" si="73"/>
        <v>0</v>
      </c>
      <c r="BE73" s="395">
        <f t="shared" ca="1" si="73"/>
        <v>0</v>
      </c>
      <c r="BF73" s="395">
        <f t="shared" ca="1" si="73"/>
        <v>0</v>
      </c>
      <c r="BG73" s="395">
        <f t="shared" ca="1" si="73"/>
        <v>0</v>
      </c>
      <c r="BH73" s="395">
        <f t="shared" ca="1" si="73"/>
        <v>0</v>
      </c>
      <c r="BI73" s="395">
        <f t="shared" ca="1" si="73"/>
        <v>0</v>
      </c>
      <c r="BJ73" s="395">
        <f t="shared" ca="1" si="73"/>
        <v>0</v>
      </c>
      <c r="BK73" s="395">
        <f t="shared" ca="1" si="73"/>
        <v>0</v>
      </c>
      <c r="BL73" s="395">
        <f t="shared" ca="1" si="73"/>
        <v>0</v>
      </c>
      <c r="BM73" s="395">
        <f t="shared" ca="1" si="73"/>
        <v>0</v>
      </c>
      <c r="BN73" s="395">
        <f t="shared" ca="1" si="73"/>
        <v>0</v>
      </c>
      <c r="BO73" s="395">
        <f t="shared" ca="1" si="73"/>
        <v>0</v>
      </c>
      <c r="BP73" s="395">
        <f t="shared" ca="1" si="73"/>
        <v>0</v>
      </c>
      <c r="BQ73" s="395">
        <f t="shared" ca="1" si="73"/>
        <v>0</v>
      </c>
      <c r="BR73" s="395">
        <f t="shared" ref="BR73:CK73" ca="1" si="74">BR46+BR69</f>
        <v>0</v>
      </c>
      <c r="BS73" s="395">
        <f t="shared" ca="1" si="74"/>
        <v>0</v>
      </c>
      <c r="BT73" s="395">
        <f t="shared" ca="1" si="74"/>
        <v>0</v>
      </c>
      <c r="BU73" s="395">
        <f t="shared" ca="1" si="74"/>
        <v>0</v>
      </c>
      <c r="BV73" s="395">
        <f t="shared" ca="1" si="74"/>
        <v>0</v>
      </c>
      <c r="BW73" s="395">
        <f t="shared" ca="1" si="74"/>
        <v>0</v>
      </c>
      <c r="BX73" s="395">
        <f t="shared" ca="1" si="74"/>
        <v>0</v>
      </c>
      <c r="BY73" s="395">
        <f t="shared" ca="1" si="74"/>
        <v>0</v>
      </c>
      <c r="BZ73" s="395">
        <f t="shared" ca="1" si="74"/>
        <v>0</v>
      </c>
      <c r="CA73" s="395">
        <f t="shared" ca="1" si="74"/>
        <v>0</v>
      </c>
      <c r="CB73" s="395">
        <f t="shared" ca="1" si="74"/>
        <v>0</v>
      </c>
      <c r="CC73" s="395">
        <f t="shared" ca="1" si="74"/>
        <v>0</v>
      </c>
      <c r="CD73" s="395">
        <f t="shared" ca="1" si="74"/>
        <v>0</v>
      </c>
      <c r="CE73" s="395">
        <f t="shared" ca="1" si="74"/>
        <v>0</v>
      </c>
      <c r="CF73" s="395">
        <f t="shared" ca="1" si="74"/>
        <v>0</v>
      </c>
      <c r="CG73" s="395">
        <f t="shared" ca="1" si="74"/>
        <v>0</v>
      </c>
      <c r="CH73" s="395">
        <f t="shared" ca="1" si="74"/>
        <v>0</v>
      </c>
      <c r="CI73" s="395">
        <f t="shared" ca="1" si="74"/>
        <v>0</v>
      </c>
      <c r="CJ73" s="395">
        <f t="shared" ca="1" si="74"/>
        <v>0</v>
      </c>
      <c r="CK73" s="395">
        <f t="shared" ca="1" si="74"/>
        <v>0</v>
      </c>
      <c r="CL73" s="133" t="s">
        <v>15</v>
      </c>
    </row>
    <row r="74" spans="2:90" s="133" customFormat="1" ht="15" customHeight="1" x14ac:dyDescent="0.2">
      <c r="B74" s="133" t="s">
        <v>268</v>
      </c>
      <c r="E74" s="395">
        <f ca="1">E47+E70</f>
        <v>-373130.33228132862</v>
      </c>
      <c r="F74" s="395">
        <f t="shared" ref="F74:BQ74" ca="1" si="75">F47+F70</f>
        <v>-14269.164538799996</v>
      </c>
      <c r="G74" s="395">
        <f t="shared" ca="1" si="75"/>
        <v>-14278.50758198571</v>
      </c>
      <c r="H74" s="395">
        <f t="shared" ca="1" si="75"/>
        <v>-17648.121413238143</v>
      </c>
      <c r="I74" s="395">
        <f t="shared" ca="1" si="75"/>
        <v>-32023.648135238091</v>
      </c>
      <c r="J74" s="395">
        <f t="shared" ca="1" si="75"/>
        <v>-27140.173878095236</v>
      </c>
      <c r="K74" s="395">
        <f t="shared" ca="1" si="75"/>
        <v>-45909.394394285715</v>
      </c>
      <c r="L74" s="395">
        <f t="shared" ca="1" si="75"/>
        <v>-70112.568161949879</v>
      </c>
      <c r="M74" s="395">
        <f t="shared" ca="1" si="75"/>
        <v>-70159.048929614044</v>
      </c>
      <c r="N74" s="395">
        <f t="shared" ca="1" si="75"/>
        <v>-70205.529697278209</v>
      </c>
      <c r="O74" s="395">
        <f t="shared" ca="1" si="75"/>
        <v>-70252.010464942359</v>
      </c>
      <c r="P74" s="395">
        <f t="shared" ca="1" si="75"/>
        <v>-70298.49123260651</v>
      </c>
      <c r="Q74" s="395">
        <f t="shared" ca="1" si="75"/>
        <v>-70344.972000270674</v>
      </c>
      <c r="R74" s="395">
        <f t="shared" ca="1" si="75"/>
        <v>-108227.13575193482</v>
      </c>
      <c r="S74" s="395">
        <f t="shared" ca="1" si="75"/>
        <v>-119976.50343693234</v>
      </c>
      <c r="T74" s="395">
        <f t="shared" ca="1" si="75"/>
        <v>-52861.065829072533</v>
      </c>
      <c r="U74" s="395">
        <f t="shared" ca="1" si="75"/>
        <v>-809.6768666666668</v>
      </c>
      <c r="V74" s="395">
        <f t="shared" ca="1" si="75"/>
        <v>-809.6768666666668</v>
      </c>
      <c r="W74" s="395">
        <f t="shared" ca="1" si="75"/>
        <v>-809.6768666666668</v>
      </c>
      <c r="X74" s="395">
        <f t="shared" ca="1" si="75"/>
        <v>-809.6768666666668</v>
      </c>
      <c r="Y74" s="395">
        <f t="shared" ca="1" si="75"/>
        <v>-809.6768666666668</v>
      </c>
      <c r="Z74" s="395">
        <f t="shared" ca="1" si="75"/>
        <v>-809.6768666666668</v>
      </c>
      <c r="AA74" s="395">
        <f t="shared" ca="1" si="75"/>
        <v>-809.6768666666668</v>
      </c>
      <c r="AB74" s="395">
        <f t="shared" ca="1" si="75"/>
        <v>-809.6768666666668</v>
      </c>
      <c r="AC74" s="395">
        <f t="shared" ca="1" si="75"/>
        <v>-809.6768666666668</v>
      </c>
      <c r="AD74" s="395">
        <f t="shared" ca="1" si="75"/>
        <v>-809.6768666666668</v>
      </c>
      <c r="AE74" s="395">
        <f t="shared" ca="1" si="75"/>
        <v>-809.6768666666668</v>
      </c>
      <c r="AF74" s="395">
        <f t="shared" ca="1" si="75"/>
        <v>-809.6768666666668</v>
      </c>
      <c r="AG74" s="395">
        <f t="shared" ca="1" si="75"/>
        <v>-809.6768666666668</v>
      </c>
      <c r="AH74" s="395">
        <f t="shared" ca="1" si="75"/>
        <v>-809.6768666666668</v>
      </c>
      <c r="AI74" s="395">
        <f t="shared" ca="1" si="75"/>
        <v>-809.6768666666668</v>
      </c>
      <c r="AJ74" s="395">
        <f t="shared" ca="1" si="75"/>
        <v>-809.6768666666668</v>
      </c>
      <c r="AK74" s="395">
        <f t="shared" ca="1" si="75"/>
        <v>-809.6768666666668</v>
      </c>
      <c r="AL74" s="395">
        <f t="shared" ca="1" si="75"/>
        <v>-809.6768666666668</v>
      </c>
      <c r="AM74" s="395">
        <f t="shared" ca="1" si="75"/>
        <v>-809.6768666666668</v>
      </c>
      <c r="AN74" s="395">
        <f t="shared" ca="1" si="75"/>
        <v>-809.6768666666668</v>
      </c>
      <c r="AO74" s="395">
        <f t="shared" ca="1" si="75"/>
        <v>1553787.7563261308</v>
      </c>
      <c r="AP74" s="395">
        <f t="shared" ca="1" si="75"/>
        <v>0</v>
      </c>
      <c r="AQ74" s="395">
        <f t="shared" ca="1" si="75"/>
        <v>0</v>
      </c>
      <c r="AR74" s="395">
        <f t="shared" ca="1" si="75"/>
        <v>0</v>
      </c>
      <c r="AS74" s="395">
        <f t="shared" ca="1" si="75"/>
        <v>0</v>
      </c>
      <c r="AT74" s="395">
        <f t="shared" ca="1" si="75"/>
        <v>0</v>
      </c>
      <c r="AU74" s="395">
        <f t="shared" ca="1" si="75"/>
        <v>0</v>
      </c>
      <c r="AV74" s="395">
        <f t="shared" ca="1" si="75"/>
        <v>0</v>
      </c>
      <c r="AW74" s="395">
        <f t="shared" ca="1" si="75"/>
        <v>0</v>
      </c>
      <c r="AX74" s="395">
        <f t="shared" ca="1" si="75"/>
        <v>0</v>
      </c>
      <c r="AY74" s="395">
        <f t="shared" ca="1" si="75"/>
        <v>0</v>
      </c>
      <c r="AZ74" s="395">
        <f t="shared" ca="1" si="75"/>
        <v>0</v>
      </c>
      <c r="BA74" s="395">
        <f t="shared" ca="1" si="75"/>
        <v>0</v>
      </c>
      <c r="BB74" s="395">
        <f t="shared" ca="1" si="75"/>
        <v>0</v>
      </c>
      <c r="BC74" s="395">
        <f t="shared" ca="1" si="75"/>
        <v>0</v>
      </c>
      <c r="BD74" s="395">
        <f t="shared" ca="1" si="75"/>
        <v>0</v>
      </c>
      <c r="BE74" s="395">
        <f t="shared" ca="1" si="75"/>
        <v>0</v>
      </c>
      <c r="BF74" s="395">
        <f t="shared" ca="1" si="75"/>
        <v>0</v>
      </c>
      <c r="BG74" s="395">
        <f t="shared" ca="1" si="75"/>
        <v>0</v>
      </c>
      <c r="BH74" s="395">
        <f t="shared" ca="1" si="75"/>
        <v>0</v>
      </c>
      <c r="BI74" s="395">
        <f t="shared" ca="1" si="75"/>
        <v>0</v>
      </c>
      <c r="BJ74" s="395">
        <f t="shared" ca="1" si="75"/>
        <v>0</v>
      </c>
      <c r="BK74" s="395">
        <f t="shared" ca="1" si="75"/>
        <v>0</v>
      </c>
      <c r="BL74" s="395">
        <f t="shared" ca="1" si="75"/>
        <v>0</v>
      </c>
      <c r="BM74" s="395">
        <f t="shared" ca="1" si="75"/>
        <v>0</v>
      </c>
      <c r="BN74" s="395">
        <f t="shared" ca="1" si="75"/>
        <v>0</v>
      </c>
      <c r="BO74" s="395">
        <f t="shared" ca="1" si="75"/>
        <v>0</v>
      </c>
      <c r="BP74" s="395">
        <f t="shared" ca="1" si="75"/>
        <v>0</v>
      </c>
      <c r="BQ74" s="395">
        <f t="shared" ca="1" si="75"/>
        <v>0</v>
      </c>
      <c r="BR74" s="395">
        <f t="shared" ref="BR74:CK74" ca="1" si="76">BR47+BR70</f>
        <v>0</v>
      </c>
      <c r="BS74" s="395">
        <f t="shared" ca="1" si="76"/>
        <v>0</v>
      </c>
      <c r="BT74" s="395">
        <f t="shared" ca="1" si="76"/>
        <v>0</v>
      </c>
      <c r="BU74" s="395">
        <f t="shared" ca="1" si="76"/>
        <v>0</v>
      </c>
      <c r="BV74" s="395">
        <f t="shared" ca="1" si="76"/>
        <v>0</v>
      </c>
      <c r="BW74" s="395">
        <f t="shared" ca="1" si="76"/>
        <v>0</v>
      </c>
      <c r="BX74" s="395">
        <f t="shared" ca="1" si="76"/>
        <v>0</v>
      </c>
      <c r="BY74" s="395">
        <f t="shared" ca="1" si="76"/>
        <v>0</v>
      </c>
      <c r="BZ74" s="395">
        <f t="shared" ca="1" si="76"/>
        <v>0</v>
      </c>
      <c r="CA74" s="395">
        <f t="shared" ca="1" si="76"/>
        <v>0</v>
      </c>
      <c r="CB74" s="395">
        <f t="shared" ca="1" si="76"/>
        <v>0</v>
      </c>
      <c r="CC74" s="395">
        <f t="shared" ca="1" si="76"/>
        <v>0</v>
      </c>
      <c r="CD74" s="395">
        <f t="shared" ca="1" si="76"/>
        <v>0</v>
      </c>
      <c r="CE74" s="395">
        <f t="shared" ca="1" si="76"/>
        <v>0</v>
      </c>
      <c r="CF74" s="395">
        <f t="shared" ca="1" si="76"/>
        <v>0</v>
      </c>
      <c r="CG74" s="395">
        <f t="shared" ca="1" si="76"/>
        <v>0</v>
      </c>
      <c r="CH74" s="395">
        <f t="shared" ca="1" si="76"/>
        <v>0</v>
      </c>
      <c r="CI74" s="395">
        <f t="shared" ca="1" si="76"/>
        <v>0</v>
      </c>
      <c r="CJ74" s="395">
        <f t="shared" ca="1" si="76"/>
        <v>0</v>
      </c>
      <c r="CK74" s="395">
        <f t="shared" ca="1" si="76"/>
        <v>0</v>
      </c>
      <c r="CL74" s="133" t="s">
        <v>15</v>
      </c>
    </row>
    <row r="75" spans="2:90" s="133" customFormat="1" ht="15" customHeight="1" x14ac:dyDescent="0.2">
      <c r="B75" s="133" t="s">
        <v>30</v>
      </c>
      <c r="E75" s="395">
        <f ca="1">E48+E71</f>
        <v>-3731303.322813286</v>
      </c>
      <c r="F75" s="395">
        <f t="shared" ref="F75:BQ75" ca="1" si="77">F48+F71</f>
        <v>-142691.64538799995</v>
      </c>
      <c r="G75" s="395">
        <f t="shared" ca="1" si="77"/>
        <v>-142785.0758198571</v>
      </c>
      <c r="H75" s="395">
        <f t="shared" ca="1" si="77"/>
        <v>-176481.21413238143</v>
      </c>
      <c r="I75" s="395">
        <f t="shared" ca="1" si="77"/>
        <v>-320236.48135238088</v>
      </c>
      <c r="J75" s="395">
        <f t="shared" ca="1" si="77"/>
        <v>-271401.73878095235</v>
      </c>
      <c r="K75" s="395">
        <f t="shared" ca="1" si="77"/>
        <v>-459093.94394285721</v>
      </c>
      <c r="L75" s="395">
        <f t="shared" ca="1" si="77"/>
        <v>-701125.68161949876</v>
      </c>
      <c r="M75" s="395">
        <f t="shared" ca="1" si="77"/>
        <v>-701590.48929614038</v>
      </c>
      <c r="N75" s="395">
        <f t="shared" ca="1" si="77"/>
        <v>-702055.296972782</v>
      </c>
      <c r="O75" s="395">
        <f t="shared" ca="1" si="77"/>
        <v>-702520.10464942351</v>
      </c>
      <c r="P75" s="395">
        <f t="shared" ca="1" si="77"/>
        <v>-702984.91232606512</v>
      </c>
      <c r="Q75" s="395">
        <f t="shared" ca="1" si="77"/>
        <v>-703449.72000270686</v>
      </c>
      <c r="R75" s="395">
        <f t="shared" ca="1" si="77"/>
        <v>-1082271.3575193482</v>
      </c>
      <c r="S75" s="395">
        <f t="shared" ca="1" si="77"/>
        <v>-1199765.0343693234</v>
      </c>
      <c r="T75" s="395">
        <f t="shared" ca="1" si="77"/>
        <v>-528610.65829072532</v>
      </c>
      <c r="U75" s="395">
        <f t="shared" ca="1" si="77"/>
        <v>-8096.7686666666677</v>
      </c>
      <c r="V75" s="395">
        <f t="shared" ca="1" si="77"/>
        <v>-8096.7686666666677</v>
      </c>
      <c r="W75" s="395">
        <f t="shared" ca="1" si="77"/>
        <v>-8096.7686666666677</v>
      </c>
      <c r="X75" s="395">
        <f t="shared" ca="1" si="77"/>
        <v>-8096.7686666666677</v>
      </c>
      <c r="Y75" s="395">
        <f t="shared" ca="1" si="77"/>
        <v>-8096.7686666666677</v>
      </c>
      <c r="Z75" s="395">
        <f t="shared" ca="1" si="77"/>
        <v>-8096.7686666666677</v>
      </c>
      <c r="AA75" s="395">
        <f t="shared" ca="1" si="77"/>
        <v>-8096.7686666666677</v>
      </c>
      <c r="AB75" s="395">
        <f t="shared" ca="1" si="77"/>
        <v>-8096.7686666666677</v>
      </c>
      <c r="AC75" s="395">
        <f t="shared" ca="1" si="77"/>
        <v>-8096.7686666666677</v>
      </c>
      <c r="AD75" s="395">
        <f t="shared" ca="1" si="77"/>
        <v>-8096.7686666666677</v>
      </c>
      <c r="AE75" s="395">
        <f t="shared" ca="1" si="77"/>
        <v>-8096.7686666666677</v>
      </c>
      <c r="AF75" s="395">
        <f t="shared" ca="1" si="77"/>
        <v>-8096.7686666666677</v>
      </c>
      <c r="AG75" s="395">
        <f t="shared" ca="1" si="77"/>
        <v>-8096.7686666666677</v>
      </c>
      <c r="AH75" s="395">
        <f t="shared" ca="1" si="77"/>
        <v>-8096.7686666666677</v>
      </c>
      <c r="AI75" s="395">
        <f t="shared" ca="1" si="77"/>
        <v>-8096.7686666666677</v>
      </c>
      <c r="AJ75" s="395">
        <f t="shared" ca="1" si="77"/>
        <v>-8096.7686666666677</v>
      </c>
      <c r="AK75" s="395">
        <f t="shared" ca="1" si="77"/>
        <v>-8096.7686666666677</v>
      </c>
      <c r="AL75" s="395">
        <f t="shared" ca="1" si="77"/>
        <v>-8096.7686666666677</v>
      </c>
      <c r="AM75" s="395">
        <f t="shared" ca="1" si="77"/>
        <v>-8096.7686666666677</v>
      </c>
      <c r="AN75" s="395">
        <f t="shared" ca="1" si="77"/>
        <v>-8096.7686666666677</v>
      </c>
      <c r="AO75" s="395">
        <f t="shared" ca="1" si="77"/>
        <v>15537877.563261317</v>
      </c>
      <c r="AP75" s="395">
        <f t="shared" ca="1" si="77"/>
        <v>0</v>
      </c>
      <c r="AQ75" s="395">
        <f t="shared" ca="1" si="77"/>
        <v>0</v>
      </c>
      <c r="AR75" s="395">
        <f t="shared" ca="1" si="77"/>
        <v>0</v>
      </c>
      <c r="AS75" s="395">
        <f t="shared" ca="1" si="77"/>
        <v>0</v>
      </c>
      <c r="AT75" s="395">
        <f t="shared" ca="1" si="77"/>
        <v>0</v>
      </c>
      <c r="AU75" s="395">
        <f t="shared" ca="1" si="77"/>
        <v>0</v>
      </c>
      <c r="AV75" s="395">
        <f t="shared" ca="1" si="77"/>
        <v>0</v>
      </c>
      <c r="AW75" s="395">
        <f t="shared" ca="1" si="77"/>
        <v>0</v>
      </c>
      <c r="AX75" s="395">
        <f t="shared" ca="1" si="77"/>
        <v>0</v>
      </c>
      <c r="AY75" s="395">
        <f t="shared" ca="1" si="77"/>
        <v>0</v>
      </c>
      <c r="AZ75" s="395">
        <f t="shared" ca="1" si="77"/>
        <v>0</v>
      </c>
      <c r="BA75" s="395">
        <f t="shared" ca="1" si="77"/>
        <v>0</v>
      </c>
      <c r="BB75" s="395">
        <f t="shared" ca="1" si="77"/>
        <v>0</v>
      </c>
      <c r="BC75" s="395">
        <f t="shared" ca="1" si="77"/>
        <v>0</v>
      </c>
      <c r="BD75" s="395">
        <f t="shared" ca="1" si="77"/>
        <v>0</v>
      </c>
      <c r="BE75" s="395">
        <f t="shared" ca="1" si="77"/>
        <v>0</v>
      </c>
      <c r="BF75" s="395">
        <f t="shared" ca="1" si="77"/>
        <v>0</v>
      </c>
      <c r="BG75" s="395">
        <f t="shared" ca="1" si="77"/>
        <v>0</v>
      </c>
      <c r="BH75" s="395">
        <f t="shared" ca="1" si="77"/>
        <v>0</v>
      </c>
      <c r="BI75" s="395">
        <f t="shared" ca="1" si="77"/>
        <v>0</v>
      </c>
      <c r="BJ75" s="395">
        <f t="shared" ca="1" si="77"/>
        <v>0</v>
      </c>
      <c r="BK75" s="395">
        <f t="shared" ca="1" si="77"/>
        <v>0</v>
      </c>
      <c r="BL75" s="395">
        <f t="shared" ca="1" si="77"/>
        <v>0</v>
      </c>
      <c r="BM75" s="395">
        <f t="shared" ca="1" si="77"/>
        <v>0</v>
      </c>
      <c r="BN75" s="395">
        <f t="shared" ca="1" si="77"/>
        <v>0</v>
      </c>
      <c r="BO75" s="395">
        <f t="shared" ca="1" si="77"/>
        <v>0</v>
      </c>
      <c r="BP75" s="395">
        <f t="shared" ca="1" si="77"/>
        <v>0</v>
      </c>
      <c r="BQ75" s="395">
        <f t="shared" ca="1" si="77"/>
        <v>0</v>
      </c>
      <c r="BR75" s="395">
        <f t="shared" ref="BR75:CK75" ca="1" si="78">BR48+BR71</f>
        <v>0</v>
      </c>
      <c r="BS75" s="395">
        <f t="shared" ca="1" si="78"/>
        <v>0</v>
      </c>
      <c r="BT75" s="395">
        <f t="shared" ca="1" si="78"/>
        <v>0</v>
      </c>
      <c r="BU75" s="395">
        <f t="shared" ca="1" si="78"/>
        <v>0</v>
      </c>
      <c r="BV75" s="395">
        <f t="shared" ca="1" si="78"/>
        <v>0</v>
      </c>
      <c r="BW75" s="395">
        <f t="shared" ca="1" si="78"/>
        <v>0</v>
      </c>
      <c r="BX75" s="395">
        <f t="shared" ca="1" si="78"/>
        <v>0</v>
      </c>
      <c r="BY75" s="395">
        <f t="shared" ca="1" si="78"/>
        <v>0</v>
      </c>
      <c r="BZ75" s="395">
        <f t="shared" ca="1" si="78"/>
        <v>0</v>
      </c>
      <c r="CA75" s="395">
        <f t="shared" ca="1" si="78"/>
        <v>0</v>
      </c>
      <c r="CB75" s="395">
        <f t="shared" ca="1" si="78"/>
        <v>0</v>
      </c>
      <c r="CC75" s="395">
        <f t="shared" ca="1" si="78"/>
        <v>0</v>
      </c>
      <c r="CD75" s="395">
        <f t="shared" ca="1" si="78"/>
        <v>0</v>
      </c>
      <c r="CE75" s="395">
        <f t="shared" ca="1" si="78"/>
        <v>0</v>
      </c>
      <c r="CF75" s="395">
        <f t="shared" ca="1" si="78"/>
        <v>0</v>
      </c>
      <c r="CG75" s="395">
        <f t="shared" ca="1" si="78"/>
        <v>0</v>
      </c>
      <c r="CH75" s="395">
        <f t="shared" ca="1" si="78"/>
        <v>0</v>
      </c>
      <c r="CI75" s="395">
        <f t="shared" ca="1" si="78"/>
        <v>0</v>
      </c>
      <c r="CJ75" s="395">
        <f t="shared" ca="1" si="78"/>
        <v>0</v>
      </c>
      <c r="CK75" s="395">
        <f t="shared" ca="1" si="78"/>
        <v>0</v>
      </c>
      <c r="CL75" s="133" t="s">
        <v>15</v>
      </c>
    </row>
    <row r="76" spans="2:90" s="133" customFormat="1" ht="15" customHeight="1" x14ac:dyDescent="0.2"/>
    <row r="77" spans="2:90" s="133" customFormat="1" ht="15" customHeight="1" x14ac:dyDescent="0.25">
      <c r="B77" s="146" t="s">
        <v>274</v>
      </c>
      <c r="C77" s="146"/>
      <c r="D77" s="146"/>
      <c r="E77" s="134" t="s">
        <v>164</v>
      </c>
      <c r="F77" s="134" t="s">
        <v>161</v>
      </c>
      <c r="G77" s="134" t="s">
        <v>30</v>
      </c>
    </row>
    <row r="78" spans="2:90" s="133" customFormat="1" ht="15" customHeight="1" x14ac:dyDescent="0.2">
      <c r="B78" s="272" t="s">
        <v>217</v>
      </c>
      <c r="C78" s="309"/>
      <c r="D78" s="309"/>
      <c r="E78" s="404">
        <f ca="1">XIRR(E73:CK73,HoldingDates)</f>
        <v>9.6860533952713018E-2</v>
      </c>
      <c r="F78" s="404">
        <f ca="1">XIRR(E74:CK74,HoldingDates)</f>
        <v>9.6860533952713018E-2</v>
      </c>
      <c r="G78" s="405">
        <f ca="1">XIRR(E75:CK75,HoldingDates)</f>
        <v>9.6860533952713018E-2</v>
      </c>
    </row>
    <row r="79" spans="2:90" s="133" customFormat="1" ht="15" customHeight="1" x14ac:dyDescent="0.2">
      <c r="B79" s="275" t="s">
        <v>218</v>
      </c>
      <c r="E79" s="400">
        <f ca="1">-SUMIF(E73:CK73,"&gt;"&amp;0)/SUMIF(E73:CK73,"&lt;"&amp;0)</f>
        <v>1.249999999999998</v>
      </c>
      <c r="F79" s="407">
        <f ca="1">-SUMIF(E74:CK74,"&gt;"&amp;0)/SUMIF(E74:CK74,"&lt;"&amp;0)</f>
        <v>1.2499999999999989</v>
      </c>
      <c r="G79" s="416">
        <f ca="1">-SUMIF(E75:CK75,"&gt;"&amp;0)/SUMIF(E75:CK75,"&lt;"&amp;0)</f>
        <v>1.2500000000000004</v>
      </c>
    </row>
    <row r="80" spans="2:90" s="133" customFormat="1" ht="15" customHeight="1" x14ac:dyDescent="0.2">
      <c r="B80" s="277" t="s">
        <v>220</v>
      </c>
      <c r="C80" s="311"/>
      <c r="D80" s="311"/>
      <c r="E80" s="406">
        <f ca="1">SUM(E73:CK73)</f>
        <v>2796817.9613870196</v>
      </c>
      <c r="F80" s="406">
        <f ca="1">SUM(E74:CK74)</f>
        <v>310757.55126522505</v>
      </c>
      <c r="G80" s="394">
        <f ca="1">SUM(E75:CK75)</f>
        <v>3107575.5126522686</v>
      </c>
    </row>
    <row r="81" spans="2:90" ht="15" customHeight="1" x14ac:dyDescent="0.2">
      <c r="CL81" s="133"/>
    </row>
    <row r="82" spans="2:90" ht="15" customHeight="1" x14ac:dyDescent="0.25">
      <c r="B82" s="132" t="s">
        <v>258</v>
      </c>
      <c r="CL82" s="133"/>
    </row>
    <row r="83" spans="2:90" s="21" customFormat="1" ht="10.15" customHeight="1" x14ac:dyDescent="0.25">
      <c r="B83" s="22"/>
      <c r="C83" s="23"/>
      <c r="D83" s="23"/>
      <c r="E83" s="23"/>
      <c r="O83" s="13"/>
      <c r="P83" s="13"/>
      <c r="Q83" s="13"/>
      <c r="R83" s="13"/>
      <c r="S83" s="13"/>
      <c r="T83" s="13"/>
      <c r="U83" s="13"/>
      <c r="V83" s="13"/>
      <c r="W83" s="13"/>
      <c r="X83" s="13"/>
      <c r="Y83" s="13"/>
      <c r="Z83" s="13"/>
      <c r="AA83" s="13"/>
      <c r="AB83" s="13"/>
      <c r="AC83" s="13"/>
      <c r="AD83" s="13"/>
      <c r="AE83" s="13"/>
      <c r="AF83" s="13"/>
      <c r="AG83" s="13"/>
    </row>
    <row r="84" spans="2:90" s="133" customFormat="1" ht="15" customHeight="1" outlineLevel="1" x14ac:dyDescent="0.2">
      <c r="B84" s="133" t="s">
        <v>282</v>
      </c>
      <c r="E84" s="395">
        <f ca="1">E57-E71</f>
        <v>0</v>
      </c>
      <c r="F84" s="395">
        <f t="shared" ref="F84:BQ84" ca="1" si="79">F57-F71</f>
        <v>0</v>
      </c>
      <c r="G84" s="395">
        <f t="shared" ca="1" si="79"/>
        <v>0</v>
      </c>
      <c r="H84" s="395">
        <f t="shared" ca="1" si="79"/>
        <v>0</v>
      </c>
      <c r="I84" s="395">
        <f t="shared" ca="1" si="79"/>
        <v>0</v>
      </c>
      <c r="J84" s="395">
        <f t="shared" ca="1" si="79"/>
        <v>0</v>
      </c>
      <c r="K84" s="395">
        <f t="shared" ca="1" si="79"/>
        <v>0</v>
      </c>
      <c r="L84" s="395">
        <f t="shared" ca="1" si="79"/>
        <v>0</v>
      </c>
      <c r="M84" s="395">
        <f t="shared" ca="1" si="79"/>
        <v>0</v>
      </c>
      <c r="N84" s="395">
        <f t="shared" ca="1" si="79"/>
        <v>0</v>
      </c>
      <c r="O84" s="395">
        <f t="shared" ca="1" si="79"/>
        <v>0</v>
      </c>
      <c r="P84" s="395">
        <f t="shared" ca="1" si="79"/>
        <v>0</v>
      </c>
      <c r="Q84" s="395">
        <f t="shared" ca="1" si="79"/>
        <v>0</v>
      </c>
      <c r="R84" s="395">
        <f t="shared" ca="1" si="79"/>
        <v>0</v>
      </c>
      <c r="S84" s="395">
        <f t="shared" ca="1" si="79"/>
        <v>0</v>
      </c>
      <c r="T84" s="395">
        <f t="shared" ca="1" si="79"/>
        <v>0</v>
      </c>
      <c r="U84" s="395">
        <f t="shared" ca="1" si="79"/>
        <v>0</v>
      </c>
      <c r="V84" s="395">
        <f t="shared" ca="1" si="79"/>
        <v>0</v>
      </c>
      <c r="W84" s="395">
        <f t="shared" ca="1" si="79"/>
        <v>0</v>
      </c>
      <c r="X84" s="395">
        <f t="shared" ca="1" si="79"/>
        <v>0</v>
      </c>
      <c r="Y84" s="395">
        <f t="shared" ca="1" si="79"/>
        <v>0</v>
      </c>
      <c r="Z84" s="395">
        <f t="shared" ca="1" si="79"/>
        <v>0</v>
      </c>
      <c r="AA84" s="395">
        <f t="shared" ca="1" si="79"/>
        <v>0</v>
      </c>
      <c r="AB84" s="395">
        <f t="shared" ca="1" si="79"/>
        <v>0</v>
      </c>
      <c r="AC84" s="395">
        <f t="shared" ca="1" si="79"/>
        <v>0</v>
      </c>
      <c r="AD84" s="395">
        <f t="shared" ca="1" si="79"/>
        <v>0</v>
      </c>
      <c r="AE84" s="395">
        <f t="shared" ca="1" si="79"/>
        <v>0</v>
      </c>
      <c r="AF84" s="395">
        <f t="shared" ca="1" si="79"/>
        <v>0</v>
      </c>
      <c r="AG84" s="395">
        <f t="shared" ca="1" si="79"/>
        <v>0</v>
      </c>
      <c r="AH84" s="395">
        <f t="shared" ca="1" si="79"/>
        <v>0</v>
      </c>
      <c r="AI84" s="395">
        <f t="shared" ca="1" si="79"/>
        <v>0</v>
      </c>
      <c r="AJ84" s="395">
        <f t="shared" ca="1" si="79"/>
        <v>0</v>
      </c>
      <c r="AK84" s="395">
        <f t="shared" ca="1" si="79"/>
        <v>0</v>
      </c>
      <c r="AL84" s="395">
        <f t="shared" ca="1" si="79"/>
        <v>0</v>
      </c>
      <c r="AM84" s="395">
        <f t="shared" ca="1" si="79"/>
        <v>0</v>
      </c>
      <c r="AN84" s="395">
        <f t="shared" ca="1" si="79"/>
        <v>0</v>
      </c>
      <c r="AO84" s="395">
        <f t="shared" ca="1" si="79"/>
        <v>3789729.1375369569</v>
      </c>
      <c r="AP84" s="395">
        <f t="shared" ca="1" si="79"/>
        <v>110073.79706883527</v>
      </c>
      <c r="AQ84" s="395">
        <f t="shared" ca="1" si="79"/>
        <v>110073.79706883527</v>
      </c>
      <c r="AR84" s="395">
        <f t="shared" ca="1" si="79"/>
        <v>110073.79706883527</v>
      </c>
      <c r="AS84" s="395">
        <f t="shared" ca="1" si="79"/>
        <v>110073.79706883527</v>
      </c>
      <c r="AT84" s="395">
        <f t="shared" ca="1" si="79"/>
        <v>110073.79706883527</v>
      </c>
      <c r="AU84" s="395">
        <f t="shared" ca="1" si="79"/>
        <v>110073.79706883527</v>
      </c>
      <c r="AV84" s="395">
        <f t="shared" ca="1" si="79"/>
        <v>110073.79706883527</v>
      </c>
      <c r="AW84" s="395">
        <f t="shared" ca="1" si="79"/>
        <v>110073.79706883527</v>
      </c>
      <c r="AX84" s="395">
        <f t="shared" ca="1" si="79"/>
        <v>110073.79706883527</v>
      </c>
      <c r="AY84" s="395">
        <f t="shared" ca="1" si="79"/>
        <v>110073.79706883527</v>
      </c>
      <c r="AZ84" s="395">
        <f t="shared" ca="1" si="79"/>
        <v>110073.79706883527</v>
      </c>
      <c r="BA84" s="395">
        <f t="shared" ca="1" si="79"/>
        <v>110073.79706883527</v>
      </c>
      <c r="BB84" s="395">
        <f t="shared" ca="1" si="79"/>
        <v>92276.448121092428</v>
      </c>
      <c r="BC84" s="395">
        <f t="shared" ca="1" si="79"/>
        <v>92276.448121092428</v>
      </c>
      <c r="BD84" s="395">
        <f t="shared" ca="1" si="79"/>
        <v>92276.448121092428</v>
      </c>
      <c r="BE84" s="395">
        <f t="shared" ca="1" si="79"/>
        <v>92276.448121092428</v>
      </c>
      <c r="BF84" s="395">
        <f t="shared" ca="1" si="79"/>
        <v>92276.448121092428</v>
      </c>
      <c r="BG84" s="395">
        <f t="shared" ca="1" si="79"/>
        <v>92276.448121092428</v>
      </c>
      <c r="BH84" s="395">
        <f t="shared" ca="1" si="79"/>
        <v>92276.448121092428</v>
      </c>
      <c r="BI84" s="395">
        <f t="shared" ca="1" si="79"/>
        <v>92276.448121092428</v>
      </c>
      <c r="BJ84" s="395">
        <f t="shared" ca="1" si="79"/>
        <v>92276.448121092428</v>
      </c>
      <c r="BK84" s="395">
        <f t="shared" ca="1" si="79"/>
        <v>92276.448121092428</v>
      </c>
      <c r="BL84" s="395">
        <f t="shared" ca="1" si="79"/>
        <v>92276.448121092428</v>
      </c>
      <c r="BM84" s="395">
        <f t="shared" ca="1" si="79"/>
        <v>92276.448121092428</v>
      </c>
      <c r="BN84" s="395">
        <f t="shared" ca="1" si="79"/>
        <v>106921.35986988785</v>
      </c>
      <c r="BO84" s="395">
        <f t="shared" ca="1" si="79"/>
        <v>106921.35986988785</v>
      </c>
      <c r="BP84" s="395">
        <f t="shared" ca="1" si="79"/>
        <v>106921.35986988785</v>
      </c>
      <c r="BQ84" s="395">
        <f t="shared" ca="1" si="79"/>
        <v>106921.35986988785</v>
      </c>
      <c r="BR84" s="395">
        <f t="shared" ref="BR84:CK84" ca="1" si="80">BR57-BR71</f>
        <v>106921.35986988785</v>
      </c>
      <c r="BS84" s="395">
        <f t="shared" ca="1" si="80"/>
        <v>106921.35986988785</v>
      </c>
      <c r="BT84" s="395">
        <f t="shared" ca="1" si="80"/>
        <v>106921.35986988785</v>
      </c>
      <c r="BU84" s="395">
        <f t="shared" ca="1" si="80"/>
        <v>106921.35986988785</v>
      </c>
      <c r="BV84" s="395">
        <f t="shared" ca="1" si="80"/>
        <v>106921.35986988785</v>
      </c>
      <c r="BW84" s="395">
        <f t="shared" ca="1" si="80"/>
        <v>106921.35986988785</v>
      </c>
      <c r="BX84" s="395">
        <f t="shared" ca="1" si="80"/>
        <v>106921.35986988785</v>
      </c>
      <c r="BY84" s="395">
        <f t="shared" ca="1" si="80"/>
        <v>12719474.3621164</v>
      </c>
      <c r="BZ84" s="395">
        <f t="shared" ca="1" si="80"/>
        <v>0</v>
      </c>
      <c r="CA84" s="395">
        <f t="shared" ca="1" si="80"/>
        <v>0</v>
      </c>
      <c r="CB84" s="395">
        <f t="shared" ca="1" si="80"/>
        <v>0</v>
      </c>
      <c r="CC84" s="395">
        <f t="shared" ca="1" si="80"/>
        <v>0</v>
      </c>
      <c r="CD84" s="395">
        <f t="shared" ca="1" si="80"/>
        <v>0</v>
      </c>
      <c r="CE84" s="395">
        <f t="shared" ca="1" si="80"/>
        <v>0</v>
      </c>
      <c r="CF84" s="395">
        <f t="shared" ca="1" si="80"/>
        <v>0</v>
      </c>
      <c r="CG84" s="395">
        <f t="shared" ca="1" si="80"/>
        <v>0</v>
      </c>
      <c r="CH84" s="395">
        <f t="shared" ca="1" si="80"/>
        <v>0</v>
      </c>
      <c r="CI84" s="395">
        <f t="shared" ca="1" si="80"/>
        <v>0</v>
      </c>
      <c r="CJ84" s="395">
        <f t="shared" ca="1" si="80"/>
        <v>0</v>
      </c>
      <c r="CK84" s="395">
        <f t="shared" ca="1" si="80"/>
        <v>0</v>
      </c>
      <c r="CL84" s="133" t="s">
        <v>15</v>
      </c>
    </row>
    <row r="85" spans="2:90" s="133" customFormat="1" ht="15" customHeight="1" outlineLevel="1" x14ac:dyDescent="0.2"/>
    <row r="86" spans="2:90" s="133" customFormat="1" ht="15" customHeight="1" outlineLevel="1" x14ac:dyDescent="0.2">
      <c r="B86" s="133" t="s">
        <v>261</v>
      </c>
      <c r="E86" s="395">
        <f>D95</f>
        <v>0</v>
      </c>
      <c r="F86" s="395">
        <f t="shared" ref="F86:BQ86" ca="1" si="81">E95</f>
        <v>4701442.1867447402</v>
      </c>
      <c r="G86" s="395">
        <f t="shared" ca="1" si="81"/>
        <v>4881233.6599336201</v>
      </c>
      <c r="H86" s="395">
        <f t="shared" ca="1" si="81"/>
        <v>5061142.8554666406</v>
      </c>
      <c r="I86" s="395">
        <f t="shared" ca="1" si="81"/>
        <v>5283509.1852734415</v>
      </c>
      <c r="J86" s="395">
        <f t="shared" ca="1" si="81"/>
        <v>5687007.1517774416</v>
      </c>
      <c r="K86" s="395">
        <f t="shared" ca="1" si="81"/>
        <v>6028973.3426414412</v>
      </c>
      <c r="L86" s="395">
        <f t="shared" ca="1" si="81"/>
        <v>6607431.712009442</v>
      </c>
      <c r="M86" s="395">
        <f t="shared" ca="1" si="81"/>
        <v>7490850.07085001</v>
      </c>
      <c r="N86" s="395">
        <f t="shared" ca="1" si="81"/>
        <v>8374854.0873631462</v>
      </c>
      <c r="O86" s="395">
        <f t="shared" ca="1" si="81"/>
        <v>9259443.7615488525</v>
      </c>
      <c r="P86" s="395">
        <f t="shared" ca="1" si="81"/>
        <v>10144619.093407126</v>
      </c>
      <c r="Q86" s="395">
        <f t="shared" ca="1" si="81"/>
        <v>11030380.082937967</v>
      </c>
      <c r="R86" s="395">
        <f t="shared" ca="1" si="81"/>
        <v>11916726.730141377</v>
      </c>
      <c r="S86" s="395">
        <f t="shared" ca="1" si="81"/>
        <v>13280388.640615756</v>
      </c>
      <c r="T86" s="395">
        <f t="shared" ca="1" si="81"/>
        <v>14792092.583921103</v>
      </c>
      <c r="U86" s="395">
        <f t="shared" ca="1" si="81"/>
        <v>15458142.013367416</v>
      </c>
      <c r="V86" s="395">
        <f t="shared" ca="1" si="81"/>
        <v>15468343.941887416</v>
      </c>
      <c r="W86" s="395">
        <f t="shared" ca="1" si="81"/>
        <v>15478545.870407416</v>
      </c>
      <c r="X86" s="395">
        <f t="shared" ca="1" si="81"/>
        <v>15488747.798927415</v>
      </c>
      <c r="Y86" s="395">
        <f t="shared" ca="1" si="81"/>
        <v>15498949.727447415</v>
      </c>
      <c r="Z86" s="395">
        <f t="shared" ca="1" si="81"/>
        <v>15509151.655967414</v>
      </c>
      <c r="AA86" s="395">
        <f t="shared" ca="1" si="81"/>
        <v>15519353.584487414</v>
      </c>
      <c r="AB86" s="395">
        <f t="shared" ca="1" si="81"/>
        <v>15529555.513007414</v>
      </c>
      <c r="AC86" s="395">
        <f t="shared" ca="1" si="81"/>
        <v>15539757.441527413</v>
      </c>
      <c r="AD86" s="395">
        <f t="shared" ca="1" si="81"/>
        <v>15549959.370047413</v>
      </c>
      <c r="AE86" s="395">
        <f t="shared" ca="1" si="81"/>
        <v>15560161.298567412</v>
      </c>
      <c r="AF86" s="395">
        <f t="shared" ca="1" si="81"/>
        <v>15570363.227087412</v>
      </c>
      <c r="AG86" s="395">
        <f t="shared" ca="1" si="81"/>
        <v>15580565.155607412</v>
      </c>
      <c r="AH86" s="395">
        <f t="shared" ca="1" si="81"/>
        <v>15590767.084127411</v>
      </c>
      <c r="AI86" s="395">
        <f t="shared" ca="1" si="81"/>
        <v>15600969.012647411</v>
      </c>
      <c r="AJ86" s="395">
        <f t="shared" ca="1" si="81"/>
        <v>15611170.94116741</v>
      </c>
      <c r="AK86" s="395">
        <f t="shared" ca="1" si="81"/>
        <v>15621372.86968741</v>
      </c>
      <c r="AL86" s="395">
        <f t="shared" ca="1" si="81"/>
        <v>15631574.79820741</v>
      </c>
      <c r="AM86" s="395">
        <f t="shared" ca="1" si="81"/>
        <v>15641776.726727409</v>
      </c>
      <c r="AN86" s="395">
        <f t="shared" ca="1" si="81"/>
        <v>15651978.655247409</v>
      </c>
      <c r="AO86" s="395">
        <f t="shared" ca="1" si="81"/>
        <v>15662180.583767409</v>
      </c>
      <c r="AP86" s="395">
        <f t="shared" ca="1" si="81"/>
        <v>0</v>
      </c>
      <c r="AQ86" s="395">
        <f t="shared" ca="1" si="81"/>
        <v>0</v>
      </c>
      <c r="AR86" s="395">
        <f t="shared" ca="1" si="81"/>
        <v>0</v>
      </c>
      <c r="AS86" s="395">
        <f t="shared" ca="1" si="81"/>
        <v>0</v>
      </c>
      <c r="AT86" s="395">
        <f t="shared" ca="1" si="81"/>
        <v>0</v>
      </c>
      <c r="AU86" s="395">
        <f t="shared" ca="1" si="81"/>
        <v>0</v>
      </c>
      <c r="AV86" s="395">
        <f t="shared" ca="1" si="81"/>
        <v>0</v>
      </c>
      <c r="AW86" s="395">
        <f t="shared" ca="1" si="81"/>
        <v>0</v>
      </c>
      <c r="AX86" s="395">
        <f t="shared" ca="1" si="81"/>
        <v>0</v>
      </c>
      <c r="AY86" s="395">
        <f t="shared" ca="1" si="81"/>
        <v>0</v>
      </c>
      <c r="AZ86" s="395">
        <f t="shared" ca="1" si="81"/>
        <v>0</v>
      </c>
      <c r="BA86" s="395">
        <f t="shared" ca="1" si="81"/>
        <v>0</v>
      </c>
      <c r="BB86" s="395">
        <f t="shared" ca="1" si="81"/>
        <v>0</v>
      </c>
      <c r="BC86" s="395">
        <f t="shared" ca="1" si="81"/>
        <v>0</v>
      </c>
      <c r="BD86" s="395">
        <f t="shared" ca="1" si="81"/>
        <v>0</v>
      </c>
      <c r="BE86" s="395">
        <f t="shared" ca="1" si="81"/>
        <v>0</v>
      </c>
      <c r="BF86" s="395">
        <f t="shared" ca="1" si="81"/>
        <v>0</v>
      </c>
      <c r="BG86" s="395">
        <f t="shared" ca="1" si="81"/>
        <v>0</v>
      </c>
      <c r="BH86" s="395">
        <f t="shared" ca="1" si="81"/>
        <v>0</v>
      </c>
      <c r="BI86" s="395">
        <f t="shared" ca="1" si="81"/>
        <v>0</v>
      </c>
      <c r="BJ86" s="395">
        <f t="shared" ca="1" si="81"/>
        <v>0</v>
      </c>
      <c r="BK86" s="395">
        <f t="shared" ca="1" si="81"/>
        <v>0</v>
      </c>
      <c r="BL86" s="395">
        <f t="shared" ca="1" si="81"/>
        <v>0</v>
      </c>
      <c r="BM86" s="395">
        <f t="shared" ca="1" si="81"/>
        <v>0</v>
      </c>
      <c r="BN86" s="395">
        <f t="shared" ca="1" si="81"/>
        <v>0</v>
      </c>
      <c r="BO86" s="395">
        <f t="shared" ca="1" si="81"/>
        <v>0</v>
      </c>
      <c r="BP86" s="395">
        <f t="shared" ca="1" si="81"/>
        <v>0</v>
      </c>
      <c r="BQ86" s="395">
        <f t="shared" ca="1" si="81"/>
        <v>0</v>
      </c>
      <c r="BR86" s="395">
        <f t="shared" ref="BR86:CK86" ca="1" si="82">BQ95</f>
        <v>0</v>
      </c>
      <c r="BS86" s="395">
        <f t="shared" ca="1" si="82"/>
        <v>0</v>
      </c>
      <c r="BT86" s="395">
        <f t="shared" ca="1" si="82"/>
        <v>0</v>
      </c>
      <c r="BU86" s="395">
        <f t="shared" ca="1" si="82"/>
        <v>0</v>
      </c>
      <c r="BV86" s="395">
        <f t="shared" ca="1" si="82"/>
        <v>0</v>
      </c>
      <c r="BW86" s="395">
        <f t="shared" ca="1" si="82"/>
        <v>0</v>
      </c>
      <c r="BX86" s="395">
        <f t="shared" ca="1" si="82"/>
        <v>0</v>
      </c>
      <c r="BY86" s="395">
        <f t="shared" ca="1" si="82"/>
        <v>0</v>
      </c>
      <c r="BZ86" s="395">
        <f t="shared" ca="1" si="82"/>
        <v>0</v>
      </c>
      <c r="CA86" s="395">
        <f t="shared" ca="1" si="82"/>
        <v>0</v>
      </c>
      <c r="CB86" s="395">
        <f t="shared" ca="1" si="82"/>
        <v>0</v>
      </c>
      <c r="CC86" s="395">
        <f t="shared" ca="1" si="82"/>
        <v>0</v>
      </c>
      <c r="CD86" s="395">
        <f t="shared" ca="1" si="82"/>
        <v>0</v>
      </c>
      <c r="CE86" s="395">
        <f t="shared" ca="1" si="82"/>
        <v>0</v>
      </c>
      <c r="CF86" s="395">
        <f t="shared" ca="1" si="82"/>
        <v>0</v>
      </c>
      <c r="CG86" s="395">
        <f t="shared" ca="1" si="82"/>
        <v>0</v>
      </c>
      <c r="CH86" s="395">
        <f t="shared" ca="1" si="82"/>
        <v>0</v>
      </c>
      <c r="CI86" s="395">
        <f t="shared" ca="1" si="82"/>
        <v>0</v>
      </c>
      <c r="CJ86" s="395">
        <f t="shared" ca="1" si="82"/>
        <v>0</v>
      </c>
      <c r="CK86" s="395">
        <f t="shared" ca="1" si="82"/>
        <v>0</v>
      </c>
      <c r="CL86" s="133" t="s">
        <v>15</v>
      </c>
    </row>
    <row r="87" spans="2:90" s="133" customFormat="1" ht="15" customHeight="1" outlineLevel="1" x14ac:dyDescent="0.2">
      <c r="B87" s="133" t="s">
        <v>262</v>
      </c>
      <c r="E87" s="395">
        <f ca="1">E34</f>
        <v>3358172.9905319572</v>
      </c>
      <c r="F87" s="395">
        <f t="shared" ref="F87:BQ87" ca="1" si="83">F34</f>
        <v>128422.48084919996</v>
      </c>
      <c r="G87" s="395">
        <f t="shared" ca="1" si="83"/>
        <v>128506.5682378714</v>
      </c>
      <c r="H87" s="395">
        <f t="shared" ca="1" si="83"/>
        <v>158833.09271914329</v>
      </c>
      <c r="I87" s="395">
        <f t="shared" ca="1" si="83"/>
        <v>288212.83321714279</v>
      </c>
      <c r="J87" s="395">
        <f t="shared" ca="1" si="83"/>
        <v>244261.56490285712</v>
      </c>
      <c r="K87" s="395">
        <f t="shared" ca="1" si="83"/>
        <v>413184.54954857146</v>
      </c>
      <c r="L87" s="395">
        <f t="shared" ca="1" si="83"/>
        <v>631013.1134575489</v>
      </c>
      <c r="M87" s="395">
        <f t="shared" ca="1" si="83"/>
        <v>631431.44036652637</v>
      </c>
      <c r="N87" s="395">
        <f t="shared" ca="1" si="83"/>
        <v>631849.76727550384</v>
      </c>
      <c r="O87" s="395">
        <f t="shared" ca="1" si="83"/>
        <v>632268.09418448119</v>
      </c>
      <c r="P87" s="395">
        <f t="shared" ca="1" si="83"/>
        <v>632686.42109345866</v>
      </c>
      <c r="Q87" s="395">
        <f t="shared" ca="1" si="83"/>
        <v>633104.74800243613</v>
      </c>
      <c r="R87" s="395">
        <f t="shared" ca="1" si="83"/>
        <v>974044.22176741331</v>
      </c>
      <c r="S87" s="395">
        <f t="shared" ca="1" si="83"/>
        <v>1079788.5309323911</v>
      </c>
      <c r="T87" s="395">
        <f t="shared" ca="1" si="83"/>
        <v>475749.59246165282</v>
      </c>
      <c r="U87" s="395">
        <f t="shared" ca="1" si="83"/>
        <v>7287.0918000000011</v>
      </c>
      <c r="V87" s="395">
        <f t="shared" ca="1" si="83"/>
        <v>7287.0918000000011</v>
      </c>
      <c r="W87" s="395">
        <f t="shared" ca="1" si="83"/>
        <v>7287.0918000000011</v>
      </c>
      <c r="X87" s="395">
        <f t="shared" ca="1" si="83"/>
        <v>7287.0918000000011</v>
      </c>
      <c r="Y87" s="395">
        <f t="shared" ca="1" si="83"/>
        <v>7287.0918000000011</v>
      </c>
      <c r="Z87" s="395">
        <f t="shared" ca="1" si="83"/>
        <v>7287.0918000000011</v>
      </c>
      <c r="AA87" s="395">
        <f t="shared" ca="1" si="83"/>
        <v>7287.0918000000011</v>
      </c>
      <c r="AB87" s="395">
        <f t="shared" ca="1" si="83"/>
        <v>7287.0918000000011</v>
      </c>
      <c r="AC87" s="395">
        <f t="shared" ca="1" si="83"/>
        <v>7287.0918000000011</v>
      </c>
      <c r="AD87" s="395">
        <f t="shared" ca="1" si="83"/>
        <v>7287.0918000000011</v>
      </c>
      <c r="AE87" s="395">
        <f t="shared" ca="1" si="83"/>
        <v>7287.0918000000011</v>
      </c>
      <c r="AF87" s="395">
        <f t="shared" ca="1" si="83"/>
        <v>7287.0918000000011</v>
      </c>
      <c r="AG87" s="395">
        <f t="shared" ca="1" si="83"/>
        <v>7287.0918000000011</v>
      </c>
      <c r="AH87" s="395">
        <f t="shared" ca="1" si="83"/>
        <v>7287.0918000000011</v>
      </c>
      <c r="AI87" s="395">
        <f t="shared" ca="1" si="83"/>
        <v>7287.0918000000011</v>
      </c>
      <c r="AJ87" s="395">
        <f t="shared" ca="1" si="83"/>
        <v>7287.0918000000011</v>
      </c>
      <c r="AK87" s="395">
        <f t="shared" ca="1" si="83"/>
        <v>7287.0918000000011</v>
      </c>
      <c r="AL87" s="395">
        <f t="shared" ca="1" si="83"/>
        <v>7287.0918000000011</v>
      </c>
      <c r="AM87" s="395">
        <f t="shared" ca="1" si="83"/>
        <v>7287.0918000000011</v>
      </c>
      <c r="AN87" s="395">
        <f t="shared" ca="1" si="83"/>
        <v>7287.0918000000011</v>
      </c>
      <c r="AO87" s="395">
        <f t="shared" ca="1" si="83"/>
        <v>0</v>
      </c>
      <c r="AP87" s="395">
        <f t="shared" ca="1" si="83"/>
        <v>0</v>
      </c>
      <c r="AQ87" s="395">
        <f t="shared" ca="1" si="83"/>
        <v>0</v>
      </c>
      <c r="AR87" s="395">
        <f t="shared" ca="1" si="83"/>
        <v>0</v>
      </c>
      <c r="AS87" s="395">
        <f t="shared" ca="1" si="83"/>
        <v>0</v>
      </c>
      <c r="AT87" s="395">
        <f t="shared" ca="1" si="83"/>
        <v>0</v>
      </c>
      <c r="AU87" s="395">
        <f t="shared" ca="1" si="83"/>
        <v>0</v>
      </c>
      <c r="AV87" s="395">
        <f t="shared" ca="1" si="83"/>
        <v>0</v>
      </c>
      <c r="AW87" s="395">
        <f t="shared" ca="1" si="83"/>
        <v>0</v>
      </c>
      <c r="AX87" s="395">
        <f t="shared" ca="1" si="83"/>
        <v>0</v>
      </c>
      <c r="AY87" s="395">
        <f t="shared" ca="1" si="83"/>
        <v>0</v>
      </c>
      <c r="AZ87" s="395">
        <f t="shared" ca="1" si="83"/>
        <v>0</v>
      </c>
      <c r="BA87" s="395">
        <f t="shared" ca="1" si="83"/>
        <v>0</v>
      </c>
      <c r="BB87" s="395">
        <f t="shared" ca="1" si="83"/>
        <v>0</v>
      </c>
      <c r="BC87" s="395">
        <f t="shared" ca="1" si="83"/>
        <v>0</v>
      </c>
      <c r="BD87" s="395">
        <f t="shared" ca="1" si="83"/>
        <v>0</v>
      </c>
      <c r="BE87" s="395">
        <f t="shared" ca="1" si="83"/>
        <v>0</v>
      </c>
      <c r="BF87" s="395">
        <f t="shared" ca="1" si="83"/>
        <v>0</v>
      </c>
      <c r="BG87" s="395">
        <f t="shared" ca="1" si="83"/>
        <v>0</v>
      </c>
      <c r="BH87" s="395">
        <f t="shared" ca="1" si="83"/>
        <v>0</v>
      </c>
      <c r="BI87" s="395">
        <f t="shared" ca="1" si="83"/>
        <v>0</v>
      </c>
      <c r="BJ87" s="395">
        <f t="shared" ca="1" si="83"/>
        <v>0</v>
      </c>
      <c r="BK87" s="395">
        <f t="shared" ca="1" si="83"/>
        <v>0</v>
      </c>
      <c r="BL87" s="395">
        <f t="shared" ca="1" si="83"/>
        <v>0</v>
      </c>
      <c r="BM87" s="395">
        <f t="shared" ca="1" si="83"/>
        <v>0</v>
      </c>
      <c r="BN87" s="395">
        <f t="shared" ca="1" si="83"/>
        <v>0</v>
      </c>
      <c r="BO87" s="395">
        <f t="shared" ca="1" si="83"/>
        <v>0</v>
      </c>
      <c r="BP87" s="395">
        <f t="shared" ca="1" si="83"/>
        <v>0</v>
      </c>
      <c r="BQ87" s="395">
        <f t="shared" ca="1" si="83"/>
        <v>0</v>
      </c>
      <c r="BR87" s="395">
        <f t="shared" ref="BR87:CK87" ca="1" si="84">BR34</f>
        <v>0</v>
      </c>
      <c r="BS87" s="395">
        <f t="shared" ca="1" si="84"/>
        <v>0</v>
      </c>
      <c r="BT87" s="395">
        <f t="shared" ca="1" si="84"/>
        <v>0</v>
      </c>
      <c r="BU87" s="395">
        <f t="shared" ca="1" si="84"/>
        <v>0</v>
      </c>
      <c r="BV87" s="395">
        <f t="shared" ca="1" si="84"/>
        <v>0</v>
      </c>
      <c r="BW87" s="395">
        <f t="shared" ca="1" si="84"/>
        <v>0</v>
      </c>
      <c r="BX87" s="395">
        <f t="shared" ca="1" si="84"/>
        <v>0</v>
      </c>
      <c r="BY87" s="395">
        <f t="shared" ca="1" si="84"/>
        <v>0</v>
      </c>
      <c r="BZ87" s="395">
        <f t="shared" ca="1" si="84"/>
        <v>0</v>
      </c>
      <c r="CA87" s="395">
        <f t="shared" ca="1" si="84"/>
        <v>0</v>
      </c>
      <c r="CB87" s="395">
        <f t="shared" ca="1" si="84"/>
        <v>0</v>
      </c>
      <c r="CC87" s="395">
        <f t="shared" ca="1" si="84"/>
        <v>0</v>
      </c>
      <c r="CD87" s="395">
        <f t="shared" ca="1" si="84"/>
        <v>0</v>
      </c>
      <c r="CE87" s="395">
        <f t="shared" ca="1" si="84"/>
        <v>0</v>
      </c>
      <c r="CF87" s="395">
        <f t="shared" ca="1" si="84"/>
        <v>0</v>
      </c>
      <c r="CG87" s="395">
        <f t="shared" ca="1" si="84"/>
        <v>0</v>
      </c>
      <c r="CH87" s="395">
        <f t="shared" ca="1" si="84"/>
        <v>0</v>
      </c>
      <c r="CI87" s="395">
        <f t="shared" ca="1" si="84"/>
        <v>0</v>
      </c>
      <c r="CJ87" s="395">
        <f t="shared" ca="1" si="84"/>
        <v>0</v>
      </c>
      <c r="CK87" s="395">
        <f t="shared" ca="1" si="84"/>
        <v>0</v>
      </c>
      <c r="CL87" s="133" t="s">
        <v>15</v>
      </c>
    </row>
    <row r="88" spans="2:90" s="133" customFormat="1" ht="15" customHeight="1" outlineLevel="1" x14ac:dyDescent="0.2">
      <c r="B88" s="133" t="s">
        <v>330</v>
      </c>
      <c r="E88" s="395">
        <f t="shared" ref="E88:AJ88" si="85">MAX((D90+D92+D93+D94)*Tier3_HurdleMonthly_Case2,0)</f>
        <v>0</v>
      </c>
      <c r="F88" s="395">
        <f t="shared" ca="1" si="85"/>
        <v>26778.543011053538</v>
      </c>
      <c r="G88" s="395">
        <f t="shared" ca="1" si="85"/>
        <v>28016.137770024841</v>
      </c>
      <c r="H88" s="395">
        <f t="shared" ca="1" si="85"/>
        <v>29264.271808043828</v>
      </c>
      <c r="I88" s="395">
        <f t="shared" ca="1" si="85"/>
        <v>30764.18660709032</v>
      </c>
      <c r="J88" s="395">
        <f t="shared" ca="1" si="85"/>
        <v>33307.754156761977</v>
      </c>
      <c r="K88" s="395">
        <f t="shared" ca="1" si="85"/>
        <v>35521.130885698571</v>
      </c>
      <c r="L88" s="395">
        <f t="shared" ca="1" si="85"/>
        <v>39099.17299272825</v>
      </c>
      <c r="M88" s="395">
        <f t="shared" ca="1" si="85"/>
        <v>44442.74246801655</v>
      </c>
      <c r="N88" s="395">
        <f t="shared" ca="1" si="85"/>
        <v>49832.258114209762</v>
      </c>
      <c r="O88" s="395">
        <f t="shared" ca="1" si="85"/>
        <v>55268.086312526881</v>
      </c>
      <c r="P88" s="395">
        <f t="shared" ca="1" si="85"/>
        <v>60750.596365762147</v>
      </c>
      <c r="Q88" s="395">
        <f t="shared" ca="1" si="85"/>
        <v>66280.160521582162</v>
      </c>
      <c r="R88" s="395">
        <f t="shared" ca="1" si="85"/>
        <v>71857.153996008696</v>
      </c>
      <c r="S88" s="395">
        <f t="shared" ca="1" si="85"/>
        <v>80197.318441129872</v>
      </c>
      <c r="T88" s="395">
        <f t="shared" ca="1" si="85"/>
        <v>89447.208499575529</v>
      </c>
      <c r="U88" s="395">
        <f t="shared" ca="1" si="85"/>
        <v>93954.167160407538</v>
      </c>
      <c r="V88" s="395">
        <f t="shared" ca="1" si="85"/>
        <v>94761.479176556837</v>
      </c>
      <c r="W88" s="395">
        <f t="shared" ca="1" si="85"/>
        <v>95575.228812092857</v>
      </c>
      <c r="X88" s="395">
        <f t="shared" ca="1" si="85"/>
        <v>96395.467401496615</v>
      </c>
      <c r="Y88" s="395">
        <f t="shared" ca="1" si="85"/>
        <v>97222.246688597486</v>
      </c>
      <c r="Z88" s="395">
        <f t="shared" ca="1" si="85"/>
        <v>98055.618829837389</v>
      </c>
      <c r="AA88" s="395">
        <f t="shared" ca="1" si="85"/>
        <v>98895.636397561088</v>
      </c>
      <c r="AB88" s="395">
        <f t="shared" ca="1" si="85"/>
        <v>99742.35238333256</v>
      </c>
      <c r="AC88" s="395">
        <f t="shared" ca="1" si="85"/>
        <v>100595.82020127798</v>
      </c>
      <c r="AD88" s="395">
        <f t="shared" ca="1" si="85"/>
        <v>101456.09369145524</v>
      </c>
      <c r="AE88" s="395">
        <f t="shared" ca="1" si="85"/>
        <v>102323.22712325044</v>
      </c>
      <c r="AF88" s="395">
        <f t="shared" ca="1" si="85"/>
        <v>103197.27519880138</v>
      </c>
      <c r="AG88" s="395">
        <f t="shared" ca="1" si="85"/>
        <v>104078.29305644835</v>
      </c>
      <c r="AH88" s="395">
        <f t="shared" ca="1" si="85"/>
        <v>104966.33627421259</v>
      </c>
      <c r="AI88" s="395">
        <f t="shared" ca="1" si="85"/>
        <v>105861.46087330222</v>
      </c>
      <c r="AJ88" s="395">
        <f t="shared" ca="1" si="85"/>
        <v>106763.72332164635</v>
      </c>
      <c r="AK88" s="395">
        <f t="shared" ref="AK88:BP88" ca="1" si="86">MAX((AJ90+AJ92+AJ93+AJ94)*Tier3_HurdleMonthly_Case2,0)</f>
        <v>107673.1805374573</v>
      </c>
      <c r="AL88" s="395">
        <f t="shared" ca="1" si="86"/>
        <v>108589.8898928212</v>
      </c>
      <c r="AM88" s="395">
        <f t="shared" ca="1" si="86"/>
        <v>109513.90921731727</v>
      </c>
      <c r="AN88" s="395">
        <f t="shared" ca="1" si="86"/>
        <v>110445.29680166589</v>
      </c>
      <c r="AO88" s="395">
        <f t="shared" ca="1" si="86"/>
        <v>111384.11140140584</v>
      </c>
      <c r="AP88" s="395">
        <f t="shared" ca="1" si="86"/>
        <v>0</v>
      </c>
      <c r="AQ88" s="395">
        <f t="shared" ca="1" si="86"/>
        <v>0</v>
      </c>
      <c r="AR88" s="395">
        <f t="shared" ca="1" si="86"/>
        <v>0</v>
      </c>
      <c r="AS88" s="395">
        <f t="shared" ca="1" si="86"/>
        <v>0</v>
      </c>
      <c r="AT88" s="395">
        <f t="shared" ca="1" si="86"/>
        <v>0</v>
      </c>
      <c r="AU88" s="395">
        <f t="shared" ca="1" si="86"/>
        <v>0</v>
      </c>
      <c r="AV88" s="395">
        <f t="shared" ca="1" si="86"/>
        <v>0</v>
      </c>
      <c r="AW88" s="395">
        <f t="shared" ca="1" si="86"/>
        <v>0</v>
      </c>
      <c r="AX88" s="395">
        <f t="shared" ca="1" si="86"/>
        <v>0</v>
      </c>
      <c r="AY88" s="395">
        <f t="shared" ca="1" si="86"/>
        <v>0</v>
      </c>
      <c r="AZ88" s="395">
        <f t="shared" ca="1" si="86"/>
        <v>0</v>
      </c>
      <c r="BA88" s="395">
        <f t="shared" ca="1" si="86"/>
        <v>0</v>
      </c>
      <c r="BB88" s="395">
        <f t="shared" ca="1" si="86"/>
        <v>0</v>
      </c>
      <c r="BC88" s="395">
        <f t="shared" ca="1" si="86"/>
        <v>0</v>
      </c>
      <c r="BD88" s="395">
        <f t="shared" ca="1" si="86"/>
        <v>0</v>
      </c>
      <c r="BE88" s="395">
        <f t="shared" ca="1" si="86"/>
        <v>0</v>
      </c>
      <c r="BF88" s="395">
        <f t="shared" ca="1" si="86"/>
        <v>0</v>
      </c>
      <c r="BG88" s="395">
        <f t="shared" ca="1" si="86"/>
        <v>0</v>
      </c>
      <c r="BH88" s="395">
        <f t="shared" ca="1" si="86"/>
        <v>0</v>
      </c>
      <c r="BI88" s="395">
        <f t="shared" ca="1" si="86"/>
        <v>0</v>
      </c>
      <c r="BJ88" s="395">
        <f t="shared" ca="1" si="86"/>
        <v>0</v>
      </c>
      <c r="BK88" s="395">
        <f t="shared" ca="1" si="86"/>
        <v>0</v>
      </c>
      <c r="BL88" s="395">
        <f t="shared" ca="1" si="86"/>
        <v>0</v>
      </c>
      <c r="BM88" s="395">
        <f t="shared" ca="1" si="86"/>
        <v>0</v>
      </c>
      <c r="BN88" s="395">
        <f t="shared" ca="1" si="86"/>
        <v>0</v>
      </c>
      <c r="BO88" s="395">
        <f t="shared" ca="1" si="86"/>
        <v>0</v>
      </c>
      <c r="BP88" s="395">
        <f t="shared" ca="1" si="86"/>
        <v>0</v>
      </c>
      <c r="BQ88" s="395">
        <f t="shared" ref="BQ88:CK88" ca="1" si="87">MAX((BP90+BP92+BP93+BP94)*Tier3_HurdleMonthly_Case2,0)</f>
        <v>0</v>
      </c>
      <c r="BR88" s="395">
        <f t="shared" ca="1" si="87"/>
        <v>0</v>
      </c>
      <c r="BS88" s="395">
        <f t="shared" ca="1" si="87"/>
        <v>0</v>
      </c>
      <c r="BT88" s="395">
        <f t="shared" ca="1" si="87"/>
        <v>0</v>
      </c>
      <c r="BU88" s="395">
        <f t="shared" ca="1" si="87"/>
        <v>0</v>
      </c>
      <c r="BV88" s="395">
        <f t="shared" ca="1" si="87"/>
        <v>0</v>
      </c>
      <c r="BW88" s="395">
        <f t="shared" ca="1" si="87"/>
        <v>0</v>
      </c>
      <c r="BX88" s="395">
        <f t="shared" ca="1" si="87"/>
        <v>0</v>
      </c>
      <c r="BY88" s="395">
        <f t="shared" ca="1" si="87"/>
        <v>0</v>
      </c>
      <c r="BZ88" s="395">
        <f t="shared" ca="1" si="87"/>
        <v>0</v>
      </c>
      <c r="CA88" s="395">
        <f t="shared" ca="1" si="87"/>
        <v>0</v>
      </c>
      <c r="CB88" s="395">
        <f t="shared" ca="1" si="87"/>
        <v>0</v>
      </c>
      <c r="CC88" s="395">
        <f t="shared" ca="1" si="87"/>
        <v>0</v>
      </c>
      <c r="CD88" s="395">
        <f t="shared" ca="1" si="87"/>
        <v>0</v>
      </c>
      <c r="CE88" s="395">
        <f t="shared" ca="1" si="87"/>
        <v>0</v>
      </c>
      <c r="CF88" s="395">
        <f t="shared" ca="1" si="87"/>
        <v>0</v>
      </c>
      <c r="CG88" s="395">
        <f t="shared" ca="1" si="87"/>
        <v>0</v>
      </c>
      <c r="CH88" s="395">
        <f t="shared" ca="1" si="87"/>
        <v>0</v>
      </c>
      <c r="CI88" s="395">
        <f t="shared" ca="1" si="87"/>
        <v>0</v>
      </c>
      <c r="CJ88" s="395">
        <f t="shared" ca="1" si="87"/>
        <v>0</v>
      </c>
      <c r="CK88" s="395">
        <f t="shared" ca="1" si="87"/>
        <v>0</v>
      </c>
      <c r="CL88" s="133" t="s">
        <v>15</v>
      </c>
    </row>
    <row r="89" spans="2:90" s="133" customFormat="1" ht="15" customHeight="1" outlineLevel="1" x14ac:dyDescent="0.2">
      <c r="B89" s="133" t="s">
        <v>328</v>
      </c>
      <c r="E89" s="395">
        <f t="shared" ref="E89:AJ89" ca="1" si="88">MAX(E87*(Tier3_Hurdle_EM_Case2-1),0)</f>
        <v>1343269.1962127825</v>
      </c>
      <c r="F89" s="395">
        <f t="shared" ca="1" si="88"/>
        <v>51368.992339679971</v>
      </c>
      <c r="G89" s="395">
        <f t="shared" ca="1" si="88"/>
        <v>51402.627295148544</v>
      </c>
      <c r="H89" s="395">
        <f t="shared" ca="1" si="88"/>
        <v>63533.237087657297</v>
      </c>
      <c r="I89" s="395">
        <f t="shared" ca="1" si="88"/>
        <v>115285.13328685709</v>
      </c>
      <c r="J89" s="395">
        <f t="shared" ca="1" si="88"/>
        <v>97704.625961142825</v>
      </c>
      <c r="K89" s="395">
        <f t="shared" ca="1" si="88"/>
        <v>165273.81981942855</v>
      </c>
      <c r="L89" s="395">
        <f t="shared" ca="1" si="88"/>
        <v>252405.2453830195</v>
      </c>
      <c r="M89" s="395">
        <f t="shared" ca="1" si="88"/>
        <v>252572.57614661049</v>
      </c>
      <c r="N89" s="395">
        <f t="shared" ca="1" si="88"/>
        <v>252739.90691020148</v>
      </c>
      <c r="O89" s="395">
        <f t="shared" ca="1" si="88"/>
        <v>252907.23767379241</v>
      </c>
      <c r="P89" s="395">
        <f t="shared" ca="1" si="88"/>
        <v>253074.56843738339</v>
      </c>
      <c r="Q89" s="395">
        <f t="shared" ca="1" si="88"/>
        <v>253241.89920097438</v>
      </c>
      <c r="R89" s="395">
        <f t="shared" ca="1" si="88"/>
        <v>389617.68870696524</v>
      </c>
      <c r="S89" s="395">
        <f t="shared" ca="1" si="88"/>
        <v>431915.41237295634</v>
      </c>
      <c r="T89" s="395">
        <f t="shared" ca="1" si="88"/>
        <v>190299.83698466109</v>
      </c>
      <c r="U89" s="395">
        <f t="shared" ca="1" si="88"/>
        <v>2914.8367199999998</v>
      </c>
      <c r="V89" s="395">
        <f t="shared" ca="1" si="88"/>
        <v>2914.8367199999998</v>
      </c>
      <c r="W89" s="395">
        <f t="shared" ca="1" si="88"/>
        <v>2914.8367199999998</v>
      </c>
      <c r="X89" s="395">
        <f t="shared" ca="1" si="88"/>
        <v>2914.8367199999998</v>
      </c>
      <c r="Y89" s="395">
        <f t="shared" ca="1" si="88"/>
        <v>2914.8367199999998</v>
      </c>
      <c r="Z89" s="395">
        <f t="shared" ca="1" si="88"/>
        <v>2914.8367199999998</v>
      </c>
      <c r="AA89" s="395">
        <f t="shared" ca="1" si="88"/>
        <v>2914.8367199999998</v>
      </c>
      <c r="AB89" s="395">
        <f t="shared" ca="1" si="88"/>
        <v>2914.8367199999998</v>
      </c>
      <c r="AC89" s="395">
        <f t="shared" ca="1" si="88"/>
        <v>2914.8367199999998</v>
      </c>
      <c r="AD89" s="395">
        <f t="shared" ca="1" si="88"/>
        <v>2914.8367199999998</v>
      </c>
      <c r="AE89" s="395">
        <f t="shared" ca="1" si="88"/>
        <v>2914.8367199999998</v>
      </c>
      <c r="AF89" s="395">
        <f t="shared" ca="1" si="88"/>
        <v>2914.8367199999998</v>
      </c>
      <c r="AG89" s="395">
        <f t="shared" ca="1" si="88"/>
        <v>2914.8367199999998</v>
      </c>
      <c r="AH89" s="395">
        <f t="shared" ca="1" si="88"/>
        <v>2914.8367199999998</v>
      </c>
      <c r="AI89" s="395">
        <f t="shared" ca="1" si="88"/>
        <v>2914.8367199999998</v>
      </c>
      <c r="AJ89" s="395">
        <f t="shared" ca="1" si="88"/>
        <v>2914.8367199999998</v>
      </c>
      <c r="AK89" s="395">
        <f t="shared" ref="AK89:BP89" ca="1" si="89">MAX(AK87*(Tier3_Hurdle_EM_Case2-1),0)</f>
        <v>2914.8367199999998</v>
      </c>
      <c r="AL89" s="395">
        <f t="shared" ca="1" si="89"/>
        <v>2914.8367199999998</v>
      </c>
      <c r="AM89" s="395">
        <f t="shared" ca="1" si="89"/>
        <v>2914.8367199999998</v>
      </c>
      <c r="AN89" s="395">
        <f t="shared" ca="1" si="89"/>
        <v>2914.8367199999998</v>
      </c>
      <c r="AO89" s="395">
        <f t="shared" ca="1" si="89"/>
        <v>0</v>
      </c>
      <c r="AP89" s="395">
        <f t="shared" ca="1" si="89"/>
        <v>0</v>
      </c>
      <c r="AQ89" s="395">
        <f t="shared" ca="1" si="89"/>
        <v>0</v>
      </c>
      <c r="AR89" s="395">
        <f t="shared" ca="1" si="89"/>
        <v>0</v>
      </c>
      <c r="AS89" s="395">
        <f t="shared" ca="1" si="89"/>
        <v>0</v>
      </c>
      <c r="AT89" s="395">
        <f t="shared" ca="1" si="89"/>
        <v>0</v>
      </c>
      <c r="AU89" s="395">
        <f t="shared" ca="1" si="89"/>
        <v>0</v>
      </c>
      <c r="AV89" s="395">
        <f t="shared" ca="1" si="89"/>
        <v>0</v>
      </c>
      <c r="AW89" s="395">
        <f t="shared" ca="1" si="89"/>
        <v>0</v>
      </c>
      <c r="AX89" s="395">
        <f t="shared" ca="1" si="89"/>
        <v>0</v>
      </c>
      <c r="AY89" s="395">
        <f t="shared" ca="1" si="89"/>
        <v>0</v>
      </c>
      <c r="AZ89" s="395">
        <f t="shared" ca="1" si="89"/>
        <v>0</v>
      </c>
      <c r="BA89" s="395">
        <f t="shared" ca="1" si="89"/>
        <v>0</v>
      </c>
      <c r="BB89" s="395">
        <f t="shared" ca="1" si="89"/>
        <v>0</v>
      </c>
      <c r="BC89" s="395">
        <f t="shared" ca="1" si="89"/>
        <v>0</v>
      </c>
      <c r="BD89" s="395">
        <f t="shared" ca="1" si="89"/>
        <v>0</v>
      </c>
      <c r="BE89" s="395">
        <f t="shared" ca="1" si="89"/>
        <v>0</v>
      </c>
      <c r="BF89" s="395">
        <f t="shared" ca="1" si="89"/>
        <v>0</v>
      </c>
      <c r="BG89" s="395">
        <f t="shared" ca="1" si="89"/>
        <v>0</v>
      </c>
      <c r="BH89" s="395">
        <f t="shared" ca="1" si="89"/>
        <v>0</v>
      </c>
      <c r="BI89" s="395">
        <f t="shared" ca="1" si="89"/>
        <v>0</v>
      </c>
      <c r="BJ89" s="395">
        <f t="shared" ca="1" si="89"/>
        <v>0</v>
      </c>
      <c r="BK89" s="395">
        <f t="shared" ca="1" si="89"/>
        <v>0</v>
      </c>
      <c r="BL89" s="395">
        <f t="shared" ca="1" si="89"/>
        <v>0</v>
      </c>
      <c r="BM89" s="395">
        <f t="shared" ca="1" si="89"/>
        <v>0</v>
      </c>
      <c r="BN89" s="395">
        <f t="shared" ca="1" si="89"/>
        <v>0</v>
      </c>
      <c r="BO89" s="395">
        <f t="shared" ca="1" si="89"/>
        <v>0</v>
      </c>
      <c r="BP89" s="395">
        <f t="shared" ca="1" si="89"/>
        <v>0</v>
      </c>
      <c r="BQ89" s="395">
        <f t="shared" ref="BQ89:CK89" ca="1" si="90">MAX(BQ87*(Tier3_Hurdle_EM_Case2-1),0)</f>
        <v>0</v>
      </c>
      <c r="BR89" s="395">
        <f t="shared" ca="1" si="90"/>
        <v>0</v>
      </c>
      <c r="BS89" s="395">
        <f t="shared" ca="1" si="90"/>
        <v>0</v>
      </c>
      <c r="BT89" s="395">
        <f t="shared" ca="1" si="90"/>
        <v>0</v>
      </c>
      <c r="BU89" s="395">
        <f t="shared" ca="1" si="90"/>
        <v>0</v>
      </c>
      <c r="BV89" s="395">
        <f t="shared" ca="1" si="90"/>
        <v>0</v>
      </c>
      <c r="BW89" s="395">
        <f t="shared" ca="1" si="90"/>
        <v>0</v>
      </c>
      <c r="BX89" s="395">
        <f t="shared" ca="1" si="90"/>
        <v>0</v>
      </c>
      <c r="BY89" s="395">
        <f t="shared" ca="1" si="90"/>
        <v>0</v>
      </c>
      <c r="BZ89" s="395">
        <f t="shared" ca="1" si="90"/>
        <v>0</v>
      </c>
      <c r="CA89" s="395">
        <f t="shared" ca="1" si="90"/>
        <v>0</v>
      </c>
      <c r="CB89" s="395">
        <f t="shared" ca="1" si="90"/>
        <v>0</v>
      </c>
      <c r="CC89" s="395">
        <f t="shared" ca="1" si="90"/>
        <v>0</v>
      </c>
      <c r="CD89" s="395">
        <f t="shared" ca="1" si="90"/>
        <v>0</v>
      </c>
      <c r="CE89" s="395">
        <f t="shared" ca="1" si="90"/>
        <v>0</v>
      </c>
      <c r="CF89" s="395">
        <f t="shared" ca="1" si="90"/>
        <v>0</v>
      </c>
      <c r="CG89" s="395">
        <f t="shared" ca="1" si="90"/>
        <v>0</v>
      </c>
      <c r="CH89" s="395">
        <f t="shared" ca="1" si="90"/>
        <v>0</v>
      </c>
      <c r="CI89" s="395">
        <f t="shared" ca="1" si="90"/>
        <v>0</v>
      </c>
      <c r="CJ89" s="395">
        <f t="shared" ca="1" si="90"/>
        <v>0</v>
      </c>
      <c r="CK89" s="395">
        <f t="shared" ca="1" si="90"/>
        <v>0</v>
      </c>
      <c r="CL89" s="133" t="s">
        <v>15</v>
      </c>
    </row>
    <row r="90" spans="2:90" s="133" customFormat="1" ht="15" customHeight="1" outlineLevel="1" x14ac:dyDescent="0.2">
      <c r="B90" s="133" t="s">
        <v>361</v>
      </c>
      <c r="E90" s="395">
        <f ca="1">MAX(D90+E87+E88+D94+SUM(D92:D93),0)</f>
        <v>3358172.9905319572</v>
      </c>
      <c r="F90" s="395">
        <f t="shared" ref="F90:BQ90" ca="1" si="91">MAX(E90+F87+F88+E94+SUM(E92:E93),0)</f>
        <v>3513374.0143922106</v>
      </c>
      <c r="G90" s="395">
        <f t="shared" ca="1" si="91"/>
        <v>3669896.7204001071</v>
      </c>
      <c r="H90" s="395">
        <f t="shared" ca="1" si="91"/>
        <v>3857994.0849272944</v>
      </c>
      <c r="I90" s="395">
        <f t="shared" ca="1" si="91"/>
        <v>4176971.1047515273</v>
      </c>
      <c r="J90" s="395">
        <f t="shared" ca="1" si="91"/>
        <v>4454540.4238111461</v>
      </c>
      <c r="K90" s="395">
        <f t="shared" ca="1" si="91"/>
        <v>4903246.1042454159</v>
      </c>
      <c r="L90" s="395">
        <f t="shared" ca="1" si="91"/>
        <v>5573358.390695693</v>
      </c>
      <c r="M90" s="395">
        <f t="shared" ca="1" si="91"/>
        <v>6249232.5735302353</v>
      </c>
      <c r="N90" s="395">
        <f t="shared" ca="1" si="91"/>
        <v>6930914.5989199486</v>
      </c>
      <c r="O90" s="395">
        <f t="shared" ca="1" si="91"/>
        <v>7618450.7794169569</v>
      </c>
      <c r="P90" s="395">
        <f t="shared" ca="1" si="91"/>
        <v>8311887.7968761772</v>
      </c>
      <c r="Q90" s="395">
        <f t="shared" ca="1" si="91"/>
        <v>9011272.705400195</v>
      </c>
      <c r="R90" s="395">
        <f t="shared" ca="1" si="91"/>
        <v>10057174.081163617</v>
      </c>
      <c r="S90" s="395">
        <f t="shared" ca="1" si="91"/>
        <v>11217159.930537138</v>
      </c>
      <c r="T90" s="395">
        <f t="shared" ca="1" si="91"/>
        <v>11782356.731498366</v>
      </c>
      <c r="U90" s="395">
        <f t="shared" ca="1" si="91"/>
        <v>11883597.990458773</v>
      </c>
      <c r="V90" s="395">
        <f t="shared" ca="1" si="91"/>
        <v>11985646.561435331</v>
      </c>
      <c r="W90" s="395">
        <f t="shared" ca="1" si="91"/>
        <v>12088508.882047424</v>
      </c>
      <c r="X90" s="395">
        <f t="shared" ca="1" si="91"/>
        <v>12192191.441248922</v>
      </c>
      <c r="Y90" s="395">
        <f t="shared" ca="1" si="91"/>
        <v>12296700.779737519</v>
      </c>
      <c r="Z90" s="395">
        <f t="shared" ca="1" si="91"/>
        <v>12402043.490367357</v>
      </c>
      <c r="AA90" s="395">
        <f t="shared" ca="1" si="91"/>
        <v>12508226.218564918</v>
      </c>
      <c r="AB90" s="395">
        <f t="shared" ca="1" si="91"/>
        <v>12615255.662748251</v>
      </c>
      <c r="AC90" s="395">
        <f t="shared" ca="1" si="91"/>
        <v>12723138.574749529</v>
      </c>
      <c r="AD90" s="395">
        <f t="shared" ca="1" si="91"/>
        <v>12831881.760240985</v>
      </c>
      <c r="AE90" s="395">
        <f t="shared" ca="1" si="91"/>
        <v>12941492.079164237</v>
      </c>
      <c r="AF90" s="395">
        <f t="shared" ca="1" si="91"/>
        <v>13051976.446163038</v>
      </c>
      <c r="AG90" s="395">
        <f t="shared" ca="1" si="91"/>
        <v>13163341.831019487</v>
      </c>
      <c r="AH90" s="395">
        <f t="shared" ca="1" si="91"/>
        <v>13275595.2590937</v>
      </c>
      <c r="AI90" s="395">
        <f t="shared" ca="1" si="91"/>
        <v>13388743.811767003</v>
      </c>
      <c r="AJ90" s="395">
        <f t="shared" ca="1" si="91"/>
        <v>13502794.62688865</v>
      </c>
      <c r="AK90" s="395">
        <f t="shared" ca="1" si="91"/>
        <v>13617754.899226107</v>
      </c>
      <c r="AL90" s="395">
        <f t="shared" ca="1" si="91"/>
        <v>13733631.880918927</v>
      </c>
      <c r="AM90" s="395">
        <f t="shared" ca="1" si="91"/>
        <v>13850432.881936245</v>
      </c>
      <c r="AN90" s="395">
        <f t="shared" ca="1" si="91"/>
        <v>13968165.270537911</v>
      </c>
      <c r="AO90" s="395">
        <f t="shared" ca="1" si="91"/>
        <v>14079549.381939316</v>
      </c>
      <c r="AP90" s="395">
        <f t="shared" ca="1" si="91"/>
        <v>0</v>
      </c>
      <c r="AQ90" s="395">
        <f t="shared" ca="1" si="91"/>
        <v>0</v>
      </c>
      <c r="AR90" s="395">
        <f t="shared" ca="1" si="91"/>
        <v>0</v>
      </c>
      <c r="AS90" s="395">
        <f t="shared" ca="1" si="91"/>
        <v>0</v>
      </c>
      <c r="AT90" s="395">
        <f t="shared" ca="1" si="91"/>
        <v>0</v>
      </c>
      <c r="AU90" s="395">
        <f t="shared" ca="1" si="91"/>
        <v>0</v>
      </c>
      <c r="AV90" s="395">
        <f t="shared" ca="1" si="91"/>
        <v>0</v>
      </c>
      <c r="AW90" s="395">
        <f t="shared" ca="1" si="91"/>
        <v>0</v>
      </c>
      <c r="AX90" s="395">
        <f t="shared" ca="1" si="91"/>
        <v>0</v>
      </c>
      <c r="AY90" s="395">
        <f t="shared" ca="1" si="91"/>
        <v>0</v>
      </c>
      <c r="AZ90" s="395">
        <f t="shared" ca="1" si="91"/>
        <v>0</v>
      </c>
      <c r="BA90" s="395">
        <f t="shared" ca="1" si="91"/>
        <v>0</v>
      </c>
      <c r="BB90" s="395">
        <f t="shared" ca="1" si="91"/>
        <v>0</v>
      </c>
      <c r="BC90" s="395">
        <f t="shared" ca="1" si="91"/>
        <v>0</v>
      </c>
      <c r="BD90" s="395">
        <f t="shared" ca="1" si="91"/>
        <v>0</v>
      </c>
      <c r="BE90" s="395">
        <f t="shared" ca="1" si="91"/>
        <v>0</v>
      </c>
      <c r="BF90" s="395">
        <f t="shared" ca="1" si="91"/>
        <v>0</v>
      </c>
      <c r="BG90" s="395">
        <f t="shared" ca="1" si="91"/>
        <v>0</v>
      </c>
      <c r="BH90" s="395">
        <f t="shared" ca="1" si="91"/>
        <v>0</v>
      </c>
      <c r="BI90" s="395">
        <f t="shared" ca="1" si="91"/>
        <v>0</v>
      </c>
      <c r="BJ90" s="395">
        <f t="shared" ca="1" si="91"/>
        <v>0</v>
      </c>
      <c r="BK90" s="395">
        <f t="shared" ca="1" si="91"/>
        <v>0</v>
      </c>
      <c r="BL90" s="395">
        <f t="shared" ca="1" si="91"/>
        <v>0</v>
      </c>
      <c r="BM90" s="395">
        <f t="shared" ca="1" si="91"/>
        <v>0</v>
      </c>
      <c r="BN90" s="395">
        <f t="shared" ca="1" si="91"/>
        <v>0</v>
      </c>
      <c r="BO90" s="395">
        <f t="shared" ca="1" si="91"/>
        <v>0</v>
      </c>
      <c r="BP90" s="395">
        <f t="shared" ca="1" si="91"/>
        <v>0</v>
      </c>
      <c r="BQ90" s="395">
        <f t="shared" ca="1" si="91"/>
        <v>0</v>
      </c>
      <c r="BR90" s="395">
        <f t="shared" ref="BR90:CK90" ca="1" si="92">MAX(BQ90+BR87+BR88+BQ94+SUM(BQ92:BQ93),0)</f>
        <v>0</v>
      </c>
      <c r="BS90" s="395">
        <f t="shared" ca="1" si="92"/>
        <v>0</v>
      </c>
      <c r="BT90" s="395">
        <f t="shared" ca="1" si="92"/>
        <v>0</v>
      </c>
      <c r="BU90" s="395">
        <f t="shared" ca="1" si="92"/>
        <v>0</v>
      </c>
      <c r="BV90" s="395">
        <f t="shared" ca="1" si="92"/>
        <v>0</v>
      </c>
      <c r="BW90" s="395">
        <f t="shared" ca="1" si="92"/>
        <v>0</v>
      </c>
      <c r="BX90" s="395">
        <f t="shared" ca="1" si="92"/>
        <v>0</v>
      </c>
      <c r="BY90" s="395">
        <f t="shared" ca="1" si="92"/>
        <v>0</v>
      </c>
      <c r="BZ90" s="395">
        <f t="shared" ca="1" si="92"/>
        <v>0</v>
      </c>
      <c r="CA90" s="395">
        <f t="shared" ca="1" si="92"/>
        <v>0</v>
      </c>
      <c r="CB90" s="395">
        <f t="shared" ca="1" si="92"/>
        <v>0</v>
      </c>
      <c r="CC90" s="395">
        <f t="shared" ca="1" si="92"/>
        <v>0</v>
      </c>
      <c r="CD90" s="395">
        <f t="shared" ca="1" si="92"/>
        <v>0</v>
      </c>
      <c r="CE90" s="395">
        <f t="shared" ca="1" si="92"/>
        <v>0</v>
      </c>
      <c r="CF90" s="395">
        <f t="shared" ca="1" si="92"/>
        <v>0</v>
      </c>
      <c r="CG90" s="395">
        <f t="shared" ca="1" si="92"/>
        <v>0</v>
      </c>
      <c r="CH90" s="395">
        <f t="shared" ca="1" si="92"/>
        <v>0</v>
      </c>
      <c r="CI90" s="395">
        <f t="shared" ca="1" si="92"/>
        <v>0</v>
      </c>
      <c r="CJ90" s="395">
        <f t="shared" ca="1" si="92"/>
        <v>0</v>
      </c>
      <c r="CK90" s="395">
        <f t="shared" ca="1" si="92"/>
        <v>0</v>
      </c>
      <c r="CL90" s="133" t="s">
        <v>15</v>
      </c>
    </row>
    <row r="91" spans="2:90" s="133" customFormat="1" ht="15" customHeight="1" outlineLevel="1" x14ac:dyDescent="0.2">
      <c r="B91" s="133" t="s">
        <v>362</v>
      </c>
      <c r="E91" s="395">
        <f ca="1">MAX(D91+E87+E89+D94+SUM(D92:D93),0)</f>
        <v>4701442.1867447402</v>
      </c>
      <c r="F91" s="395">
        <f t="shared" ref="F91:BQ91" ca="1" si="93">MAX(E91+F87+F89+E94+SUM(E92:E93),0)</f>
        <v>4881233.6599336201</v>
      </c>
      <c r="G91" s="395">
        <f t="shared" ca="1" si="93"/>
        <v>5061142.8554666406</v>
      </c>
      <c r="H91" s="395">
        <f t="shared" ca="1" si="93"/>
        <v>5283509.1852734415</v>
      </c>
      <c r="I91" s="395">
        <f t="shared" ca="1" si="93"/>
        <v>5687007.1517774416</v>
      </c>
      <c r="J91" s="395">
        <f t="shared" ca="1" si="93"/>
        <v>6028973.3426414412</v>
      </c>
      <c r="K91" s="395">
        <f t="shared" ca="1" si="93"/>
        <v>6607431.712009442</v>
      </c>
      <c r="L91" s="395">
        <f t="shared" ca="1" si="93"/>
        <v>7490850.07085001</v>
      </c>
      <c r="M91" s="395">
        <f t="shared" ca="1" si="93"/>
        <v>8374854.0873631462</v>
      </c>
      <c r="N91" s="395">
        <f t="shared" ca="1" si="93"/>
        <v>9259443.7615488525</v>
      </c>
      <c r="O91" s="395">
        <f t="shared" ca="1" si="93"/>
        <v>10144619.093407126</v>
      </c>
      <c r="P91" s="395">
        <f t="shared" ca="1" si="93"/>
        <v>11030380.082937967</v>
      </c>
      <c r="Q91" s="395">
        <f t="shared" ca="1" si="93"/>
        <v>11916726.730141377</v>
      </c>
      <c r="R91" s="395">
        <f t="shared" ca="1" si="93"/>
        <v>13280388.640615756</v>
      </c>
      <c r="S91" s="395">
        <f t="shared" ca="1" si="93"/>
        <v>14792092.583921103</v>
      </c>
      <c r="T91" s="395">
        <f t="shared" ca="1" si="93"/>
        <v>15458142.013367416</v>
      </c>
      <c r="U91" s="395">
        <f t="shared" ca="1" si="93"/>
        <v>15468343.941887416</v>
      </c>
      <c r="V91" s="395">
        <f t="shared" ca="1" si="93"/>
        <v>15478545.870407416</v>
      </c>
      <c r="W91" s="395">
        <f t="shared" ca="1" si="93"/>
        <v>15488747.798927415</v>
      </c>
      <c r="X91" s="395">
        <f t="shared" ca="1" si="93"/>
        <v>15498949.727447415</v>
      </c>
      <c r="Y91" s="395">
        <f t="shared" ca="1" si="93"/>
        <v>15509151.655967414</v>
      </c>
      <c r="Z91" s="395">
        <f t="shared" ca="1" si="93"/>
        <v>15519353.584487414</v>
      </c>
      <c r="AA91" s="395">
        <f t="shared" ca="1" si="93"/>
        <v>15529555.513007414</v>
      </c>
      <c r="AB91" s="395">
        <f t="shared" ca="1" si="93"/>
        <v>15539757.441527413</v>
      </c>
      <c r="AC91" s="395">
        <f t="shared" ca="1" si="93"/>
        <v>15549959.370047413</v>
      </c>
      <c r="AD91" s="395">
        <f t="shared" ca="1" si="93"/>
        <v>15560161.298567412</v>
      </c>
      <c r="AE91" s="395">
        <f t="shared" ca="1" si="93"/>
        <v>15570363.227087412</v>
      </c>
      <c r="AF91" s="395">
        <f t="shared" ca="1" si="93"/>
        <v>15580565.155607412</v>
      </c>
      <c r="AG91" s="395">
        <f t="shared" ca="1" si="93"/>
        <v>15590767.084127411</v>
      </c>
      <c r="AH91" s="395">
        <f t="shared" ca="1" si="93"/>
        <v>15600969.012647411</v>
      </c>
      <c r="AI91" s="395">
        <f t="shared" ca="1" si="93"/>
        <v>15611170.94116741</v>
      </c>
      <c r="AJ91" s="395">
        <f t="shared" ca="1" si="93"/>
        <v>15621372.86968741</v>
      </c>
      <c r="AK91" s="395">
        <f t="shared" ca="1" si="93"/>
        <v>15631574.79820741</v>
      </c>
      <c r="AL91" s="395">
        <f t="shared" ca="1" si="93"/>
        <v>15641776.726727409</v>
      </c>
      <c r="AM91" s="395">
        <f t="shared" ca="1" si="93"/>
        <v>15651978.655247409</v>
      </c>
      <c r="AN91" s="395">
        <f t="shared" ca="1" si="93"/>
        <v>15662180.583767409</v>
      </c>
      <c r="AO91" s="395">
        <f t="shared" ca="1" si="93"/>
        <v>15662180.583767409</v>
      </c>
      <c r="AP91" s="395">
        <f t="shared" ca="1" si="93"/>
        <v>0</v>
      </c>
      <c r="AQ91" s="395">
        <f t="shared" ca="1" si="93"/>
        <v>0</v>
      </c>
      <c r="AR91" s="395">
        <f t="shared" ca="1" si="93"/>
        <v>0</v>
      </c>
      <c r="AS91" s="395">
        <f t="shared" ca="1" si="93"/>
        <v>0</v>
      </c>
      <c r="AT91" s="395">
        <f t="shared" ca="1" si="93"/>
        <v>0</v>
      </c>
      <c r="AU91" s="395">
        <f t="shared" ca="1" si="93"/>
        <v>0</v>
      </c>
      <c r="AV91" s="395">
        <f t="shared" ca="1" si="93"/>
        <v>0</v>
      </c>
      <c r="AW91" s="395">
        <f t="shared" ca="1" si="93"/>
        <v>0</v>
      </c>
      <c r="AX91" s="395">
        <f t="shared" ca="1" si="93"/>
        <v>0</v>
      </c>
      <c r="AY91" s="395">
        <f t="shared" ca="1" si="93"/>
        <v>0</v>
      </c>
      <c r="AZ91" s="395">
        <f t="shared" ca="1" si="93"/>
        <v>0</v>
      </c>
      <c r="BA91" s="395">
        <f t="shared" ca="1" si="93"/>
        <v>0</v>
      </c>
      <c r="BB91" s="395">
        <f t="shared" ca="1" si="93"/>
        <v>0</v>
      </c>
      <c r="BC91" s="395">
        <f t="shared" ca="1" si="93"/>
        <v>0</v>
      </c>
      <c r="BD91" s="395">
        <f t="shared" ca="1" si="93"/>
        <v>0</v>
      </c>
      <c r="BE91" s="395">
        <f t="shared" ca="1" si="93"/>
        <v>0</v>
      </c>
      <c r="BF91" s="395">
        <f t="shared" ca="1" si="93"/>
        <v>0</v>
      </c>
      <c r="BG91" s="395">
        <f t="shared" ca="1" si="93"/>
        <v>0</v>
      </c>
      <c r="BH91" s="395">
        <f t="shared" ca="1" si="93"/>
        <v>0</v>
      </c>
      <c r="BI91" s="395">
        <f t="shared" ca="1" si="93"/>
        <v>0</v>
      </c>
      <c r="BJ91" s="395">
        <f t="shared" ca="1" si="93"/>
        <v>0</v>
      </c>
      <c r="BK91" s="395">
        <f t="shared" ca="1" si="93"/>
        <v>0</v>
      </c>
      <c r="BL91" s="395">
        <f t="shared" ca="1" si="93"/>
        <v>0</v>
      </c>
      <c r="BM91" s="395">
        <f t="shared" ca="1" si="93"/>
        <v>0</v>
      </c>
      <c r="BN91" s="395">
        <f t="shared" ca="1" si="93"/>
        <v>0</v>
      </c>
      <c r="BO91" s="395">
        <f t="shared" ca="1" si="93"/>
        <v>0</v>
      </c>
      <c r="BP91" s="395">
        <f t="shared" ca="1" si="93"/>
        <v>0</v>
      </c>
      <c r="BQ91" s="395">
        <f t="shared" ca="1" si="93"/>
        <v>0</v>
      </c>
      <c r="BR91" s="395">
        <f t="shared" ref="BR91:CK91" ca="1" si="94">MAX(BQ91+BR87+BR89+BQ94+SUM(BQ92:BQ93),0)</f>
        <v>0</v>
      </c>
      <c r="BS91" s="395">
        <f t="shared" ca="1" si="94"/>
        <v>0</v>
      </c>
      <c r="BT91" s="395">
        <f t="shared" ca="1" si="94"/>
        <v>0</v>
      </c>
      <c r="BU91" s="395">
        <f t="shared" ca="1" si="94"/>
        <v>0</v>
      </c>
      <c r="BV91" s="395">
        <f t="shared" ca="1" si="94"/>
        <v>0</v>
      </c>
      <c r="BW91" s="395">
        <f t="shared" ca="1" si="94"/>
        <v>0</v>
      </c>
      <c r="BX91" s="395">
        <f t="shared" ca="1" si="94"/>
        <v>0</v>
      </c>
      <c r="BY91" s="395">
        <f t="shared" ca="1" si="94"/>
        <v>0</v>
      </c>
      <c r="BZ91" s="395">
        <f t="shared" ca="1" si="94"/>
        <v>0</v>
      </c>
      <c r="CA91" s="395">
        <f t="shared" ca="1" si="94"/>
        <v>0</v>
      </c>
      <c r="CB91" s="395">
        <f t="shared" ca="1" si="94"/>
        <v>0</v>
      </c>
      <c r="CC91" s="395">
        <f t="shared" ca="1" si="94"/>
        <v>0</v>
      </c>
      <c r="CD91" s="395">
        <f t="shared" ca="1" si="94"/>
        <v>0</v>
      </c>
      <c r="CE91" s="395">
        <f t="shared" ca="1" si="94"/>
        <v>0</v>
      </c>
      <c r="CF91" s="395">
        <f t="shared" ca="1" si="94"/>
        <v>0</v>
      </c>
      <c r="CG91" s="395">
        <f t="shared" ca="1" si="94"/>
        <v>0</v>
      </c>
      <c r="CH91" s="395">
        <f t="shared" ca="1" si="94"/>
        <v>0</v>
      </c>
      <c r="CI91" s="395">
        <f t="shared" ca="1" si="94"/>
        <v>0</v>
      </c>
      <c r="CJ91" s="395">
        <f t="shared" ca="1" si="94"/>
        <v>0</v>
      </c>
      <c r="CK91" s="395">
        <f t="shared" ca="1" si="94"/>
        <v>0</v>
      </c>
      <c r="CL91" s="133" t="s">
        <v>15</v>
      </c>
    </row>
    <row r="92" spans="2:90" s="133" customFormat="1" ht="15" customHeight="1" outlineLevel="1" x14ac:dyDescent="0.2">
      <c r="B92" s="133" t="s">
        <v>263</v>
      </c>
      <c r="E92" s="395">
        <f ca="1">-E42</f>
        <v>0</v>
      </c>
      <c r="F92" s="395">
        <f t="shared" ref="F92:BQ92" ca="1" si="95">-F42</f>
        <v>0</v>
      </c>
      <c r="G92" s="395">
        <f t="shared" ca="1" si="95"/>
        <v>0</v>
      </c>
      <c r="H92" s="395">
        <f t="shared" ca="1" si="95"/>
        <v>0</v>
      </c>
      <c r="I92" s="395">
        <f t="shared" ca="1" si="95"/>
        <v>0</v>
      </c>
      <c r="J92" s="395">
        <f t="shared" ca="1" si="95"/>
        <v>0</v>
      </c>
      <c r="K92" s="395">
        <f t="shared" ca="1" si="95"/>
        <v>0</v>
      </c>
      <c r="L92" s="395">
        <f t="shared" ca="1" si="95"/>
        <v>0</v>
      </c>
      <c r="M92" s="395">
        <f t="shared" ca="1" si="95"/>
        <v>0</v>
      </c>
      <c r="N92" s="395">
        <f t="shared" ca="1" si="95"/>
        <v>0</v>
      </c>
      <c r="O92" s="395">
        <f t="shared" ca="1" si="95"/>
        <v>0</v>
      </c>
      <c r="P92" s="395">
        <f t="shared" ca="1" si="95"/>
        <v>0</v>
      </c>
      <c r="Q92" s="395">
        <f t="shared" ca="1" si="95"/>
        <v>0</v>
      </c>
      <c r="R92" s="395">
        <f t="shared" ca="1" si="95"/>
        <v>0</v>
      </c>
      <c r="S92" s="395">
        <f t="shared" ca="1" si="95"/>
        <v>0</v>
      </c>
      <c r="T92" s="395">
        <f t="shared" ca="1" si="95"/>
        <v>0</v>
      </c>
      <c r="U92" s="395">
        <f t="shared" ca="1" si="95"/>
        <v>0</v>
      </c>
      <c r="V92" s="395">
        <f t="shared" ca="1" si="95"/>
        <v>0</v>
      </c>
      <c r="W92" s="395">
        <f t="shared" ca="1" si="95"/>
        <v>0</v>
      </c>
      <c r="X92" s="395">
        <f t="shared" ca="1" si="95"/>
        <v>0</v>
      </c>
      <c r="Y92" s="395">
        <f t="shared" ca="1" si="95"/>
        <v>0</v>
      </c>
      <c r="Z92" s="395">
        <f t="shared" ca="1" si="95"/>
        <v>0</v>
      </c>
      <c r="AA92" s="395">
        <f t="shared" ca="1" si="95"/>
        <v>0</v>
      </c>
      <c r="AB92" s="395">
        <f t="shared" ca="1" si="95"/>
        <v>0</v>
      </c>
      <c r="AC92" s="395">
        <f t="shared" ca="1" si="95"/>
        <v>0</v>
      </c>
      <c r="AD92" s="395">
        <f t="shared" ca="1" si="95"/>
        <v>0</v>
      </c>
      <c r="AE92" s="395">
        <f t="shared" ca="1" si="95"/>
        <v>0</v>
      </c>
      <c r="AF92" s="395">
        <f t="shared" ca="1" si="95"/>
        <v>0</v>
      </c>
      <c r="AG92" s="395">
        <f t="shared" ca="1" si="95"/>
        <v>0</v>
      </c>
      <c r="AH92" s="395">
        <f t="shared" ca="1" si="95"/>
        <v>0</v>
      </c>
      <c r="AI92" s="395">
        <f t="shared" ca="1" si="95"/>
        <v>0</v>
      </c>
      <c r="AJ92" s="395">
        <f t="shared" ca="1" si="95"/>
        <v>0</v>
      </c>
      <c r="AK92" s="395">
        <f t="shared" ca="1" si="95"/>
        <v>0</v>
      </c>
      <c r="AL92" s="395">
        <f t="shared" ca="1" si="95"/>
        <v>0</v>
      </c>
      <c r="AM92" s="395">
        <f t="shared" ca="1" si="95"/>
        <v>0</v>
      </c>
      <c r="AN92" s="395">
        <f t="shared" ca="1" si="95"/>
        <v>0</v>
      </c>
      <c r="AO92" s="395">
        <f t="shared" ca="1" si="95"/>
        <v>-13984089.806935186</v>
      </c>
      <c r="AP92" s="395">
        <f t="shared" ca="1" si="95"/>
        <v>0</v>
      </c>
      <c r="AQ92" s="395">
        <f t="shared" ca="1" si="95"/>
        <v>0</v>
      </c>
      <c r="AR92" s="395">
        <f t="shared" ca="1" si="95"/>
        <v>0</v>
      </c>
      <c r="AS92" s="395">
        <f t="shared" ca="1" si="95"/>
        <v>0</v>
      </c>
      <c r="AT92" s="395">
        <f t="shared" ca="1" si="95"/>
        <v>0</v>
      </c>
      <c r="AU92" s="395">
        <f t="shared" ca="1" si="95"/>
        <v>0</v>
      </c>
      <c r="AV92" s="395">
        <f t="shared" ca="1" si="95"/>
        <v>0</v>
      </c>
      <c r="AW92" s="395">
        <f t="shared" ca="1" si="95"/>
        <v>0</v>
      </c>
      <c r="AX92" s="395">
        <f t="shared" ca="1" si="95"/>
        <v>0</v>
      </c>
      <c r="AY92" s="395">
        <f t="shared" ca="1" si="95"/>
        <v>0</v>
      </c>
      <c r="AZ92" s="395">
        <f t="shared" ca="1" si="95"/>
        <v>0</v>
      </c>
      <c r="BA92" s="395">
        <f t="shared" ca="1" si="95"/>
        <v>0</v>
      </c>
      <c r="BB92" s="395">
        <f t="shared" ca="1" si="95"/>
        <v>0</v>
      </c>
      <c r="BC92" s="395">
        <f t="shared" ca="1" si="95"/>
        <v>0</v>
      </c>
      <c r="BD92" s="395">
        <f t="shared" ca="1" si="95"/>
        <v>0</v>
      </c>
      <c r="BE92" s="395">
        <f t="shared" ca="1" si="95"/>
        <v>0</v>
      </c>
      <c r="BF92" s="395">
        <f t="shared" ca="1" si="95"/>
        <v>0</v>
      </c>
      <c r="BG92" s="395">
        <f t="shared" ca="1" si="95"/>
        <v>0</v>
      </c>
      <c r="BH92" s="395">
        <f t="shared" ca="1" si="95"/>
        <v>0</v>
      </c>
      <c r="BI92" s="395">
        <f t="shared" ca="1" si="95"/>
        <v>0</v>
      </c>
      <c r="BJ92" s="395">
        <f t="shared" ca="1" si="95"/>
        <v>0</v>
      </c>
      <c r="BK92" s="395">
        <f t="shared" ca="1" si="95"/>
        <v>0</v>
      </c>
      <c r="BL92" s="395">
        <f t="shared" ca="1" si="95"/>
        <v>0</v>
      </c>
      <c r="BM92" s="395">
        <f t="shared" ca="1" si="95"/>
        <v>0</v>
      </c>
      <c r="BN92" s="395">
        <f t="shared" ca="1" si="95"/>
        <v>0</v>
      </c>
      <c r="BO92" s="395">
        <f t="shared" ca="1" si="95"/>
        <v>0</v>
      </c>
      <c r="BP92" s="395">
        <f t="shared" ca="1" si="95"/>
        <v>0</v>
      </c>
      <c r="BQ92" s="395">
        <f t="shared" ca="1" si="95"/>
        <v>0</v>
      </c>
      <c r="BR92" s="395">
        <f t="shared" ref="BR92:CK92" ca="1" si="96">-BR42</f>
        <v>0</v>
      </c>
      <c r="BS92" s="395">
        <f t="shared" ca="1" si="96"/>
        <v>0</v>
      </c>
      <c r="BT92" s="395">
        <f t="shared" ca="1" si="96"/>
        <v>0</v>
      </c>
      <c r="BU92" s="395">
        <f t="shared" ca="1" si="96"/>
        <v>0</v>
      </c>
      <c r="BV92" s="395">
        <f t="shared" ca="1" si="96"/>
        <v>0</v>
      </c>
      <c r="BW92" s="395">
        <f t="shared" ca="1" si="96"/>
        <v>0</v>
      </c>
      <c r="BX92" s="395">
        <f t="shared" ca="1" si="96"/>
        <v>0</v>
      </c>
      <c r="BY92" s="395">
        <f t="shared" ca="1" si="96"/>
        <v>0</v>
      </c>
      <c r="BZ92" s="395">
        <f t="shared" ca="1" si="96"/>
        <v>0</v>
      </c>
      <c r="CA92" s="395">
        <f t="shared" ca="1" si="96"/>
        <v>0</v>
      </c>
      <c r="CB92" s="395">
        <f t="shared" ca="1" si="96"/>
        <v>0</v>
      </c>
      <c r="CC92" s="395">
        <f t="shared" ca="1" si="96"/>
        <v>0</v>
      </c>
      <c r="CD92" s="395">
        <f t="shared" ca="1" si="96"/>
        <v>0</v>
      </c>
      <c r="CE92" s="395">
        <f t="shared" ca="1" si="96"/>
        <v>0</v>
      </c>
      <c r="CF92" s="395">
        <f t="shared" ca="1" si="96"/>
        <v>0</v>
      </c>
      <c r="CG92" s="395">
        <f t="shared" ca="1" si="96"/>
        <v>0</v>
      </c>
      <c r="CH92" s="395">
        <f t="shared" ca="1" si="96"/>
        <v>0</v>
      </c>
      <c r="CI92" s="395">
        <f t="shared" ca="1" si="96"/>
        <v>0</v>
      </c>
      <c r="CJ92" s="395">
        <f t="shared" ca="1" si="96"/>
        <v>0</v>
      </c>
      <c r="CK92" s="395">
        <f t="shared" ca="1" si="96"/>
        <v>0</v>
      </c>
      <c r="CL92" s="133" t="s">
        <v>15</v>
      </c>
    </row>
    <row r="93" spans="2:90" s="133" customFormat="1" ht="15" customHeight="1" outlineLevel="1" x14ac:dyDescent="0.2">
      <c r="B93" s="133" t="s">
        <v>271</v>
      </c>
      <c r="E93" s="395">
        <f ca="1">-E69</f>
        <v>0</v>
      </c>
      <c r="F93" s="395">
        <f t="shared" ref="F93:BQ93" ca="1" si="97">-F69</f>
        <v>0</v>
      </c>
      <c r="G93" s="395">
        <f t="shared" ca="1" si="97"/>
        <v>0</v>
      </c>
      <c r="H93" s="395">
        <f t="shared" ca="1" si="97"/>
        <v>0</v>
      </c>
      <c r="I93" s="395">
        <f t="shared" ca="1" si="97"/>
        <v>0</v>
      </c>
      <c r="J93" s="395">
        <f t="shared" ca="1" si="97"/>
        <v>0</v>
      </c>
      <c r="K93" s="395">
        <f t="shared" ca="1" si="97"/>
        <v>0</v>
      </c>
      <c r="L93" s="395">
        <f t="shared" ca="1" si="97"/>
        <v>0</v>
      </c>
      <c r="M93" s="395">
        <f t="shared" ca="1" si="97"/>
        <v>0</v>
      </c>
      <c r="N93" s="395">
        <f t="shared" ca="1" si="97"/>
        <v>0</v>
      </c>
      <c r="O93" s="395">
        <f t="shared" ca="1" si="97"/>
        <v>0</v>
      </c>
      <c r="P93" s="395">
        <f t="shared" ca="1" si="97"/>
        <v>0</v>
      </c>
      <c r="Q93" s="395">
        <f t="shared" ca="1" si="97"/>
        <v>0</v>
      </c>
      <c r="R93" s="395">
        <f t="shared" ca="1" si="97"/>
        <v>0</v>
      </c>
      <c r="S93" s="395">
        <f t="shared" ca="1" si="97"/>
        <v>0</v>
      </c>
      <c r="T93" s="395">
        <f t="shared" ca="1" si="97"/>
        <v>0</v>
      </c>
      <c r="U93" s="395">
        <f t="shared" ca="1" si="97"/>
        <v>0</v>
      </c>
      <c r="V93" s="395">
        <f t="shared" ca="1" si="97"/>
        <v>0</v>
      </c>
      <c r="W93" s="395">
        <f t="shared" ca="1" si="97"/>
        <v>0</v>
      </c>
      <c r="X93" s="395">
        <f t="shared" ca="1" si="97"/>
        <v>0</v>
      </c>
      <c r="Y93" s="395">
        <f t="shared" ca="1" si="97"/>
        <v>0</v>
      </c>
      <c r="Z93" s="395">
        <f t="shared" ca="1" si="97"/>
        <v>0</v>
      </c>
      <c r="AA93" s="395">
        <f t="shared" ca="1" si="97"/>
        <v>0</v>
      </c>
      <c r="AB93" s="395">
        <f t="shared" ca="1" si="97"/>
        <v>0</v>
      </c>
      <c r="AC93" s="395">
        <f t="shared" ca="1" si="97"/>
        <v>0</v>
      </c>
      <c r="AD93" s="395">
        <f t="shared" ca="1" si="97"/>
        <v>0</v>
      </c>
      <c r="AE93" s="395">
        <f t="shared" ca="1" si="97"/>
        <v>0</v>
      </c>
      <c r="AF93" s="395">
        <f t="shared" ca="1" si="97"/>
        <v>0</v>
      </c>
      <c r="AG93" s="395">
        <f t="shared" ca="1" si="97"/>
        <v>0</v>
      </c>
      <c r="AH93" s="395">
        <f t="shared" ca="1" si="97"/>
        <v>0</v>
      </c>
      <c r="AI93" s="395">
        <f t="shared" ca="1" si="97"/>
        <v>0</v>
      </c>
      <c r="AJ93" s="395">
        <f t="shared" ca="1" si="97"/>
        <v>0</v>
      </c>
      <c r="AK93" s="395">
        <f t="shared" ca="1" si="97"/>
        <v>0</v>
      </c>
      <c r="AL93" s="395">
        <f t="shared" ca="1" si="97"/>
        <v>0</v>
      </c>
      <c r="AM93" s="395">
        <f t="shared" ca="1" si="97"/>
        <v>0</v>
      </c>
      <c r="AN93" s="395">
        <f t="shared" ca="1" si="97"/>
        <v>0</v>
      </c>
      <c r="AO93" s="395">
        <f t="shared" ca="1" si="97"/>
        <v>0</v>
      </c>
      <c r="AP93" s="395">
        <f t="shared" ca="1" si="97"/>
        <v>0</v>
      </c>
      <c r="AQ93" s="395">
        <f t="shared" ca="1" si="97"/>
        <v>0</v>
      </c>
      <c r="AR93" s="395">
        <f t="shared" ca="1" si="97"/>
        <v>0</v>
      </c>
      <c r="AS93" s="395">
        <f t="shared" ca="1" si="97"/>
        <v>0</v>
      </c>
      <c r="AT93" s="395">
        <f t="shared" ca="1" si="97"/>
        <v>0</v>
      </c>
      <c r="AU93" s="395">
        <f t="shared" ca="1" si="97"/>
        <v>0</v>
      </c>
      <c r="AV93" s="395">
        <f t="shared" ca="1" si="97"/>
        <v>0</v>
      </c>
      <c r="AW93" s="395">
        <f t="shared" ca="1" si="97"/>
        <v>0</v>
      </c>
      <c r="AX93" s="395">
        <f t="shared" ca="1" si="97"/>
        <v>0</v>
      </c>
      <c r="AY93" s="395">
        <f t="shared" ca="1" si="97"/>
        <v>0</v>
      </c>
      <c r="AZ93" s="395">
        <f t="shared" ca="1" si="97"/>
        <v>0</v>
      </c>
      <c r="BA93" s="395">
        <f t="shared" ca="1" si="97"/>
        <v>0</v>
      </c>
      <c r="BB93" s="395">
        <f t="shared" ca="1" si="97"/>
        <v>0</v>
      </c>
      <c r="BC93" s="395">
        <f t="shared" ca="1" si="97"/>
        <v>0</v>
      </c>
      <c r="BD93" s="395">
        <f t="shared" ca="1" si="97"/>
        <v>0</v>
      </c>
      <c r="BE93" s="395">
        <f t="shared" ca="1" si="97"/>
        <v>0</v>
      </c>
      <c r="BF93" s="395">
        <f t="shared" ca="1" si="97"/>
        <v>0</v>
      </c>
      <c r="BG93" s="395">
        <f t="shared" ca="1" si="97"/>
        <v>0</v>
      </c>
      <c r="BH93" s="395">
        <f t="shared" ca="1" si="97"/>
        <v>0</v>
      </c>
      <c r="BI93" s="395">
        <f t="shared" ca="1" si="97"/>
        <v>0</v>
      </c>
      <c r="BJ93" s="395">
        <f t="shared" ca="1" si="97"/>
        <v>0</v>
      </c>
      <c r="BK93" s="395">
        <f t="shared" ca="1" si="97"/>
        <v>0</v>
      </c>
      <c r="BL93" s="395">
        <f t="shared" ca="1" si="97"/>
        <v>0</v>
      </c>
      <c r="BM93" s="395">
        <f t="shared" ca="1" si="97"/>
        <v>0</v>
      </c>
      <c r="BN93" s="395">
        <f t="shared" ca="1" si="97"/>
        <v>0</v>
      </c>
      <c r="BO93" s="395">
        <f t="shared" ca="1" si="97"/>
        <v>0</v>
      </c>
      <c r="BP93" s="395">
        <f t="shared" ca="1" si="97"/>
        <v>0</v>
      </c>
      <c r="BQ93" s="395">
        <f t="shared" ca="1" si="97"/>
        <v>0</v>
      </c>
      <c r="BR93" s="395">
        <f t="shared" ref="BR93:CK93" ca="1" si="98">-BR69</f>
        <v>0</v>
      </c>
      <c r="BS93" s="395">
        <f t="shared" ca="1" si="98"/>
        <v>0</v>
      </c>
      <c r="BT93" s="395">
        <f t="shared" ca="1" si="98"/>
        <v>0</v>
      </c>
      <c r="BU93" s="395">
        <f t="shared" ca="1" si="98"/>
        <v>0</v>
      </c>
      <c r="BV93" s="395">
        <f t="shared" ca="1" si="98"/>
        <v>0</v>
      </c>
      <c r="BW93" s="395">
        <f t="shared" ca="1" si="98"/>
        <v>0</v>
      </c>
      <c r="BX93" s="395">
        <f t="shared" ca="1" si="98"/>
        <v>0</v>
      </c>
      <c r="BY93" s="395">
        <f t="shared" ca="1" si="98"/>
        <v>0</v>
      </c>
      <c r="BZ93" s="395">
        <f t="shared" ca="1" si="98"/>
        <v>0</v>
      </c>
      <c r="CA93" s="395">
        <f t="shared" ca="1" si="98"/>
        <v>0</v>
      </c>
      <c r="CB93" s="395">
        <f t="shared" ca="1" si="98"/>
        <v>0</v>
      </c>
      <c r="CC93" s="395">
        <f t="shared" ca="1" si="98"/>
        <v>0</v>
      </c>
      <c r="CD93" s="395">
        <f t="shared" ca="1" si="98"/>
        <v>0</v>
      </c>
      <c r="CE93" s="395">
        <f t="shared" ca="1" si="98"/>
        <v>0</v>
      </c>
      <c r="CF93" s="395">
        <f t="shared" ca="1" si="98"/>
        <v>0</v>
      </c>
      <c r="CG93" s="395">
        <f t="shared" ca="1" si="98"/>
        <v>0</v>
      </c>
      <c r="CH93" s="395">
        <f t="shared" ca="1" si="98"/>
        <v>0</v>
      </c>
      <c r="CI93" s="395">
        <f t="shared" ca="1" si="98"/>
        <v>0</v>
      </c>
      <c r="CJ93" s="395">
        <f t="shared" ca="1" si="98"/>
        <v>0</v>
      </c>
      <c r="CK93" s="395">
        <f t="shared" ca="1" si="98"/>
        <v>0</v>
      </c>
      <c r="CL93" s="133" t="s">
        <v>15</v>
      </c>
    </row>
    <row r="94" spans="2:90" s="133" customFormat="1" ht="15" customHeight="1" outlineLevel="1" x14ac:dyDescent="0.2">
      <c r="B94" s="133" t="s">
        <v>275</v>
      </c>
      <c r="E94" s="395">
        <f t="shared" ref="E94:AJ94" ca="1" si="99">-MIN(MAX(E90:E91)+E92+E93,E84*Tier3_CoInvestorPctCF_Case2)</f>
        <v>0</v>
      </c>
      <c r="F94" s="395">
        <f t="shared" ca="1" si="99"/>
        <v>0</v>
      </c>
      <c r="G94" s="395">
        <f t="shared" ca="1" si="99"/>
        <v>0</v>
      </c>
      <c r="H94" s="395">
        <f t="shared" ca="1" si="99"/>
        <v>0</v>
      </c>
      <c r="I94" s="395">
        <f t="shared" ca="1" si="99"/>
        <v>0</v>
      </c>
      <c r="J94" s="395">
        <f t="shared" ca="1" si="99"/>
        <v>0</v>
      </c>
      <c r="K94" s="395">
        <f t="shared" ca="1" si="99"/>
        <v>0</v>
      </c>
      <c r="L94" s="395">
        <f t="shared" ca="1" si="99"/>
        <v>0</v>
      </c>
      <c r="M94" s="395">
        <f t="shared" ca="1" si="99"/>
        <v>0</v>
      </c>
      <c r="N94" s="395">
        <f t="shared" ca="1" si="99"/>
        <v>0</v>
      </c>
      <c r="O94" s="395">
        <f t="shared" ca="1" si="99"/>
        <v>0</v>
      </c>
      <c r="P94" s="395">
        <f t="shared" ca="1" si="99"/>
        <v>0</v>
      </c>
      <c r="Q94" s="395">
        <f t="shared" ca="1" si="99"/>
        <v>0</v>
      </c>
      <c r="R94" s="395">
        <f t="shared" ca="1" si="99"/>
        <v>0</v>
      </c>
      <c r="S94" s="395">
        <f t="shared" ca="1" si="99"/>
        <v>0</v>
      </c>
      <c r="T94" s="395">
        <f t="shared" ca="1" si="99"/>
        <v>0</v>
      </c>
      <c r="U94" s="395">
        <f t="shared" ca="1" si="99"/>
        <v>0</v>
      </c>
      <c r="V94" s="395">
        <f t="shared" ca="1" si="99"/>
        <v>0</v>
      </c>
      <c r="W94" s="395">
        <f t="shared" ca="1" si="99"/>
        <v>0</v>
      </c>
      <c r="X94" s="395">
        <f t="shared" ca="1" si="99"/>
        <v>0</v>
      </c>
      <c r="Y94" s="395">
        <f t="shared" ca="1" si="99"/>
        <v>0</v>
      </c>
      <c r="Z94" s="395">
        <f t="shared" ca="1" si="99"/>
        <v>0</v>
      </c>
      <c r="AA94" s="395">
        <f t="shared" ca="1" si="99"/>
        <v>0</v>
      </c>
      <c r="AB94" s="395">
        <f t="shared" ca="1" si="99"/>
        <v>0</v>
      </c>
      <c r="AC94" s="395">
        <f t="shared" ca="1" si="99"/>
        <v>0</v>
      </c>
      <c r="AD94" s="395">
        <f t="shared" ca="1" si="99"/>
        <v>0</v>
      </c>
      <c r="AE94" s="395">
        <f t="shared" ca="1" si="99"/>
        <v>0</v>
      </c>
      <c r="AF94" s="395">
        <f t="shared" ca="1" si="99"/>
        <v>0</v>
      </c>
      <c r="AG94" s="395">
        <f t="shared" ca="1" si="99"/>
        <v>0</v>
      </c>
      <c r="AH94" s="395">
        <f t="shared" ca="1" si="99"/>
        <v>0</v>
      </c>
      <c r="AI94" s="395">
        <f t="shared" ca="1" si="99"/>
        <v>0</v>
      </c>
      <c r="AJ94" s="395">
        <f t="shared" ca="1" si="99"/>
        <v>0</v>
      </c>
      <c r="AK94" s="395">
        <f t="shared" ref="AK94:BP94" ca="1" si="100">-MIN(MAX(AK90:AK91)+AK92+AK93,AK84*Tier3_CoInvestorPctCF_Case2)</f>
        <v>0</v>
      </c>
      <c r="AL94" s="395">
        <f t="shared" ca="1" si="100"/>
        <v>0</v>
      </c>
      <c r="AM94" s="395">
        <f t="shared" ca="1" si="100"/>
        <v>0</v>
      </c>
      <c r="AN94" s="395">
        <f t="shared" ca="1" si="100"/>
        <v>0</v>
      </c>
      <c r="AO94" s="395">
        <f t="shared" ca="1" si="100"/>
        <v>-1678090.7768322229</v>
      </c>
      <c r="AP94" s="395">
        <f t="shared" ca="1" si="100"/>
        <v>0</v>
      </c>
      <c r="AQ94" s="395">
        <f t="shared" ca="1" si="100"/>
        <v>0</v>
      </c>
      <c r="AR94" s="395">
        <f t="shared" ca="1" si="100"/>
        <v>0</v>
      </c>
      <c r="AS94" s="395">
        <f t="shared" ca="1" si="100"/>
        <v>0</v>
      </c>
      <c r="AT94" s="395">
        <f t="shared" ca="1" si="100"/>
        <v>0</v>
      </c>
      <c r="AU94" s="395">
        <f t="shared" ca="1" si="100"/>
        <v>0</v>
      </c>
      <c r="AV94" s="395">
        <f t="shared" ca="1" si="100"/>
        <v>0</v>
      </c>
      <c r="AW94" s="395">
        <f t="shared" ca="1" si="100"/>
        <v>0</v>
      </c>
      <c r="AX94" s="395">
        <f t="shared" ca="1" si="100"/>
        <v>0</v>
      </c>
      <c r="AY94" s="395">
        <f t="shared" ca="1" si="100"/>
        <v>0</v>
      </c>
      <c r="AZ94" s="395">
        <f t="shared" ca="1" si="100"/>
        <v>0</v>
      </c>
      <c r="BA94" s="395">
        <f t="shared" ca="1" si="100"/>
        <v>0</v>
      </c>
      <c r="BB94" s="395">
        <f t="shared" ca="1" si="100"/>
        <v>0</v>
      </c>
      <c r="BC94" s="395">
        <f t="shared" ca="1" si="100"/>
        <v>0</v>
      </c>
      <c r="BD94" s="395">
        <f t="shared" ca="1" si="100"/>
        <v>0</v>
      </c>
      <c r="BE94" s="395">
        <f t="shared" ca="1" si="100"/>
        <v>0</v>
      </c>
      <c r="BF94" s="395">
        <f t="shared" ca="1" si="100"/>
        <v>0</v>
      </c>
      <c r="BG94" s="395">
        <f t="shared" ca="1" si="100"/>
        <v>0</v>
      </c>
      <c r="BH94" s="395">
        <f t="shared" ca="1" si="100"/>
        <v>0</v>
      </c>
      <c r="BI94" s="395">
        <f t="shared" ca="1" si="100"/>
        <v>0</v>
      </c>
      <c r="BJ94" s="395">
        <f t="shared" ca="1" si="100"/>
        <v>0</v>
      </c>
      <c r="BK94" s="395">
        <f t="shared" ca="1" si="100"/>
        <v>0</v>
      </c>
      <c r="BL94" s="395">
        <f t="shared" ca="1" si="100"/>
        <v>0</v>
      </c>
      <c r="BM94" s="395">
        <f t="shared" ca="1" si="100"/>
        <v>0</v>
      </c>
      <c r="BN94" s="395">
        <f t="shared" ca="1" si="100"/>
        <v>0</v>
      </c>
      <c r="BO94" s="395">
        <f t="shared" ca="1" si="100"/>
        <v>0</v>
      </c>
      <c r="BP94" s="395">
        <f t="shared" ca="1" si="100"/>
        <v>0</v>
      </c>
      <c r="BQ94" s="395">
        <f t="shared" ref="BQ94:CK94" ca="1" si="101">-MIN(MAX(BQ90:BQ91)+BQ92+BQ93,BQ84*Tier3_CoInvestorPctCF_Case2)</f>
        <v>0</v>
      </c>
      <c r="BR94" s="395">
        <f t="shared" ca="1" si="101"/>
        <v>0</v>
      </c>
      <c r="BS94" s="395">
        <f t="shared" ca="1" si="101"/>
        <v>0</v>
      </c>
      <c r="BT94" s="395">
        <f t="shared" ca="1" si="101"/>
        <v>0</v>
      </c>
      <c r="BU94" s="395">
        <f t="shared" ca="1" si="101"/>
        <v>0</v>
      </c>
      <c r="BV94" s="395">
        <f t="shared" ca="1" si="101"/>
        <v>0</v>
      </c>
      <c r="BW94" s="395">
        <f t="shared" ca="1" si="101"/>
        <v>0</v>
      </c>
      <c r="BX94" s="395">
        <f t="shared" ca="1" si="101"/>
        <v>0</v>
      </c>
      <c r="BY94" s="395">
        <f t="shared" ca="1" si="101"/>
        <v>0</v>
      </c>
      <c r="BZ94" s="395">
        <f t="shared" ca="1" si="101"/>
        <v>0</v>
      </c>
      <c r="CA94" s="395">
        <f t="shared" ca="1" si="101"/>
        <v>0</v>
      </c>
      <c r="CB94" s="395">
        <f t="shared" ca="1" si="101"/>
        <v>0</v>
      </c>
      <c r="CC94" s="395">
        <f t="shared" ca="1" si="101"/>
        <v>0</v>
      </c>
      <c r="CD94" s="395">
        <f t="shared" ca="1" si="101"/>
        <v>0</v>
      </c>
      <c r="CE94" s="395">
        <f t="shared" ca="1" si="101"/>
        <v>0</v>
      </c>
      <c r="CF94" s="395">
        <f t="shared" ca="1" si="101"/>
        <v>0</v>
      </c>
      <c r="CG94" s="395">
        <f t="shared" ca="1" si="101"/>
        <v>0</v>
      </c>
      <c r="CH94" s="395">
        <f t="shared" ca="1" si="101"/>
        <v>0</v>
      </c>
      <c r="CI94" s="395">
        <f t="shared" ca="1" si="101"/>
        <v>0</v>
      </c>
      <c r="CJ94" s="395">
        <f t="shared" ca="1" si="101"/>
        <v>0</v>
      </c>
      <c r="CK94" s="395">
        <f t="shared" ca="1" si="101"/>
        <v>0</v>
      </c>
      <c r="CL94" s="133" t="s">
        <v>15</v>
      </c>
    </row>
    <row r="95" spans="2:90" s="133" customFormat="1" ht="15" customHeight="1" outlineLevel="1" x14ac:dyDescent="0.2">
      <c r="B95" s="133" t="s">
        <v>264</v>
      </c>
      <c r="E95" s="395">
        <f ca="1">MAX(E90:E91)+E92+E93+E94</f>
        <v>4701442.1867447402</v>
      </c>
      <c r="F95" s="395">
        <f t="shared" ref="F95:BQ95" ca="1" si="102">MAX(F90:F91)+F92+F93+F94</f>
        <v>4881233.6599336201</v>
      </c>
      <c r="G95" s="395">
        <f t="shared" ca="1" si="102"/>
        <v>5061142.8554666406</v>
      </c>
      <c r="H95" s="395">
        <f t="shared" ca="1" si="102"/>
        <v>5283509.1852734415</v>
      </c>
      <c r="I95" s="395">
        <f t="shared" ca="1" si="102"/>
        <v>5687007.1517774416</v>
      </c>
      <c r="J95" s="395">
        <f t="shared" ca="1" si="102"/>
        <v>6028973.3426414412</v>
      </c>
      <c r="K95" s="395">
        <f t="shared" ca="1" si="102"/>
        <v>6607431.712009442</v>
      </c>
      <c r="L95" s="395">
        <f t="shared" ca="1" si="102"/>
        <v>7490850.07085001</v>
      </c>
      <c r="M95" s="395">
        <f t="shared" ca="1" si="102"/>
        <v>8374854.0873631462</v>
      </c>
      <c r="N95" s="395">
        <f t="shared" ca="1" si="102"/>
        <v>9259443.7615488525</v>
      </c>
      <c r="O95" s="395">
        <f t="shared" ca="1" si="102"/>
        <v>10144619.093407126</v>
      </c>
      <c r="P95" s="395">
        <f t="shared" ca="1" si="102"/>
        <v>11030380.082937967</v>
      </c>
      <c r="Q95" s="395">
        <f t="shared" ca="1" si="102"/>
        <v>11916726.730141377</v>
      </c>
      <c r="R95" s="395">
        <f t="shared" ca="1" si="102"/>
        <v>13280388.640615756</v>
      </c>
      <c r="S95" s="395">
        <f t="shared" ca="1" si="102"/>
        <v>14792092.583921103</v>
      </c>
      <c r="T95" s="395">
        <f t="shared" ca="1" si="102"/>
        <v>15458142.013367416</v>
      </c>
      <c r="U95" s="395">
        <f t="shared" ca="1" si="102"/>
        <v>15468343.941887416</v>
      </c>
      <c r="V95" s="395">
        <f t="shared" ca="1" si="102"/>
        <v>15478545.870407416</v>
      </c>
      <c r="W95" s="395">
        <f t="shared" ca="1" si="102"/>
        <v>15488747.798927415</v>
      </c>
      <c r="X95" s="395">
        <f t="shared" ca="1" si="102"/>
        <v>15498949.727447415</v>
      </c>
      <c r="Y95" s="395">
        <f t="shared" ca="1" si="102"/>
        <v>15509151.655967414</v>
      </c>
      <c r="Z95" s="395">
        <f t="shared" ca="1" si="102"/>
        <v>15519353.584487414</v>
      </c>
      <c r="AA95" s="395">
        <f t="shared" ca="1" si="102"/>
        <v>15529555.513007414</v>
      </c>
      <c r="AB95" s="395">
        <f t="shared" ca="1" si="102"/>
        <v>15539757.441527413</v>
      </c>
      <c r="AC95" s="395">
        <f t="shared" ca="1" si="102"/>
        <v>15549959.370047413</v>
      </c>
      <c r="AD95" s="395">
        <f t="shared" ca="1" si="102"/>
        <v>15560161.298567412</v>
      </c>
      <c r="AE95" s="395">
        <f t="shared" ca="1" si="102"/>
        <v>15570363.227087412</v>
      </c>
      <c r="AF95" s="395">
        <f t="shared" ca="1" si="102"/>
        <v>15580565.155607412</v>
      </c>
      <c r="AG95" s="395">
        <f t="shared" ca="1" si="102"/>
        <v>15590767.084127411</v>
      </c>
      <c r="AH95" s="395">
        <f t="shared" ca="1" si="102"/>
        <v>15600969.012647411</v>
      </c>
      <c r="AI95" s="395">
        <f t="shared" ca="1" si="102"/>
        <v>15611170.94116741</v>
      </c>
      <c r="AJ95" s="395">
        <f t="shared" ca="1" si="102"/>
        <v>15621372.86968741</v>
      </c>
      <c r="AK95" s="395">
        <f t="shared" ca="1" si="102"/>
        <v>15631574.79820741</v>
      </c>
      <c r="AL95" s="395">
        <f t="shared" ca="1" si="102"/>
        <v>15641776.726727409</v>
      </c>
      <c r="AM95" s="395">
        <f t="shared" ca="1" si="102"/>
        <v>15651978.655247409</v>
      </c>
      <c r="AN95" s="395">
        <f t="shared" ca="1" si="102"/>
        <v>15662180.583767409</v>
      </c>
      <c r="AO95" s="395">
        <f t="shared" ca="1" si="102"/>
        <v>0</v>
      </c>
      <c r="AP95" s="395">
        <f t="shared" ca="1" si="102"/>
        <v>0</v>
      </c>
      <c r="AQ95" s="395">
        <f t="shared" ca="1" si="102"/>
        <v>0</v>
      </c>
      <c r="AR95" s="395">
        <f t="shared" ca="1" si="102"/>
        <v>0</v>
      </c>
      <c r="AS95" s="395">
        <f t="shared" ca="1" si="102"/>
        <v>0</v>
      </c>
      <c r="AT95" s="395">
        <f t="shared" ca="1" si="102"/>
        <v>0</v>
      </c>
      <c r="AU95" s="395">
        <f t="shared" ca="1" si="102"/>
        <v>0</v>
      </c>
      <c r="AV95" s="395">
        <f t="shared" ca="1" si="102"/>
        <v>0</v>
      </c>
      <c r="AW95" s="395">
        <f t="shared" ca="1" si="102"/>
        <v>0</v>
      </c>
      <c r="AX95" s="395">
        <f t="shared" ca="1" si="102"/>
        <v>0</v>
      </c>
      <c r="AY95" s="395">
        <f t="shared" ca="1" si="102"/>
        <v>0</v>
      </c>
      <c r="AZ95" s="395">
        <f t="shared" ca="1" si="102"/>
        <v>0</v>
      </c>
      <c r="BA95" s="395">
        <f t="shared" ca="1" si="102"/>
        <v>0</v>
      </c>
      <c r="BB95" s="395">
        <f t="shared" ca="1" si="102"/>
        <v>0</v>
      </c>
      <c r="BC95" s="395">
        <f t="shared" ca="1" si="102"/>
        <v>0</v>
      </c>
      <c r="BD95" s="395">
        <f t="shared" ca="1" si="102"/>
        <v>0</v>
      </c>
      <c r="BE95" s="395">
        <f t="shared" ca="1" si="102"/>
        <v>0</v>
      </c>
      <c r="BF95" s="395">
        <f t="shared" ca="1" si="102"/>
        <v>0</v>
      </c>
      <c r="BG95" s="395">
        <f t="shared" ca="1" si="102"/>
        <v>0</v>
      </c>
      <c r="BH95" s="395">
        <f t="shared" ca="1" si="102"/>
        <v>0</v>
      </c>
      <c r="BI95" s="395">
        <f t="shared" ca="1" si="102"/>
        <v>0</v>
      </c>
      <c r="BJ95" s="395">
        <f t="shared" ca="1" si="102"/>
        <v>0</v>
      </c>
      <c r="BK95" s="395">
        <f t="shared" ca="1" si="102"/>
        <v>0</v>
      </c>
      <c r="BL95" s="395">
        <f t="shared" ca="1" si="102"/>
        <v>0</v>
      </c>
      <c r="BM95" s="395">
        <f t="shared" ca="1" si="102"/>
        <v>0</v>
      </c>
      <c r="BN95" s="395">
        <f t="shared" ca="1" si="102"/>
        <v>0</v>
      </c>
      <c r="BO95" s="395">
        <f t="shared" ca="1" si="102"/>
        <v>0</v>
      </c>
      <c r="BP95" s="395">
        <f t="shared" ca="1" si="102"/>
        <v>0</v>
      </c>
      <c r="BQ95" s="395">
        <f t="shared" ca="1" si="102"/>
        <v>0</v>
      </c>
      <c r="BR95" s="395">
        <f t="shared" ref="BR95:CK95" ca="1" si="103">MAX(BR90:BR91)+BR92+BR93+BR94</f>
        <v>0</v>
      </c>
      <c r="BS95" s="395">
        <f t="shared" ca="1" si="103"/>
        <v>0</v>
      </c>
      <c r="BT95" s="395">
        <f t="shared" ca="1" si="103"/>
        <v>0</v>
      </c>
      <c r="BU95" s="395">
        <f t="shared" ca="1" si="103"/>
        <v>0</v>
      </c>
      <c r="BV95" s="395">
        <f t="shared" ca="1" si="103"/>
        <v>0</v>
      </c>
      <c r="BW95" s="395">
        <f t="shared" ca="1" si="103"/>
        <v>0</v>
      </c>
      <c r="BX95" s="395">
        <f t="shared" ca="1" si="103"/>
        <v>0</v>
      </c>
      <c r="BY95" s="395">
        <f t="shared" ca="1" si="103"/>
        <v>0</v>
      </c>
      <c r="BZ95" s="395">
        <f t="shared" ca="1" si="103"/>
        <v>0</v>
      </c>
      <c r="CA95" s="395">
        <f t="shared" ca="1" si="103"/>
        <v>0</v>
      </c>
      <c r="CB95" s="395">
        <f t="shared" ca="1" si="103"/>
        <v>0</v>
      </c>
      <c r="CC95" s="395">
        <f t="shared" ca="1" si="103"/>
        <v>0</v>
      </c>
      <c r="CD95" s="395">
        <f t="shared" ca="1" si="103"/>
        <v>0</v>
      </c>
      <c r="CE95" s="395">
        <f t="shared" ca="1" si="103"/>
        <v>0</v>
      </c>
      <c r="CF95" s="395">
        <f t="shared" ca="1" si="103"/>
        <v>0</v>
      </c>
      <c r="CG95" s="395">
        <f t="shared" ca="1" si="103"/>
        <v>0</v>
      </c>
      <c r="CH95" s="395">
        <f t="shared" ca="1" si="103"/>
        <v>0</v>
      </c>
      <c r="CI95" s="395">
        <f t="shared" ca="1" si="103"/>
        <v>0</v>
      </c>
      <c r="CJ95" s="395">
        <f t="shared" ca="1" si="103"/>
        <v>0</v>
      </c>
      <c r="CK95" s="395">
        <f t="shared" ca="1" si="103"/>
        <v>0</v>
      </c>
      <c r="CL95" s="133" t="s">
        <v>15</v>
      </c>
    </row>
    <row r="96" spans="2:90" s="133" customFormat="1" ht="15" customHeight="1" outlineLevel="1" x14ac:dyDescent="0.2"/>
    <row r="97" spans="2:90" s="133" customFormat="1" ht="15" customHeight="1" outlineLevel="1" x14ac:dyDescent="0.2">
      <c r="B97" s="133" t="s">
        <v>283</v>
      </c>
      <c r="E97" s="395">
        <f ca="1">-E94</f>
        <v>0</v>
      </c>
      <c r="F97" s="395">
        <f t="shared" ref="F97:BQ97" ca="1" si="104">-F94</f>
        <v>0</v>
      </c>
      <c r="G97" s="395">
        <f t="shared" ca="1" si="104"/>
        <v>0</v>
      </c>
      <c r="H97" s="395">
        <f t="shared" ca="1" si="104"/>
        <v>0</v>
      </c>
      <c r="I97" s="395">
        <f t="shared" ca="1" si="104"/>
        <v>0</v>
      </c>
      <c r="J97" s="395">
        <f t="shared" ca="1" si="104"/>
        <v>0</v>
      </c>
      <c r="K97" s="395">
        <f t="shared" ca="1" si="104"/>
        <v>0</v>
      </c>
      <c r="L97" s="395">
        <f t="shared" ca="1" si="104"/>
        <v>0</v>
      </c>
      <c r="M97" s="395">
        <f t="shared" ca="1" si="104"/>
        <v>0</v>
      </c>
      <c r="N97" s="395">
        <f t="shared" ca="1" si="104"/>
        <v>0</v>
      </c>
      <c r="O97" s="395">
        <f t="shared" ca="1" si="104"/>
        <v>0</v>
      </c>
      <c r="P97" s="395">
        <f t="shared" ca="1" si="104"/>
        <v>0</v>
      </c>
      <c r="Q97" s="395">
        <f t="shared" ca="1" si="104"/>
        <v>0</v>
      </c>
      <c r="R97" s="395">
        <f t="shared" ca="1" si="104"/>
        <v>0</v>
      </c>
      <c r="S97" s="395">
        <f t="shared" ca="1" si="104"/>
        <v>0</v>
      </c>
      <c r="T97" s="395">
        <f t="shared" ca="1" si="104"/>
        <v>0</v>
      </c>
      <c r="U97" s="395">
        <f t="shared" ca="1" si="104"/>
        <v>0</v>
      </c>
      <c r="V97" s="395">
        <f t="shared" ca="1" si="104"/>
        <v>0</v>
      </c>
      <c r="W97" s="395">
        <f t="shared" ca="1" si="104"/>
        <v>0</v>
      </c>
      <c r="X97" s="395">
        <f t="shared" ca="1" si="104"/>
        <v>0</v>
      </c>
      <c r="Y97" s="395">
        <f t="shared" ca="1" si="104"/>
        <v>0</v>
      </c>
      <c r="Z97" s="395">
        <f t="shared" ca="1" si="104"/>
        <v>0</v>
      </c>
      <c r="AA97" s="395">
        <f t="shared" ca="1" si="104"/>
        <v>0</v>
      </c>
      <c r="AB97" s="395">
        <f t="shared" ca="1" si="104"/>
        <v>0</v>
      </c>
      <c r="AC97" s="395">
        <f t="shared" ca="1" si="104"/>
        <v>0</v>
      </c>
      <c r="AD97" s="395">
        <f t="shared" ca="1" si="104"/>
        <v>0</v>
      </c>
      <c r="AE97" s="395">
        <f t="shared" ca="1" si="104"/>
        <v>0</v>
      </c>
      <c r="AF97" s="395">
        <f t="shared" ca="1" si="104"/>
        <v>0</v>
      </c>
      <c r="AG97" s="395">
        <f t="shared" ca="1" si="104"/>
        <v>0</v>
      </c>
      <c r="AH97" s="395">
        <f t="shared" ca="1" si="104"/>
        <v>0</v>
      </c>
      <c r="AI97" s="395">
        <f t="shared" ca="1" si="104"/>
        <v>0</v>
      </c>
      <c r="AJ97" s="395">
        <f t="shared" ca="1" si="104"/>
        <v>0</v>
      </c>
      <c r="AK97" s="395">
        <f t="shared" ca="1" si="104"/>
        <v>0</v>
      </c>
      <c r="AL97" s="395">
        <f t="shared" ca="1" si="104"/>
        <v>0</v>
      </c>
      <c r="AM97" s="395">
        <f t="shared" ca="1" si="104"/>
        <v>0</v>
      </c>
      <c r="AN97" s="395">
        <f t="shared" ca="1" si="104"/>
        <v>0</v>
      </c>
      <c r="AO97" s="395">
        <f t="shared" ca="1" si="104"/>
        <v>1678090.7768322229</v>
      </c>
      <c r="AP97" s="395">
        <f t="shared" ca="1" si="104"/>
        <v>0</v>
      </c>
      <c r="AQ97" s="395">
        <f t="shared" ca="1" si="104"/>
        <v>0</v>
      </c>
      <c r="AR97" s="395">
        <f t="shared" ca="1" si="104"/>
        <v>0</v>
      </c>
      <c r="AS97" s="395">
        <f t="shared" ca="1" si="104"/>
        <v>0</v>
      </c>
      <c r="AT97" s="395">
        <f t="shared" ca="1" si="104"/>
        <v>0</v>
      </c>
      <c r="AU97" s="395">
        <f t="shared" ca="1" si="104"/>
        <v>0</v>
      </c>
      <c r="AV97" s="395">
        <f t="shared" ca="1" si="104"/>
        <v>0</v>
      </c>
      <c r="AW97" s="395">
        <f t="shared" ca="1" si="104"/>
        <v>0</v>
      </c>
      <c r="AX97" s="395">
        <f t="shared" ca="1" si="104"/>
        <v>0</v>
      </c>
      <c r="AY97" s="395">
        <f t="shared" ca="1" si="104"/>
        <v>0</v>
      </c>
      <c r="AZ97" s="395">
        <f t="shared" ca="1" si="104"/>
        <v>0</v>
      </c>
      <c r="BA97" s="395">
        <f t="shared" ca="1" si="104"/>
        <v>0</v>
      </c>
      <c r="BB97" s="395">
        <f t="shared" ca="1" si="104"/>
        <v>0</v>
      </c>
      <c r="BC97" s="395">
        <f t="shared" ca="1" si="104"/>
        <v>0</v>
      </c>
      <c r="BD97" s="395">
        <f t="shared" ca="1" si="104"/>
        <v>0</v>
      </c>
      <c r="BE97" s="395">
        <f t="shared" ca="1" si="104"/>
        <v>0</v>
      </c>
      <c r="BF97" s="395">
        <f t="shared" ca="1" si="104"/>
        <v>0</v>
      </c>
      <c r="BG97" s="395">
        <f t="shared" ca="1" si="104"/>
        <v>0</v>
      </c>
      <c r="BH97" s="395">
        <f t="shared" ca="1" si="104"/>
        <v>0</v>
      </c>
      <c r="BI97" s="395">
        <f t="shared" ca="1" si="104"/>
        <v>0</v>
      </c>
      <c r="BJ97" s="395">
        <f t="shared" ca="1" si="104"/>
        <v>0</v>
      </c>
      <c r="BK97" s="395">
        <f t="shared" ca="1" si="104"/>
        <v>0</v>
      </c>
      <c r="BL97" s="395">
        <f t="shared" ca="1" si="104"/>
        <v>0</v>
      </c>
      <c r="BM97" s="395">
        <f t="shared" ca="1" si="104"/>
        <v>0</v>
      </c>
      <c r="BN97" s="395">
        <f t="shared" ca="1" si="104"/>
        <v>0</v>
      </c>
      <c r="BO97" s="395">
        <f t="shared" ca="1" si="104"/>
        <v>0</v>
      </c>
      <c r="BP97" s="395">
        <f t="shared" ca="1" si="104"/>
        <v>0</v>
      </c>
      <c r="BQ97" s="395">
        <f t="shared" ca="1" si="104"/>
        <v>0</v>
      </c>
      <c r="BR97" s="395">
        <f t="shared" ref="BR97:CK97" ca="1" si="105">-BR94</f>
        <v>0</v>
      </c>
      <c r="BS97" s="395">
        <f t="shared" ca="1" si="105"/>
        <v>0</v>
      </c>
      <c r="BT97" s="395">
        <f t="shared" ca="1" si="105"/>
        <v>0</v>
      </c>
      <c r="BU97" s="395">
        <f t="shared" ca="1" si="105"/>
        <v>0</v>
      </c>
      <c r="BV97" s="395">
        <f t="shared" ca="1" si="105"/>
        <v>0</v>
      </c>
      <c r="BW97" s="395">
        <f t="shared" ca="1" si="105"/>
        <v>0</v>
      </c>
      <c r="BX97" s="395">
        <f t="shared" ca="1" si="105"/>
        <v>0</v>
      </c>
      <c r="BY97" s="395">
        <f t="shared" ca="1" si="105"/>
        <v>0</v>
      </c>
      <c r="BZ97" s="395">
        <f t="shared" ca="1" si="105"/>
        <v>0</v>
      </c>
      <c r="CA97" s="395">
        <f t="shared" ca="1" si="105"/>
        <v>0</v>
      </c>
      <c r="CB97" s="395">
        <f t="shared" ca="1" si="105"/>
        <v>0</v>
      </c>
      <c r="CC97" s="395">
        <f t="shared" ca="1" si="105"/>
        <v>0</v>
      </c>
      <c r="CD97" s="395">
        <f t="shared" ca="1" si="105"/>
        <v>0</v>
      </c>
      <c r="CE97" s="395">
        <f t="shared" ca="1" si="105"/>
        <v>0</v>
      </c>
      <c r="CF97" s="395">
        <f t="shared" ca="1" si="105"/>
        <v>0</v>
      </c>
      <c r="CG97" s="395">
        <f t="shared" ca="1" si="105"/>
        <v>0</v>
      </c>
      <c r="CH97" s="395">
        <f t="shared" ca="1" si="105"/>
        <v>0</v>
      </c>
      <c r="CI97" s="395">
        <f t="shared" ca="1" si="105"/>
        <v>0</v>
      </c>
      <c r="CJ97" s="395">
        <f t="shared" ca="1" si="105"/>
        <v>0</v>
      </c>
      <c r="CK97" s="395">
        <f t="shared" ca="1" si="105"/>
        <v>0</v>
      </c>
      <c r="CL97" s="133" t="s">
        <v>15</v>
      </c>
    </row>
    <row r="98" spans="2:90" s="133" customFormat="1" ht="15" customHeight="1" outlineLevel="1" x14ac:dyDescent="0.2">
      <c r="B98" s="133" t="s">
        <v>284</v>
      </c>
      <c r="E98" s="395">
        <f t="shared" ref="E98:AJ98" ca="1" si="106">E97*Tier3_SponsorPctCF_Case2/Tier3_CoInvestorPctCF_Case2</f>
        <v>0</v>
      </c>
      <c r="F98" s="395">
        <f t="shared" ca="1" si="106"/>
        <v>0</v>
      </c>
      <c r="G98" s="395">
        <f t="shared" ca="1" si="106"/>
        <v>0</v>
      </c>
      <c r="H98" s="395">
        <f t="shared" ca="1" si="106"/>
        <v>0</v>
      </c>
      <c r="I98" s="395">
        <f t="shared" ca="1" si="106"/>
        <v>0</v>
      </c>
      <c r="J98" s="395">
        <f t="shared" ca="1" si="106"/>
        <v>0</v>
      </c>
      <c r="K98" s="395">
        <f t="shared" ca="1" si="106"/>
        <v>0</v>
      </c>
      <c r="L98" s="395">
        <f t="shared" ca="1" si="106"/>
        <v>0</v>
      </c>
      <c r="M98" s="395">
        <f t="shared" ca="1" si="106"/>
        <v>0</v>
      </c>
      <c r="N98" s="395">
        <f t="shared" ca="1" si="106"/>
        <v>0</v>
      </c>
      <c r="O98" s="395">
        <f t="shared" ca="1" si="106"/>
        <v>0</v>
      </c>
      <c r="P98" s="395">
        <f t="shared" ca="1" si="106"/>
        <v>0</v>
      </c>
      <c r="Q98" s="395">
        <f t="shared" ca="1" si="106"/>
        <v>0</v>
      </c>
      <c r="R98" s="395">
        <f t="shared" ca="1" si="106"/>
        <v>0</v>
      </c>
      <c r="S98" s="395">
        <f t="shared" ca="1" si="106"/>
        <v>0</v>
      </c>
      <c r="T98" s="395">
        <f t="shared" ca="1" si="106"/>
        <v>0</v>
      </c>
      <c r="U98" s="395">
        <f t="shared" ca="1" si="106"/>
        <v>0</v>
      </c>
      <c r="V98" s="395">
        <f t="shared" ca="1" si="106"/>
        <v>0</v>
      </c>
      <c r="W98" s="395">
        <f t="shared" ca="1" si="106"/>
        <v>0</v>
      </c>
      <c r="X98" s="395">
        <f t="shared" ca="1" si="106"/>
        <v>0</v>
      </c>
      <c r="Y98" s="395">
        <f t="shared" ca="1" si="106"/>
        <v>0</v>
      </c>
      <c r="Z98" s="395">
        <f t="shared" ca="1" si="106"/>
        <v>0</v>
      </c>
      <c r="AA98" s="395">
        <f t="shared" ca="1" si="106"/>
        <v>0</v>
      </c>
      <c r="AB98" s="395">
        <f t="shared" ca="1" si="106"/>
        <v>0</v>
      </c>
      <c r="AC98" s="395">
        <f t="shared" ca="1" si="106"/>
        <v>0</v>
      </c>
      <c r="AD98" s="395">
        <f t="shared" ca="1" si="106"/>
        <v>0</v>
      </c>
      <c r="AE98" s="395">
        <f t="shared" ca="1" si="106"/>
        <v>0</v>
      </c>
      <c r="AF98" s="395">
        <f t="shared" ca="1" si="106"/>
        <v>0</v>
      </c>
      <c r="AG98" s="395">
        <f t="shared" ca="1" si="106"/>
        <v>0</v>
      </c>
      <c r="AH98" s="395">
        <f t="shared" ca="1" si="106"/>
        <v>0</v>
      </c>
      <c r="AI98" s="395">
        <f t="shared" ca="1" si="106"/>
        <v>0</v>
      </c>
      <c r="AJ98" s="395">
        <f t="shared" ca="1" si="106"/>
        <v>0</v>
      </c>
      <c r="AK98" s="395">
        <f t="shared" ref="AK98:BP98" ca="1" si="107">AK97*Tier3_SponsorPctCF_Case2/Tier3_CoInvestorPctCF_Case2</f>
        <v>0</v>
      </c>
      <c r="AL98" s="395">
        <f t="shared" ca="1" si="107"/>
        <v>0</v>
      </c>
      <c r="AM98" s="395">
        <f t="shared" ca="1" si="107"/>
        <v>0</v>
      </c>
      <c r="AN98" s="395">
        <f t="shared" ca="1" si="107"/>
        <v>0</v>
      </c>
      <c r="AO98" s="395">
        <f t="shared" ca="1" si="107"/>
        <v>1678090.7768322229</v>
      </c>
      <c r="AP98" s="395">
        <f t="shared" ca="1" si="107"/>
        <v>0</v>
      </c>
      <c r="AQ98" s="395">
        <f t="shared" ca="1" si="107"/>
        <v>0</v>
      </c>
      <c r="AR98" s="395">
        <f t="shared" ca="1" si="107"/>
        <v>0</v>
      </c>
      <c r="AS98" s="395">
        <f t="shared" ca="1" si="107"/>
        <v>0</v>
      </c>
      <c r="AT98" s="395">
        <f t="shared" ca="1" si="107"/>
        <v>0</v>
      </c>
      <c r="AU98" s="395">
        <f t="shared" ca="1" si="107"/>
        <v>0</v>
      </c>
      <c r="AV98" s="395">
        <f t="shared" ca="1" si="107"/>
        <v>0</v>
      </c>
      <c r="AW98" s="395">
        <f t="shared" ca="1" si="107"/>
        <v>0</v>
      </c>
      <c r="AX98" s="395">
        <f t="shared" ca="1" si="107"/>
        <v>0</v>
      </c>
      <c r="AY98" s="395">
        <f t="shared" ca="1" si="107"/>
        <v>0</v>
      </c>
      <c r="AZ98" s="395">
        <f t="shared" ca="1" si="107"/>
        <v>0</v>
      </c>
      <c r="BA98" s="395">
        <f t="shared" ca="1" si="107"/>
        <v>0</v>
      </c>
      <c r="BB98" s="395">
        <f t="shared" ca="1" si="107"/>
        <v>0</v>
      </c>
      <c r="BC98" s="395">
        <f t="shared" ca="1" si="107"/>
        <v>0</v>
      </c>
      <c r="BD98" s="395">
        <f t="shared" ca="1" si="107"/>
        <v>0</v>
      </c>
      <c r="BE98" s="395">
        <f t="shared" ca="1" si="107"/>
        <v>0</v>
      </c>
      <c r="BF98" s="395">
        <f t="shared" ca="1" si="107"/>
        <v>0</v>
      </c>
      <c r="BG98" s="395">
        <f t="shared" ca="1" si="107"/>
        <v>0</v>
      </c>
      <c r="BH98" s="395">
        <f t="shared" ca="1" si="107"/>
        <v>0</v>
      </c>
      <c r="BI98" s="395">
        <f t="shared" ca="1" si="107"/>
        <v>0</v>
      </c>
      <c r="BJ98" s="395">
        <f t="shared" ca="1" si="107"/>
        <v>0</v>
      </c>
      <c r="BK98" s="395">
        <f t="shared" ca="1" si="107"/>
        <v>0</v>
      </c>
      <c r="BL98" s="395">
        <f t="shared" ca="1" si="107"/>
        <v>0</v>
      </c>
      <c r="BM98" s="395">
        <f t="shared" ca="1" si="107"/>
        <v>0</v>
      </c>
      <c r="BN98" s="395">
        <f t="shared" ca="1" si="107"/>
        <v>0</v>
      </c>
      <c r="BO98" s="395">
        <f t="shared" ca="1" si="107"/>
        <v>0</v>
      </c>
      <c r="BP98" s="395">
        <f t="shared" ca="1" si="107"/>
        <v>0</v>
      </c>
      <c r="BQ98" s="395">
        <f t="shared" ref="BQ98:CK98" ca="1" si="108">BQ97*Tier3_SponsorPctCF_Case2/Tier3_CoInvestorPctCF_Case2</f>
        <v>0</v>
      </c>
      <c r="BR98" s="395">
        <f t="shared" ca="1" si="108"/>
        <v>0</v>
      </c>
      <c r="BS98" s="395">
        <f t="shared" ca="1" si="108"/>
        <v>0</v>
      </c>
      <c r="BT98" s="395">
        <f t="shared" ca="1" si="108"/>
        <v>0</v>
      </c>
      <c r="BU98" s="395">
        <f t="shared" ca="1" si="108"/>
        <v>0</v>
      </c>
      <c r="BV98" s="395">
        <f t="shared" ca="1" si="108"/>
        <v>0</v>
      </c>
      <c r="BW98" s="395">
        <f t="shared" ca="1" si="108"/>
        <v>0</v>
      </c>
      <c r="BX98" s="395">
        <f t="shared" ca="1" si="108"/>
        <v>0</v>
      </c>
      <c r="BY98" s="395">
        <f t="shared" ca="1" si="108"/>
        <v>0</v>
      </c>
      <c r="BZ98" s="395">
        <f t="shared" ca="1" si="108"/>
        <v>0</v>
      </c>
      <c r="CA98" s="395">
        <f t="shared" ca="1" si="108"/>
        <v>0</v>
      </c>
      <c r="CB98" s="395">
        <f t="shared" ca="1" si="108"/>
        <v>0</v>
      </c>
      <c r="CC98" s="395">
        <f t="shared" ca="1" si="108"/>
        <v>0</v>
      </c>
      <c r="CD98" s="395">
        <f t="shared" ca="1" si="108"/>
        <v>0</v>
      </c>
      <c r="CE98" s="395">
        <f t="shared" ca="1" si="108"/>
        <v>0</v>
      </c>
      <c r="CF98" s="395">
        <f t="shared" ca="1" si="108"/>
        <v>0</v>
      </c>
      <c r="CG98" s="395">
        <f t="shared" ca="1" si="108"/>
        <v>0</v>
      </c>
      <c r="CH98" s="395">
        <f t="shared" ca="1" si="108"/>
        <v>0</v>
      </c>
      <c r="CI98" s="395">
        <f t="shared" ca="1" si="108"/>
        <v>0</v>
      </c>
      <c r="CJ98" s="395">
        <f t="shared" ca="1" si="108"/>
        <v>0</v>
      </c>
      <c r="CK98" s="395">
        <f t="shared" ca="1" si="108"/>
        <v>0</v>
      </c>
      <c r="CL98" s="133" t="s">
        <v>15</v>
      </c>
    </row>
    <row r="99" spans="2:90" s="133" customFormat="1" ht="15" customHeight="1" outlineLevel="1" x14ac:dyDescent="0.2">
      <c r="B99" s="133" t="s">
        <v>30</v>
      </c>
      <c r="E99" s="395">
        <f ca="1">SUM(E97:E98)</f>
        <v>0</v>
      </c>
      <c r="F99" s="395">
        <f t="shared" ref="F99:BQ99" ca="1" si="109">SUM(F97:F98)</f>
        <v>0</v>
      </c>
      <c r="G99" s="395">
        <f t="shared" ca="1" si="109"/>
        <v>0</v>
      </c>
      <c r="H99" s="395">
        <f t="shared" ca="1" si="109"/>
        <v>0</v>
      </c>
      <c r="I99" s="395">
        <f t="shared" ca="1" si="109"/>
        <v>0</v>
      </c>
      <c r="J99" s="395">
        <f t="shared" ca="1" si="109"/>
        <v>0</v>
      </c>
      <c r="K99" s="395">
        <f t="shared" ca="1" si="109"/>
        <v>0</v>
      </c>
      <c r="L99" s="395">
        <f t="shared" ca="1" si="109"/>
        <v>0</v>
      </c>
      <c r="M99" s="395">
        <f t="shared" ca="1" si="109"/>
        <v>0</v>
      </c>
      <c r="N99" s="395">
        <f t="shared" ca="1" si="109"/>
        <v>0</v>
      </c>
      <c r="O99" s="395">
        <f t="shared" ca="1" si="109"/>
        <v>0</v>
      </c>
      <c r="P99" s="395">
        <f t="shared" ca="1" si="109"/>
        <v>0</v>
      </c>
      <c r="Q99" s="395">
        <f t="shared" ca="1" si="109"/>
        <v>0</v>
      </c>
      <c r="R99" s="395">
        <f t="shared" ca="1" si="109"/>
        <v>0</v>
      </c>
      <c r="S99" s="395">
        <f t="shared" ca="1" si="109"/>
        <v>0</v>
      </c>
      <c r="T99" s="395">
        <f t="shared" ca="1" si="109"/>
        <v>0</v>
      </c>
      <c r="U99" s="395">
        <f t="shared" ca="1" si="109"/>
        <v>0</v>
      </c>
      <c r="V99" s="395">
        <f t="shared" ca="1" si="109"/>
        <v>0</v>
      </c>
      <c r="W99" s="395">
        <f t="shared" ca="1" si="109"/>
        <v>0</v>
      </c>
      <c r="X99" s="395">
        <f t="shared" ca="1" si="109"/>
        <v>0</v>
      </c>
      <c r="Y99" s="395">
        <f t="shared" ca="1" si="109"/>
        <v>0</v>
      </c>
      <c r="Z99" s="395">
        <f t="shared" ca="1" si="109"/>
        <v>0</v>
      </c>
      <c r="AA99" s="395">
        <f t="shared" ca="1" si="109"/>
        <v>0</v>
      </c>
      <c r="AB99" s="395">
        <f t="shared" ca="1" si="109"/>
        <v>0</v>
      </c>
      <c r="AC99" s="395">
        <f t="shared" ca="1" si="109"/>
        <v>0</v>
      </c>
      <c r="AD99" s="395">
        <f t="shared" ca="1" si="109"/>
        <v>0</v>
      </c>
      <c r="AE99" s="395">
        <f t="shared" ca="1" si="109"/>
        <v>0</v>
      </c>
      <c r="AF99" s="395">
        <f t="shared" ca="1" si="109"/>
        <v>0</v>
      </c>
      <c r="AG99" s="395">
        <f t="shared" ca="1" si="109"/>
        <v>0</v>
      </c>
      <c r="AH99" s="395">
        <f t="shared" ca="1" si="109"/>
        <v>0</v>
      </c>
      <c r="AI99" s="395">
        <f t="shared" ca="1" si="109"/>
        <v>0</v>
      </c>
      <c r="AJ99" s="395">
        <f t="shared" ca="1" si="109"/>
        <v>0</v>
      </c>
      <c r="AK99" s="395">
        <f t="shared" ca="1" si="109"/>
        <v>0</v>
      </c>
      <c r="AL99" s="395">
        <f t="shared" ca="1" si="109"/>
        <v>0</v>
      </c>
      <c r="AM99" s="395">
        <f t="shared" ca="1" si="109"/>
        <v>0</v>
      </c>
      <c r="AN99" s="395">
        <f t="shared" ca="1" si="109"/>
        <v>0</v>
      </c>
      <c r="AO99" s="395">
        <f t="shared" ca="1" si="109"/>
        <v>3356181.5536644459</v>
      </c>
      <c r="AP99" s="395">
        <f t="shared" ca="1" si="109"/>
        <v>0</v>
      </c>
      <c r="AQ99" s="395">
        <f t="shared" ca="1" si="109"/>
        <v>0</v>
      </c>
      <c r="AR99" s="395">
        <f t="shared" ca="1" si="109"/>
        <v>0</v>
      </c>
      <c r="AS99" s="395">
        <f t="shared" ca="1" si="109"/>
        <v>0</v>
      </c>
      <c r="AT99" s="395">
        <f t="shared" ca="1" si="109"/>
        <v>0</v>
      </c>
      <c r="AU99" s="395">
        <f t="shared" ca="1" si="109"/>
        <v>0</v>
      </c>
      <c r="AV99" s="395">
        <f t="shared" ca="1" si="109"/>
        <v>0</v>
      </c>
      <c r="AW99" s="395">
        <f t="shared" ca="1" si="109"/>
        <v>0</v>
      </c>
      <c r="AX99" s="395">
        <f t="shared" ca="1" si="109"/>
        <v>0</v>
      </c>
      <c r="AY99" s="395">
        <f t="shared" ca="1" si="109"/>
        <v>0</v>
      </c>
      <c r="AZ99" s="395">
        <f t="shared" ca="1" si="109"/>
        <v>0</v>
      </c>
      <c r="BA99" s="395">
        <f t="shared" ca="1" si="109"/>
        <v>0</v>
      </c>
      <c r="BB99" s="395">
        <f t="shared" ca="1" si="109"/>
        <v>0</v>
      </c>
      <c r="BC99" s="395">
        <f t="shared" ca="1" si="109"/>
        <v>0</v>
      </c>
      <c r="BD99" s="395">
        <f t="shared" ca="1" si="109"/>
        <v>0</v>
      </c>
      <c r="BE99" s="395">
        <f t="shared" ca="1" si="109"/>
        <v>0</v>
      </c>
      <c r="BF99" s="395">
        <f t="shared" ca="1" si="109"/>
        <v>0</v>
      </c>
      <c r="BG99" s="395">
        <f t="shared" ca="1" si="109"/>
        <v>0</v>
      </c>
      <c r="BH99" s="395">
        <f t="shared" ca="1" si="109"/>
        <v>0</v>
      </c>
      <c r="BI99" s="395">
        <f t="shared" ca="1" si="109"/>
        <v>0</v>
      </c>
      <c r="BJ99" s="395">
        <f t="shared" ca="1" si="109"/>
        <v>0</v>
      </c>
      <c r="BK99" s="395">
        <f t="shared" ca="1" si="109"/>
        <v>0</v>
      </c>
      <c r="BL99" s="395">
        <f t="shared" ca="1" si="109"/>
        <v>0</v>
      </c>
      <c r="BM99" s="395">
        <f t="shared" ca="1" si="109"/>
        <v>0</v>
      </c>
      <c r="BN99" s="395">
        <f t="shared" ca="1" si="109"/>
        <v>0</v>
      </c>
      <c r="BO99" s="395">
        <f t="shared" ca="1" si="109"/>
        <v>0</v>
      </c>
      <c r="BP99" s="395">
        <f t="shared" ca="1" si="109"/>
        <v>0</v>
      </c>
      <c r="BQ99" s="395">
        <f t="shared" ca="1" si="109"/>
        <v>0</v>
      </c>
      <c r="BR99" s="395">
        <f t="shared" ref="BR99:CK99" ca="1" si="110">SUM(BR97:BR98)</f>
        <v>0</v>
      </c>
      <c r="BS99" s="395">
        <f t="shared" ca="1" si="110"/>
        <v>0</v>
      </c>
      <c r="BT99" s="395">
        <f t="shared" ca="1" si="110"/>
        <v>0</v>
      </c>
      <c r="BU99" s="395">
        <f t="shared" ca="1" si="110"/>
        <v>0</v>
      </c>
      <c r="BV99" s="395">
        <f t="shared" ca="1" si="110"/>
        <v>0</v>
      </c>
      <c r="BW99" s="395">
        <f t="shared" ca="1" si="110"/>
        <v>0</v>
      </c>
      <c r="BX99" s="395">
        <f t="shared" ca="1" si="110"/>
        <v>0</v>
      </c>
      <c r="BY99" s="395">
        <f t="shared" ca="1" si="110"/>
        <v>0</v>
      </c>
      <c r="BZ99" s="395">
        <f t="shared" ca="1" si="110"/>
        <v>0</v>
      </c>
      <c r="CA99" s="395">
        <f t="shared" ca="1" si="110"/>
        <v>0</v>
      </c>
      <c r="CB99" s="395">
        <f t="shared" ca="1" si="110"/>
        <v>0</v>
      </c>
      <c r="CC99" s="395">
        <f t="shared" ca="1" si="110"/>
        <v>0</v>
      </c>
      <c r="CD99" s="395">
        <f t="shared" ca="1" si="110"/>
        <v>0</v>
      </c>
      <c r="CE99" s="395">
        <f t="shared" ca="1" si="110"/>
        <v>0</v>
      </c>
      <c r="CF99" s="395">
        <f t="shared" ca="1" si="110"/>
        <v>0</v>
      </c>
      <c r="CG99" s="395">
        <f t="shared" ca="1" si="110"/>
        <v>0</v>
      </c>
      <c r="CH99" s="395">
        <f t="shared" ca="1" si="110"/>
        <v>0</v>
      </c>
      <c r="CI99" s="395">
        <f t="shared" ca="1" si="110"/>
        <v>0</v>
      </c>
      <c r="CJ99" s="395">
        <f t="shared" ca="1" si="110"/>
        <v>0</v>
      </c>
      <c r="CK99" s="395">
        <f t="shared" ca="1" si="110"/>
        <v>0</v>
      </c>
      <c r="CL99" s="133" t="s">
        <v>15</v>
      </c>
    </row>
    <row r="100" spans="2:90" s="133" customFormat="1" ht="15" customHeight="1" outlineLevel="1" x14ac:dyDescent="0.2"/>
    <row r="101" spans="2:90" s="133" customFormat="1" ht="15" customHeight="1" x14ac:dyDescent="0.2">
      <c r="B101" s="133" t="s">
        <v>267</v>
      </c>
      <c r="E101" s="395">
        <f ca="1">E73+E97</f>
        <v>-3358172.9905319572</v>
      </c>
      <c r="F101" s="395">
        <f t="shared" ref="F101:BQ101" ca="1" si="111">F73+F97</f>
        <v>-128422.48084919996</v>
      </c>
      <c r="G101" s="395">
        <f t="shared" ca="1" si="111"/>
        <v>-128506.5682378714</v>
      </c>
      <c r="H101" s="395">
        <f t="shared" ca="1" si="111"/>
        <v>-158833.09271914329</v>
      </c>
      <c r="I101" s="395">
        <f t="shared" ca="1" si="111"/>
        <v>-288212.83321714279</v>
      </c>
      <c r="J101" s="395">
        <f t="shared" ca="1" si="111"/>
        <v>-244261.56490285712</v>
      </c>
      <c r="K101" s="395">
        <f t="shared" ca="1" si="111"/>
        <v>-413184.54954857146</v>
      </c>
      <c r="L101" s="395">
        <f t="shared" ca="1" si="111"/>
        <v>-631013.1134575489</v>
      </c>
      <c r="M101" s="395">
        <f t="shared" ca="1" si="111"/>
        <v>-631431.44036652637</v>
      </c>
      <c r="N101" s="395">
        <f t="shared" ca="1" si="111"/>
        <v>-631849.76727550384</v>
      </c>
      <c r="O101" s="395">
        <f t="shared" ca="1" si="111"/>
        <v>-632268.09418448119</v>
      </c>
      <c r="P101" s="395">
        <f t="shared" ca="1" si="111"/>
        <v>-632686.42109345866</v>
      </c>
      <c r="Q101" s="395">
        <f t="shared" ca="1" si="111"/>
        <v>-633104.74800243613</v>
      </c>
      <c r="R101" s="395">
        <f t="shared" ca="1" si="111"/>
        <v>-974044.22176741331</v>
      </c>
      <c r="S101" s="395">
        <f t="shared" ca="1" si="111"/>
        <v>-1079788.5309323911</v>
      </c>
      <c r="T101" s="395">
        <f t="shared" ca="1" si="111"/>
        <v>-475749.59246165282</v>
      </c>
      <c r="U101" s="395">
        <f t="shared" ca="1" si="111"/>
        <v>-7287.0918000000011</v>
      </c>
      <c r="V101" s="395">
        <f t="shared" ca="1" si="111"/>
        <v>-7287.0918000000011</v>
      </c>
      <c r="W101" s="395">
        <f t="shared" ca="1" si="111"/>
        <v>-7287.0918000000011</v>
      </c>
      <c r="X101" s="395">
        <f t="shared" ca="1" si="111"/>
        <v>-7287.0918000000011</v>
      </c>
      <c r="Y101" s="395">
        <f t="shared" ca="1" si="111"/>
        <v>-7287.0918000000011</v>
      </c>
      <c r="Z101" s="395">
        <f t="shared" ca="1" si="111"/>
        <v>-7287.0918000000011</v>
      </c>
      <c r="AA101" s="395">
        <f t="shared" ca="1" si="111"/>
        <v>-7287.0918000000011</v>
      </c>
      <c r="AB101" s="395">
        <f t="shared" ca="1" si="111"/>
        <v>-7287.0918000000011</v>
      </c>
      <c r="AC101" s="395">
        <f t="shared" ca="1" si="111"/>
        <v>-7287.0918000000011</v>
      </c>
      <c r="AD101" s="395">
        <f t="shared" ca="1" si="111"/>
        <v>-7287.0918000000011</v>
      </c>
      <c r="AE101" s="395">
        <f t="shared" ca="1" si="111"/>
        <v>-7287.0918000000011</v>
      </c>
      <c r="AF101" s="395">
        <f t="shared" ca="1" si="111"/>
        <v>-7287.0918000000011</v>
      </c>
      <c r="AG101" s="395">
        <f t="shared" ca="1" si="111"/>
        <v>-7287.0918000000011</v>
      </c>
      <c r="AH101" s="395">
        <f t="shared" ca="1" si="111"/>
        <v>-7287.0918000000011</v>
      </c>
      <c r="AI101" s="395">
        <f t="shared" ca="1" si="111"/>
        <v>-7287.0918000000011</v>
      </c>
      <c r="AJ101" s="395">
        <f t="shared" ca="1" si="111"/>
        <v>-7287.0918000000011</v>
      </c>
      <c r="AK101" s="395">
        <f t="shared" ca="1" si="111"/>
        <v>-7287.0918000000011</v>
      </c>
      <c r="AL101" s="395">
        <f t="shared" ca="1" si="111"/>
        <v>-7287.0918000000011</v>
      </c>
      <c r="AM101" s="395">
        <f t="shared" ca="1" si="111"/>
        <v>-7287.0918000000011</v>
      </c>
      <c r="AN101" s="395">
        <f t="shared" ca="1" si="111"/>
        <v>-7287.0918000000011</v>
      </c>
      <c r="AO101" s="395">
        <f t="shared" ca="1" si="111"/>
        <v>15662180.583767409</v>
      </c>
      <c r="AP101" s="395">
        <f t="shared" ca="1" si="111"/>
        <v>0</v>
      </c>
      <c r="AQ101" s="395">
        <f t="shared" ca="1" si="111"/>
        <v>0</v>
      </c>
      <c r="AR101" s="395">
        <f t="shared" ca="1" si="111"/>
        <v>0</v>
      </c>
      <c r="AS101" s="395">
        <f t="shared" ca="1" si="111"/>
        <v>0</v>
      </c>
      <c r="AT101" s="395">
        <f t="shared" ca="1" si="111"/>
        <v>0</v>
      </c>
      <c r="AU101" s="395">
        <f t="shared" ca="1" si="111"/>
        <v>0</v>
      </c>
      <c r="AV101" s="395">
        <f t="shared" ca="1" si="111"/>
        <v>0</v>
      </c>
      <c r="AW101" s="395">
        <f t="shared" ca="1" si="111"/>
        <v>0</v>
      </c>
      <c r="AX101" s="395">
        <f t="shared" ca="1" si="111"/>
        <v>0</v>
      </c>
      <c r="AY101" s="395">
        <f t="shared" ca="1" si="111"/>
        <v>0</v>
      </c>
      <c r="AZ101" s="395">
        <f t="shared" ca="1" si="111"/>
        <v>0</v>
      </c>
      <c r="BA101" s="395">
        <f t="shared" ca="1" si="111"/>
        <v>0</v>
      </c>
      <c r="BB101" s="395">
        <f t="shared" ca="1" si="111"/>
        <v>0</v>
      </c>
      <c r="BC101" s="395">
        <f t="shared" ca="1" si="111"/>
        <v>0</v>
      </c>
      <c r="BD101" s="395">
        <f t="shared" ca="1" si="111"/>
        <v>0</v>
      </c>
      <c r="BE101" s="395">
        <f t="shared" ca="1" si="111"/>
        <v>0</v>
      </c>
      <c r="BF101" s="395">
        <f t="shared" ca="1" si="111"/>
        <v>0</v>
      </c>
      <c r="BG101" s="395">
        <f t="shared" ca="1" si="111"/>
        <v>0</v>
      </c>
      <c r="BH101" s="395">
        <f t="shared" ca="1" si="111"/>
        <v>0</v>
      </c>
      <c r="BI101" s="395">
        <f t="shared" ca="1" si="111"/>
        <v>0</v>
      </c>
      <c r="BJ101" s="395">
        <f t="shared" ca="1" si="111"/>
        <v>0</v>
      </c>
      <c r="BK101" s="395">
        <f t="shared" ca="1" si="111"/>
        <v>0</v>
      </c>
      <c r="BL101" s="395">
        <f t="shared" ca="1" si="111"/>
        <v>0</v>
      </c>
      <c r="BM101" s="395">
        <f t="shared" ca="1" si="111"/>
        <v>0</v>
      </c>
      <c r="BN101" s="395">
        <f t="shared" ca="1" si="111"/>
        <v>0</v>
      </c>
      <c r="BO101" s="395">
        <f t="shared" ca="1" si="111"/>
        <v>0</v>
      </c>
      <c r="BP101" s="395">
        <f t="shared" ca="1" si="111"/>
        <v>0</v>
      </c>
      <c r="BQ101" s="395">
        <f t="shared" ca="1" si="111"/>
        <v>0</v>
      </c>
      <c r="BR101" s="395">
        <f t="shared" ref="BR101:CK101" ca="1" si="112">BR73+BR97</f>
        <v>0</v>
      </c>
      <c r="BS101" s="395">
        <f t="shared" ca="1" si="112"/>
        <v>0</v>
      </c>
      <c r="BT101" s="395">
        <f t="shared" ca="1" si="112"/>
        <v>0</v>
      </c>
      <c r="BU101" s="395">
        <f t="shared" ca="1" si="112"/>
        <v>0</v>
      </c>
      <c r="BV101" s="395">
        <f t="shared" ca="1" si="112"/>
        <v>0</v>
      </c>
      <c r="BW101" s="395">
        <f t="shared" ca="1" si="112"/>
        <v>0</v>
      </c>
      <c r="BX101" s="395">
        <f t="shared" ca="1" si="112"/>
        <v>0</v>
      </c>
      <c r="BY101" s="395">
        <f t="shared" ca="1" si="112"/>
        <v>0</v>
      </c>
      <c r="BZ101" s="395">
        <f t="shared" ca="1" si="112"/>
        <v>0</v>
      </c>
      <c r="CA101" s="395">
        <f t="shared" ca="1" si="112"/>
        <v>0</v>
      </c>
      <c r="CB101" s="395">
        <f t="shared" ca="1" si="112"/>
        <v>0</v>
      </c>
      <c r="CC101" s="395">
        <f t="shared" ca="1" si="112"/>
        <v>0</v>
      </c>
      <c r="CD101" s="395">
        <f t="shared" ca="1" si="112"/>
        <v>0</v>
      </c>
      <c r="CE101" s="395">
        <f t="shared" ca="1" si="112"/>
        <v>0</v>
      </c>
      <c r="CF101" s="395">
        <f t="shared" ca="1" si="112"/>
        <v>0</v>
      </c>
      <c r="CG101" s="395">
        <f t="shared" ca="1" si="112"/>
        <v>0</v>
      </c>
      <c r="CH101" s="395">
        <f t="shared" ca="1" si="112"/>
        <v>0</v>
      </c>
      <c r="CI101" s="395">
        <f t="shared" ca="1" si="112"/>
        <v>0</v>
      </c>
      <c r="CJ101" s="395">
        <f t="shared" ca="1" si="112"/>
        <v>0</v>
      </c>
      <c r="CK101" s="395">
        <f t="shared" ca="1" si="112"/>
        <v>0</v>
      </c>
      <c r="CL101" s="133" t="s">
        <v>15</v>
      </c>
    </row>
    <row r="102" spans="2:90" s="133" customFormat="1" ht="15" customHeight="1" x14ac:dyDescent="0.2">
      <c r="B102" s="133" t="s">
        <v>268</v>
      </c>
      <c r="E102" s="395">
        <f t="shared" ref="E102:E103" ca="1" si="113">E74+E98</f>
        <v>-373130.33228132862</v>
      </c>
      <c r="F102" s="395">
        <f t="shared" ref="F102:BQ102" ca="1" si="114">F74+F98</f>
        <v>-14269.164538799996</v>
      </c>
      <c r="G102" s="395">
        <f t="shared" ca="1" si="114"/>
        <v>-14278.50758198571</v>
      </c>
      <c r="H102" s="395">
        <f t="shared" ca="1" si="114"/>
        <v>-17648.121413238143</v>
      </c>
      <c r="I102" s="395">
        <f t="shared" ca="1" si="114"/>
        <v>-32023.648135238091</v>
      </c>
      <c r="J102" s="395">
        <f t="shared" ca="1" si="114"/>
        <v>-27140.173878095236</v>
      </c>
      <c r="K102" s="395">
        <f t="shared" ca="1" si="114"/>
        <v>-45909.394394285715</v>
      </c>
      <c r="L102" s="395">
        <f t="shared" ca="1" si="114"/>
        <v>-70112.568161949879</v>
      </c>
      <c r="M102" s="395">
        <f t="shared" ca="1" si="114"/>
        <v>-70159.048929614044</v>
      </c>
      <c r="N102" s="395">
        <f t="shared" ca="1" si="114"/>
        <v>-70205.529697278209</v>
      </c>
      <c r="O102" s="395">
        <f t="shared" ca="1" si="114"/>
        <v>-70252.010464942359</v>
      </c>
      <c r="P102" s="395">
        <f t="shared" ca="1" si="114"/>
        <v>-70298.49123260651</v>
      </c>
      <c r="Q102" s="395">
        <f t="shared" ca="1" si="114"/>
        <v>-70344.972000270674</v>
      </c>
      <c r="R102" s="395">
        <f t="shared" ca="1" si="114"/>
        <v>-108227.13575193482</v>
      </c>
      <c r="S102" s="395">
        <f t="shared" ca="1" si="114"/>
        <v>-119976.50343693234</v>
      </c>
      <c r="T102" s="395">
        <f t="shared" ca="1" si="114"/>
        <v>-52861.065829072533</v>
      </c>
      <c r="U102" s="395">
        <f t="shared" ca="1" si="114"/>
        <v>-809.6768666666668</v>
      </c>
      <c r="V102" s="395">
        <f t="shared" ca="1" si="114"/>
        <v>-809.6768666666668</v>
      </c>
      <c r="W102" s="395">
        <f t="shared" ca="1" si="114"/>
        <v>-809.6768666666668</v>
      </c>
      <c r="X102" s="395">
        <f t="shared" ca="1" si="114"/>
        <v>-809.6768666666668</v>
      </c>
      <c r="Y102" s="395">
        <f t="shared" ca="1" si="114"/>
        <v>-809.6768666666668</v>
      </c>
      <c r="Z102" s="395">
        <f t="shared" ca="1" si="114"/>
        <v>-809.6768666666668</v>
      </c>
      <c r="AA102" s="395">
        <f t="shared" ca="1" si="114"/>
        <v>-809.6768666666668</v>
      </c>
      <c r="AB102" s="395">
        <f t="shared" ca="1" si="114"/>
        <v>-809.6768666666668</v>
      </c>
      <c r="AC102" s="395">
        <f t="shared" ca="1" si="114"/>
        <v>-809.6768666666668</v>
      </c>
      <c r="AD102" s="395">
        <f t="shared" ca="1" si="114"/>
        <v>-809.6768666666668</v>
      </c>
      <c r="AE102" s="395">
        <f t="shared" ca="1" si="114"/>
        <v>-809.6768666666668</v>
      </c>
      <c r="AF102" s="395">
        <f t="shared" ca="1" si="114"/>
        <v>-809.6768666666668</v>
      </c>
      <c r="AG102" s="395">
        <f t="shared" ca="1" si="114"/>
        <v>-809.6768666666668</v>
      </c>
      <c r="AH102" s="395">
        <f t="shared" ca="1" si="114"/>
        <v>-809.6768666666668</v>
      </c>
      <c r="AI102" s="395">
        <f t="shared" ca="1" si="114"/>
        <v>-809.6768666666668</v>
      </c>
      <c r="AJ102" s="395">
        <f t="shared" ca="1" si="114"/>
        <v>-809.6768666666668</v>
      </c>
      <c r="AK102" s="395">
        <f t="shared" ca="1" si="114"/>
        <v>-809.6768666666668</v>
      </c>
      <c r="AL102" s="395">
        <f t="shared" ca="1" si="114"/>
        <v>-809.6768666666668</v>
      </c>
      <c r="AM102" s="395">
        <f t="shared" ca="1" si="114"/>
        <v>-809.6768666666668</v>
      </c>
      <c r="AN102" s="395">
        <f t="shared" ca="1" si="114"/>
        <v>-809.6768666666668</v>
      </c>
      <c r="AO102" s="395">
        <f t="shared" ca="1" si="114"/>
        <v>3231878.5331583535</v>
      </c>
      <c r="AP102" s="395">
        <f t="shared" ca="1" si="114"/>
        <v>0</v>
      </c>
      <c r="AQ102" s="395">
        <f t="shared" ca="1" si="114"/>
        <v>0</v>
      </c>
      <c r="AR102" s="395">
        <f t="shared" ca="1" si="114"/>
        <v>0</v>
      </c>
      <c r="AS102" s="395">
        <f t="shared" ca="1" si="114"/>
        <v>0</v>
      </c>
      <c r="AT102" s="395">
        <f t="shared" ca="1" si="114"/>
        <v>0</v>
      </c>
      <c r="AU102" s="395">
        <f t="shared" ca="1" si="114"/>
        <v>0</v>
      </c>
      <c r="AV102" s="395">
        <f t="shared" ca="1" si="114"/>
        <v>0</v>
      </c>
      <c r="AW102" s="395">
        <f t="shared" ca="1" si="114"/>
        <v>0</v>
      </c>
      <c r="AX102" s="395">
        <f t="shared" ca="1" si="114"/>
        <v>0</v>
      </c>
      <c r="AY102" s="395">
        <f t="shared" ca="1" si="114"/>
        <v>0</v>
      </c>
      <c r="AZ102" s="395">
        <f t="shared" ca="1" si="114"/>
        <v>0</v>
      </c>
      <c r="BA102" s="395">
        <f t="shared" ca="1" si="114"/>
        <v>0</v>
      </c>
      <c r="BB102" s="395">
        <f t="shared" ca="1" si="114"/>
        <v>0</v>
      </c>
      <c r="BC102" s="395">
        <f t="shared" ca="1" si="114"/>
        <v>0</v>
      </c>
      <c r="BD102" s="395">
        <f t="shared" ca="1" si="114"/>
        <v>0</v>
      </c>
      <c r="BE102" s="395">
        <f t="shared" ca="1" si="114"/>
        <v>0</v>
      </c>
      <c r="BF102" s="395">
        <f t="shared" ca="1" si="114"/>
        <v>0</v>
      </c>
      <c r="BG102" s="395">
        <f t="shared" ca="1" si="114"/>
        <v>0</v>
      </c>
      <c r="BH102" s="395">
        <f t="shared" ca="1" si="114"/>
        <v>0</v>
      </c>
      <c r="BI102" s="395">
        <f t="shared" ca="1" si="114"/>
        <v>0</v>
      </c>
      <c r="BJ102" s="395">
        <f t="shared" ca="1" si="114"/>
        <v>0</v>
      </c>
      <c r="BK102" s="395">
        <f t="shared" ca="1" si="114"/>
        <v>0</v>
      </c>
      <c r="BL102" s="395">
        <f t="shared" ca="1" si="114"/>
        <v>0</v>
      </c>
      <c r="BM102" s="395">
        <f t="shared" ca="1" si="114"/>
        <v>0</v>
      </c>
      <c r="BN102" s="395">
        <f t="shared" ca="1" si="114"/>
        <v>0</v>
      </c>
      <c r="BO102" s="395">
        <f t="shared" ca="1" si="114"/>
        <v>0</v>
      </c>
      <c r="BP102" s="395">
        <f t="shared" ca="1" si="114"/>
        <v>0</v>
      </c>
      <c r="BQ102" s="395">
        <f t="shared" ca="1" si="114"/>
        <v>0</v>
      </c>
      <c r="BR102" s="395">
        <f t="shared" ref="BR102:CK102" ca="1" si="115">BR74+BR98</f>
        <v>0</v>
      </c>
      <c r="BS102" s="395">
        <f t="shared" ca="1" si="115"/>
        <v>0</v>
      </c>
      <c r="BT102" s="395">
        <f t="shared" ca="1" si="115"/>
        <v>0</v>
      </c>
      <c r="BU102" s="395">
        <f t="shared" ca="1" si="115"/>
        <v>0</v>
      </c>
      <c r="BV102" s="395">
        <f t="shared" ca="1" si="115"/>
        <v>0</v>
      </c>
      <c r="BW102" s="395">
        <f t="shared" ca="1" si="115"/>
        <v>0</v>
      </c>
      <c r="BX102" s="395">
        <f t="shared" ca="1" si="115"/>
        <v>0</v>
      </c>
      <c r="BY102" s="395">
        <f t="shared" ca="1" si="115"/>
        <v>0</v>
      </c>
      <c r="BZ102" s="395">
        <f t="shared" ca="1" si="115"/>
        <v>0</v>
      </c>
      <c r="CA102" s="395">
        <f t="shared" ca="1" si="115"/>
        <v>0</v>
      </c>
      <c r="CB102" s="395">
        <f t="shared" ca="1" si="115"/>
        <v>0</v>
      </c>
      <c r="CC102" s="395">
        <f t="shared" ca="1" si="115"/>
        <v>0</v>
      </c>
      <c r="CD102" s="395">
        <f t="shared" ca="1" si="115"/>
        <v>0</v>
      </c>
      <c r="CE102" s="395">
        <f t="shared" ca="1" si="115"/>
        <v>0</v>
      </c>
      <c r="CF102" s="395">
        <f t="shared" ca="1" si="115"/>
        <v>0</v>
      </c>
      <c r="CG102" s="395">
        <f t="shared" ca="1" si="115"/>
        <v>0</v>
      </c>
      <c r="CH102" s="395">
        <f t="shared" ca="1" si="115"/>
        <v>0</v>
      </c>
      <c r="CI102" s="395">
        <f t="shared" ca="1" si="115"/>
        <v>0</v>
      </c>
      <c r="CJ102" s="395">
        <f t="shared" ca="1" si="115"/>
        <v>0</v>
      </c>
      <c r="CK102" s="395">
        <f t="shared" ca="1" si="115"/>
        <v>0</v>
      </c>
      <c r="CL102" s="133" t="s">
        <v>15</v>
      </c>
    </row>
    <row r="103" spans="2:90" s="133" customFormat="1" ht="15" customHeight="1" x14ac:dyDescent="0.2">
      <c r="B103" s="133" t="s">
        <v>30</v>
      </c>
      <c r="E103" s="395">
        <f t="shared" ca="1" si="113"/>
        <v>-3731303.322813286</v>
      </c>
      <c r="F103" s="395">
        <f t="shared" ref="F103:BQ103" ca="1" si="116">F75+F99</f>
        <v>-142691.64538799995</v>
      </c>
      <c r="G103" s="395">
        <f t="shared" ca="1" si="116"/>
        <v>-142785.0758198571</v>
      </c>
      <c r="H103" s="395">
        <f t="shared" ca="1" si="116"/>
        <v>-176481.21413238143</v>
      </c>
      <c r="I103" s="395">
        <f t="shared" ca="1" si="116"/>
        <v>-320236.48135238088</v>
      </c>
      <c r="J103" s="395">
        <f t="shared" ca="1" si="116"/>
        <v>-271401.73878095235</v>
      </c>
      <c r="K103" s="395">
        <f t="shared" ca="1" si="116"/>
        <v>-459093.94394285721</v>
      </c>
      <c r="L103" s="395">
        <f t="shared" ca="1" si="116"/>
        <v>-701125.68161949876</v>
      </c>
      <c r="M103" s="395">
        <f t="shared" ca="1" si="116"/>
        <v>-701590.48929614038</v>
      </c>
      <c r="N103" s="395">
        <f t="shared" ca="1" si="116"/>
        <v>-702055.296972782</v>
      </c>
      <c r="O103" s="395">
        <f t="shared" ca="1" si="116"/>
        <v>-702520.10464942351</v>
      </c>
      <c r="P103" s="395">
        <f t="shared" ca="1" si="116"/>
        <v>-702984.91232606512</v>
      </c>
      <c r="Q103" s="395">
        <f t="shared" ca="1" si="116"/>
        <v>-703449.72000270686</v>
      </c>
      <c r="R103" s="395">
        <f t="shared" ca="1" si="116"/>
        <v>-1082271.3575193482</v>
      </c>
      <c r="S103" s="395">
        <f t="shared" ca="1" si="116"/>
        <v>-1199765.0343693234</v>
      </c>
      <c r="T103" s="395">
        <f t="shared" ca="1" si="116"/>
        <v>-528610.65829072532</v>
      </c>
      <c r="U103" s="395">
        <f t="shared" ca="1" si="116"/>
        <v>-8096.7686666666677</v>
      </c>
      <c r="V103" s="395">
        <f t="shared" ca="1" si="116"/>
        <v>-8096.7686666666677</v>
      </c>
      <c r="W103" s="395">
        <f t="shared" ca="1" si="116"/>
        <v>-8096.7686666666677</v>
      </c>
      <c r="X103" s="395">
        <f t="shared" ca="1" si="116"/>
        <v>-8096.7686666666677</v>
      </c>
      <c r="Y103" s="395">
        <f t="shared" ca="1" si="116"/>
        <v>-8096.7686666666677</v>
      </c>
      <c r="Z103" s="395">
        <f t="shared" ca="1" si="116"/>
        <v>-8096.7686666666677</v>
      </c>
      <c r="AA103" s="395">
        <f t="shared" ca="1" si="116"/>
        <v>-8096.7686666666677</v>
      </c>
      <c r="AB103" s="395">
        <f t="shared" ca="1" si="116"/>
        <v>-8096.7686666666677</v>
      </c>
      <c r="AC103" s="395">
        <f t="shared" ca="1" si="116"/>
        <v>-8096.7686666666677</v>
      </c>
      <c r="AD103" s="395">
        <f t="shared" ca="1" si="116"/>
        <v>-8096.7686666666677</v>
      </c>
      <c r="AE103" s="395">
        <f t="shared" ca="1" si="116"/>
        <v>-8096.7686666666677</v>
      </c>
      <c r="AF103" s="395">
        <f t="shared" ca="1" si="116"/>
        <v>-8096.7686666666677</v>
      </c>
      <c r="AG103" s="395">
        <f t="shared" ca="1" si="116"/>
        <v>-8096.7686666666677</v>
      </c>
      <c r="AH103" s="395">
        <f t="shared" ca="1" si="116"/>
        <v>-8096.7686666666677</v>
      </c>
      <c r="AI103" s="395">
        <f t="shared" ca="1" si="116"/>
        <v>-8096.7686666666677</v>
      </c>
      <c r="AJ103" s="395">
        <f t="shared" ca="1" si="116"/>
        <v>-8096.7686666666677</v>
      </c>
      <c r="AK103" s="395">
        <f t="shared" ca="1" si="116"/>
        <v>-8096.7686666666677</v>
      </c>
      <c r="AL103" s="395">
        <f t="shared" ca="1" si="116"/>
        <v>-8096.7686666666677</v>
      </c>
      <c r="AM103" s="395">
        <f t="shared" ca="1" si="116"/>
        <v>-8096.7686666666677</v>
      </c>
      <c r="AN103" s="395">
        <f t="shared" ca="1" si="116"/>
        <v>-8096.7686666666677</v>
      </c>
      <c r="AO103" s="395">
        <f t="shared" ca="1" si="116"/>
        <v>18894059.116925761</v>
      </c>
      <c r="AP103" s="395">
        <f t="shared" ca="1" si="116"/>
        <v>0</v>
      </c>
      <c r="AQ103" s="395">
        <f t="shared" ca="1" si="116"/>
        <v>0</v>
      </c>
      <c r="AR103" s="395">
        <f t="shared" ca="1" si="116"/>
        <v>0</v>
      </c>
      <c r="AS103" s="395">
        <f t="shared" ca="1" si="116"/>
        <v>0</v>
      </c>
      <c r="AT103" s="395">
        <f t="shared" ca="1" si="116"/>
        <v>0</v>
      </c>
      <c r="AU103" s="395">
        <f t="shared" ca="1" si="116"/>
        <v>0</v>
      </c>
      <c r="AV103" s="395">
        <f t="shared" ca="1" si="116"/>
        <v>0</v>
      </c>
      <c r="AW103" s="395">
        <f t="shared" ca="1" si="116"/>
        <v>0</v>
      </c>
      <c r="AX103" s="395">
        <f t="shared" ca="1" si="116"/>
        <v>0</v>
      </c>
      <c r="AY103" s="395">
        <f t="shared" ca="1" si="116"/>
        <v>0</v>
      </c>
      <c r="AZ103" s="395">
        <f t="shared" ca="1" si="116"/>
        <v>0</v>
      </c>
      <c r="BA103" s="395">
        <f t="shared" ca="1" si="116"/>
        <v>0</v>
      </c>
      <c r="BB103" s="395">
        <f t="shared" ca="1" si="116"/>
        <v>0</v>
      </c>
      <c r="BC103" s="395">
        <f t="shared" ca="1" si="116"/>
        <v>0</v>
      </c>
      <c r="BD103" s="395">
        <f t="shared" ca="1" si="116"/>
        <v>0</v>
      </c>
      <c r="BE103" s="395">
        <f t="shared" ca="1" si="116"/>
        <v>0</v>
      </c>
      <c r="BF103" s="395">
        <f t="shared" ca="1" si="116"/>
        <v>0</v>
      </c>
      <c r="BG103" s="395">
        <f t="shared" ca="1" si="116"/>
        <v>0</v>
      </c>
      <c r="BH103" s="395">
        <f t="shared" ca="1" si="116"/>
        <v>0</v>
      </c>
      <c r="BI103" s="395">
        <f t="shared" ca="1" si="116"/>
        <v>0</v>
      </c>
      <c r="BJ103" s="395">
        <f t="shared" ca="1" si="116"/>
        <v>0</v>
      </c>
      <c r="BK103" s="395">
        <f t="shared" ca="1" si="116"/>
        <v>0</v>
      </c>
      <c r="BL103" s="395">
        <f t="shared" ca="1" si="116"/>
        <v>0</v>
      </c>
      <c r="BM103" s="395">
        <f t="shared" ca="1" si="116"/>
        <v>0</v>
      </c>
      <c r="BN103" s="395">
        <f t="shared" ca="1" si="116"/>
        <v>0</v>
      </c>
      <c r="BO103" s="395">
        <f t="shared" ca="1" si="116"/>
        <v>0</v>
      </c>
      <c r="BP103" s="395">
        <f t="shared" ca="1" si="116"/>
        <v>0</v>
      </c>
      <c r="BQ103" s="395">
        <f t="shared" ca="1" si="116"/>
        <v>0</v>
      </c>
      <c r="BR103" s="395">
        <f t="shared" ref="BR103:CK103" ca="1" si="117">BR75+BR99</f>
        <v>0</v>
      </c>
      <c r="BS103" s="395">
        <f t="shared" ca="1" si="117"/>
        <v>0</v>
      </c>
      <c r="BT103" s="395">
        <f t="shared" ca="1" si="117"/>
        <v>0</v>
      </c>
      <c r="BU103" s="395">
        <f t="shared" ca="1" si="117"/>
        <v>0</v>
      </c>
      <c r="BV103" s="395">
        <f t="shared" ca="1" si="117"/>
        <v>0</v>
      </c>
      <c r="BW103" s="395">
        <f t="shared" ca="1" si="117"/>
        <v>0</v>
      </c>
      <c r="BX103" s="395">
        <f t="shared" ca="1" si="117"/>
        <v>0</v>
      </c>
      <c r="BY103" s="395">
        <f t="shared" ca="1" si="117"/>
        <v>0</v>
      </c>
      <c r="BZ103" s="395">
        <f t="shared" ca="1" si="117"/>
        <v>0</v>
      </c>
      <c r="CA103" s="395">
        <f t="shared" ca="1" si="117"/>
        <v>0</v>
      </c>
      <c r="CB103" s="395">
        <f t="shared" ca="1" si="117"/>
        <v>0</v>
      </c>
      <c r="CC103" s="395">
        <f t="shared" ca="1" si="117"/>
        <v>0</v>
      </c>
      <c r="CD103" s="395">
        <f t="shared" ca="1" si="117"/>
        <v>0</v>
      </c>
      <c r="CE103" s="395">
        <f t="shared" ca="1" si="117"/>
        <v>0</v>
      </c>
      <c r="CF103" s="395">
        <f t="shared" ca="1" si="117"/>
        <v>0</v>
      </c>
      <c r="CG103" s="395">
        <f t="shared" ca="1" si="117"/>
        <v>0</v>
      </c>
      <c r="CH103" s="395">
        <f t="shared" ca="1" si="117"/>
        <v>0</v>
      </c>
      <c r="CI103" s="395">
        <f t="shared" ca="1" si="117"/>
        <v>0</v>
      </c>
      <c r="CJ103" s="395">
        <f t="shared" ca="1" si="117"/>
        <v>0</v>
      </c>
      <c r="CK103" s="395">
        <f t="shared" ca="1" si="117"/>
        <v>0</v>
      </c>
      <c r="CL103" s="133" t="s">
        <v>15</v>
      </c>
    </row>
    <row r="104" spans="2:90" s="133" customFormat="1" ht="15" customHeight="1" x14ac:dyDescent="0.2"/>
    <row r="105" spans="2:90" s="133" customFormat="1" ht="15" customHeight="1" x14ac:dyDescent="0.25">
      <c r="B105" s="146" t="s">
        <v>276</v>
      </c>
      <c r="C105" s="146"/>
      <c r="D105" s="146"/>
      <c r="E105" s="134" t="s">
        <v>164</v>
      </c>
      <c r="F105" s="134" t="s">
        <v>161</v>
      </c>
      <c r="G105" s="134" t="s">
        <v>30</v>
      </c>
    </row>
    <row r="106" spans="2:90" s="133" customFormat="1" ht="15" customHeight="1" x14ac:dyDescent="0.2">
      <c r="B106" s="272" t="s">
        <v>217</v>
      </c>
      <c r="C106" s="309"/>
      <c r="D106" s="309"/>
      <c r="E106" s="404">
        <f ca="1">XIRR(E101:CK101,HoldingDates)</f>
        <v>0.14922561049461366</v>
      </c>
      <c r="F106" s="404">
        <f ca="1">XIRR(E102:CK102,HoldingDates)</f>
        <v>0.47737912535667426</v>
      </c>
      <c r="G106" s="405">
        <f ca="1">XIRR(E103:CK103,HoldingDates)</f>
        <v>0.18862823843955986</v>
      </c>
    </row>
    <row r="107" spans="2:90" s="133" customFormat="1" ht="15" customHeight="1" x14ac:dyDescent="0.2">
      <c r="B107" s="275" t="s">
        <v>218</v>
      </c>
      <c r="E107" s="400">
        <f ca="1">-SUMIF(E101:CK101,"&gt;"&amp;0)/SUMIF(E101:CK101,"&lt;"&amp;0)</f>
        <v>1.3999999999999979</v>
      </c>
      <c r="F107" s="414">
        <f ca="1">-SUMIF(E102:CK102,"&gt;"&amp;0)/SUMIF(E102:CK102,"&lt;"&amp;0)</f>
        <v>2.5999999999999988</v>
      </c>
      <c r="G107" s="416">
        <f ca="1">-SUMIF(E103:CK103,"&gt;"&amp;0)/SUMIF(E103:CK103,"&lt;"&amp;0)</f>
        <v>1.5200000000000007</v>
      </c>
    </row>
    <row r="108" spans="2:90" s="133" customFormat="1" ht="15" customHeight="1" x14ac:dyDescent="0.2">
      <c r="B108" s="277" t="s">
        <v>220</v>
      </c>
      <c r="C108" s="311"/>
      <c r="D108" s="311"/>
      <c r="E108" s="406">
        <f ca="1">SUM(E101:CK101)</f>
        <v>4474908.7382192425</v>
      </c>
      <c r="F108" s="406">
        <f ca="1">SUM(E102:CK102)</f>
        <v>1988848.3280974478</v>
      </c>
      <c r="G108" s="394">
        <f ca="1">SUM(E103:CK103)</f>
        <v>6463757.0663167126</v>
      </c>
    </row>
    <row r="109" spans="2:90" ht="15" customHeight="1" x14ac:dyDescent="0.2">
      <c r="CL109" s="133"/>
    </row>
    <row r="110" spans="2:90" ht="15" customHeight="1" x14ac:dyDescent="0.25">
      <c r="B110" s="132" t="s">
        <v>277</v>
      </c>
      <c r="CL110" s="133"/>
    </row>
    <row r="111" spans="2:90" s="21" customFormat="1" ht="10.15" customHeight="1" x14ac:dyDescent="0.25">
      <c r="B111" s="22"/>
      <c r="C111" s="23"/>
      <c r="D111" s="23"/>
      <c r="E111" s="23"/>
      <c r="O111" s="13"/>
      <c r="P111" s="13"/>
      <c r="Q111" s="13"/>
      <c r="R111" s="13"/>
      <c r="S111" s="13"/>
      <c r="T111" s="13"/>
      <c r="U111" s="13"/>
      <c r="V111" s="13"/>
      <c r="W111" s="13"/>
      <c r="X111" s="13"/>
      <c r="Y111" s="13"/>
      <c r="Z111" s="13"/>
      <c r="AA111" s="13"/>
      <c r="AB111" s="13"/>
      <c r="AC111" s="13"/>
      <c r="AD111" s="13"/>
      <c r="AE111" s="13"/>
      <c r="AF111" s="13"/>
      <c r="AG111" s="13"/>
    </row>
    <row r="112" spans="2:90" ht="15" customHeight="1" outlineLevel="1" x14ac:dyDescent="0.2">
      <c r="B112" s="133" t="s">
        <v>278</v>
      </c>
      <c r="C112" s="133"/>
      <c r="D112" s="133"/>
      <c r="E112" s="395">
        <f ca="1">E84-E99</f>
        <v>0</v>
      </c>
      <c r="F112" s="395">
        <f t="shared" ref="F112:BQ112" ca="1" si="118">F84-F99</f>
        <v>0</v>
      </c>
      <c r="G112" s="395">
        <f t="shared" ca="1" si="118"/>
        <v>0</v>
      </c>
      <c r="H112" s="395">
        <f t="shared" ca="1" si="118"/>
        <v>0</v>
      </c>
      <c r="I112" s="395">
        <f t="shared" ca="1" si="118"/>
        <v>0</v>
      </c>
      <c r="J112" s="395">
        <f t="shared" ca="1" si="118"/>
        <v>0</v>
      </c>
      <c r="K112" s="395">
        <f t="shared" ca="1" si="118"/>
        <v>0</v>
      </c>
      <c r="L112" s="395">
        <f t="shared" ca="1" si="118"/>
        <v>0</v>
      </c>
      <c r="M112" s="395">
        <f t="shared" ca="1" si="118"/>
        <v>0</v>
      </c>
      <c r="N112" s="395">
        <f t="shared" ca="1" si="118"/>
        <v>0</v>
      </c>
      <c r="O112" s="395">
        <f t="shared" ca="1" si="118"/>
        <v>0</v>
      </c>
      <c r="P112" s="395">
        <f t="shared" ca="1" si="118"/>
        <v>0</v>
      </c>
      <c r="Q112" s="395">
        <f t="shared" ca="1" si="118"/>
        <v>0</v>
      </c>
      <c r="R112" s="395">
        <f t="shared" ca="1" si="118"/>
        <v>0</v>
      </c>
      <c r="S112" s="395">
        <f t="shared" ca="1" si="118"/>
        <v>0</v>
      </c>
      <c r="T112" s="395">
        <f t="shared" ca="1" si="118"/>
        <v>0</v>
      </c>
      <c r="U112" s="395">
        <f t="shared" ca="1" si="118"/>
        <v>0</v>
      </c>
      <c r="V112" s="395">
        <f t="shared" ca="1" si="118"/>
        <v>0</v>
      </c>
      <c r="W112" s="395">
        <f t="shared" ca="1" si="118"/>
        <v>0</v>
      </c>
      <c r="X112" s="395">
        <f t="shared" ca="1" si="118"/>
        <v>0</v>
      </c>
      <c r="Y112" s="395">
        <f t="shared" ca="1" si="118"/>
        <v>0</v>
      </c>
      <c r="Z112" s="395">
        <f t="shared" ca="1" si="118"/>
        <v>0</v>
      </c>
      <c r="AA112" s="395">
        <f t="shared" ca="1" si="118"/>
        <v>0</v>
      </c>
      <c r="AB112" s="395">
        <f t="shared" ca="1" si="118"/>
        <v>0</v>
      </c>
      <c r="AC112" s="395">
        <f t="shared" ca="1" si="118"/>
        <v>0</v>
      </c>
      <c r="AD112" s="395">
        <f t="shared" ca="1" si="118"/>
        <v>0</v>
      </c>
      <c r="AE112" s="395">
        <f t="shared" ca="1" si="118"/>
        <v>0</v>
      </c>
      <c r="AF112" s="395">
        <f t="shared" ca="1" si="118"/>
        <v>0</v>
      </c>
      <c r="AG112" s="395">
        <f t="shared" ca="1" si="118"/>
        <v>0</v>
      </c>
      <c r="AH112" s="395">
        <f t="shared" ca="1" si="118"/>
        <v>0</v>
      </c>
      <c r="AI112" s="395">
        <f t="shared" ca="1" si="118"/>
        <v>0</v>
      </c>
      <c r="AJ112" s="395">
        <f t="shared" ca="1" si="118"/>
        <v>0</v>
      </c>
      <c r="AK112" s="395">
        <f t="shared" ca="1" si="118"/>
        <v>0</v>
      </c>
      <c r="AL112" s="395">
        <f t="shared" ca="1" si="118"/>
        <v>0</v>
      </c>
      <c r="AM112" s="395">
        <f t="shared" ca="1" si="118"/>
        <v>0</v>
      </c>
      <c r="AN112" s="395">
        <f t="shared" ca="1" si="118"/>
        <v>0</v>
      </c>
      <c r="AO112" s="395">
        <f t="shared" ca="1" si="118"/>
        <v>433547.58387251105</v>
      </c>
      <c r="AP112" s="395">
        <f t="shared" ca="1" si="118"/>
        <v>110073.79706883527</v>
      </c>
      <c r="AQ112" s="395">
        <f t="shared" ca="1" si="118"/>
        <v>110073.79706883527</v>
      </c>
      <c r="AR112" s="395">
        <f t="shared" ca="1" si="118"/>
        <v>110073.79706883527</v>
      </c>
      <c r="AS112" s="395">
        <f t="shared" ca="1" si="118"/>
        <v>110073.79706883527</v>
      </c>
      <c r="AT112" s="395">
        <f t="shared" ca="1" si="118"/>
        <v>110073.79706883527</v>
      </c>
      <c r="AU112" s="395">
        <f t="shared" ca="1" si="118"/>
        <v>110073.79706883527</v>
      </c>
      <c r="AV112" s="395">
        <f t="shared" ca="1" si="118"/>
        <v>110073.79706883527</v>
      </c>
      <c r="AW112" s="395">
        <f t="shared" ca="1" si="118"/>
        <v>110073.79706883527</v>
      </c>
      <c r="AX112" s="395">
        <f t="shared" ca="1" si="118"/>
        <v>110073.79706883527</v>
      </c>
      <c r="AY112" s="395">
        <f t="shared" ca="1" si="118"/>
        <v>110073.79706883527</v>
      </c>
      <c r="AZ112" s="395">
        <f t="shared" ca="1" si="118"/>
        <v>110073.79706883527</v>
      </c>
      <c r="BA112" s="395">
        <f t="shared" ca="1" si="118"/>
        <v>110073.79706883527</v>
      </c>
      <c r="BB112" s="395">
        <f t="shared" ca="1" si="118"/>
        <v>92276.448121092428</v>
      </c>
      <c r="BC112" s="395">
        <f t="shared" ca="1" si="118"/>
        <v>92276.448121092428</v>
      </c>
      <c r="BD112" s="395">
        <f t="shared" ca="1" si="118"/>
        <v>92276.448121092428</v>
      </c>
      <c r="BE112" s="395">
        <f t="shared" ca="1" si="118"/>
        <v>92276.448121092428</v>
      </c>
      <c r="BF112" s="395">
        <f t="shared" ca="1" si="118"/>
        <v>92276.448121092428</v>
      </c>
      <c r="BG112" s="395">
        <f t="shared" ca="1" si="118"/>
        <v>92276.448121092428</v>
      </c>
      <c r="BH112" s="395">
        <f t="shared" ca="1" si="118"/>
        <v>92276.448121092428</v>
      </c>
      <c r="BI112" s="395">
        <f t="shared" ca="1" si="118"/>
        <v>92276.448121092428</v>
      </c>
      <c r="BJ112" s="395">
        <f t="shared" ca="1" si="118"/>
        <v>92276.448121092428</v>
      </c>
      <c r="BK112" s="395">
        <f t="shared" ca="1" si="118"/>
        <v>92276.448121092428</v>
      </c>
      <c r="BL112" s="395">
        <f t="shared" ca="1" si="118"/>
        <v>92276.448121092428</v>
      </c>
      <c r="BM112" s="395">
        <f t="shared" ca="1" si="118"/>
        <v>92276.448121092428</v>
      </c>
      <c r="BN112" s="395">
        <f t="shared" ca="1" si="118"/>
        <v>106921.35986988785</v>
      </c>
      <c r="BO112" s="395">
        <f t="shared" ca="1" si="118"/>
        <v>106921.35986988785</v>
      </c>
      <c r="BP112" s="395">
        <f t="shared" ca="1" si="118"/>
        <v>106921.35986988785</v>
      </c>
      <c r="BQ112" s="395">
        <f t="shared" ca="1" si="118"/>
        <v>106921.35986988785</v>
      </c>
      <c r="BR112" s="395">
        <f t="shared" ref="BR112:CK112" ca="1" si="119">BR84-BR99</f>
        <v>106921.35986988785</v>
      </c>
      <c r="BS112" s="395">
        <f t="shared" ca="1" si="119"/>
        <v>106921.35986988785</v>
      </c>
      <c r="BT112" s="395">
        <f t="shared" ca="1" si="119"/>
        <v>106921.35986988785</v>
      </c>
      <c r="BU112" s="395">
        <f t="shared" ca="1" si="119"/>
        <v>106921.35986988785</v>
      </c>
      <c r="BV112" s="395">
        <f t="shared" ca="1" si="119"/>
        <v>106921.35986988785</v>
      </c>
      <c r="BW112" s="395">
        <f t="shared" ca="1" si="119"/>
        <v>106921.35986988785</v>
      </c>
      <c r="BX112" s="395">
        <f t="shared" ca="1" si="119"/>
        <v>106921.35986988785</v>
      </c>
      <c r="BY112" s="395">
        <f t="shared" ca="1" si="119"/>
        <v>12719474.3621164</v>
      </c>
      <c r="BZ112" s="395">
        <f t="shared" ca="1" si="119"/>
        <v>0</v>
      </c>
      <c r="CA112" s="395">
        <f t="shared" ca="1" si="119"/>
        <v>0</v>
      </c>
      <c r="CB112" s="395">
        <f t="shared" ca="1" si="119"/>
        <v>0</v>
      </c>
      <c r="CC112" s="395">
        <f t="shared" ca="1" si="119"/>
        <v>0</v>
      </c>
      <c r="CD112" s="395">
        <f t="shared" ca="1" si="119"/>
        <v>0</v>
      </c>
      <c r="CE112" s="395">
        <f t="shared" ca="1" si="119"/>
        <v>0</v>
      </c>
      <c r="CF112" s="395">
        <f t="shared" ca="1" si="119"/>
        <v>0</v>
      </c>
      <c r="CG112" s="395">
        <f t="shared" ca="1" si="119"/>
        <v>0</v>
      </c>
      <c r="CH112" s="395">
        <f t="shared" ca="1" si="119"/>
        <v>0</v>
      </c>
      <c r="CI112" s="395">
        <f t="shared" ca="1" si="119"/>
        <v>0</v>
      </c>
      <c r="CJ112" s="395">
        <f t="shared" ca="1" si="119"/>
        <v>0</v>
      </c>
      <c r="CK112" s="395">
        <f t="shared" ca="1" si="119"/>
        <v>0</v>
      </c>
      <c r="CL112" s="133" t="s">
        <v>15</v>
      </c>
    </row>
    <row r="113" spans="2:90" ht="15" customHeight="1" outlineLevel="1" x14ac:dyDescent="0.2">
      <c r="B113" s="133" t="str">
        <f>TEXT(J13,"0.0%")&amp;" to Co-Investor"</f>
        <v>40.0% to Co-Investor</v>
      </c>
      <c r="C113" s="133"/>
      <c r="D113" s="133"/>
      <c r="E113" s="395">
        <f t="shared" ref="E113:AJ113" ca="1" si="120">E112*Tier4_CoInvestorPctCF_Case2</f>
        <v>0</v>
      </c>
      <c r="F113" s="395">
        <f t="shared" ca="1" si="120"/>
        <v>0</v>
      </c>
      <c r="G113" s="395">
        <f t="shared" ca="1" si="120"/>
        <v>0</v>
      </c>
      <c r="H113" s="395">
        <f t="shared" ca="1" si="120"/>
        <v>0</v>
      </c>
      <c r="I113" s="395">
        <f t="shared" ca="1" si="120"/>
        <v>0</v>
      </c>
      <c r="J113" s="395">
        <f t="shared" ca="1" si="120"/>
        <v>0</v>
      </c>
      <c r="K113" s="395">
        <f t="shared" ca="1" si="120"/>
        <v>0</v>
      </c>
      <c r="L113" s="395">
        <f t="shared" ca="1" si="120"/>
        <v>0</v>
      </c>
      <c r="M113" s="395">
        <f t="shared" ca="1" si="120"/>
        <v>0</v>
      </c>
      <c r="N113" s="395">
        <f t="shared" ca="1" si="120"/>
        <v>0</v>
      </c>
      <c r="O113" s="395">
        <f t="shared" ca="1" si="120"/>
        <v>0</v>
      </c>
      <c r="P113" s="395">
        <f t="shared" ca="1" si="120"/>
        <v>0</v>
      </c>
      <c r="Q113" s="395">
        <f t="shared" ca="1" si="120"/>
        <v>0</v>
      </c>
      <c r="R113" s="395">
        <f t="shared" ca="1" si="120"/>
        <v>0</v>
      </c>
      <c r="S113" s="395">
        <f t="shared" ca="1" si="120"/>
        <v>0</v>
      </c>
      <c r="T113" s="395">
        <f t="shared" ca="1" si="120"/>
        <v>0</v>
      </c>
      <c r="U113" s="395">
        <f t="shared" ca="1" si="120"/>
        <v>0</v>
      </c>
      <c r="V113" s="395">
        <f t="shared" ca="1" si="120"/>
        <v>0</v>
      </c>
      <c r="W113" s="395">
        <f t="shared" ca="1" si="120"/>
        <v>0</v>
      </c>
      <c r="X113" s="395">
        <f t="shared" ca="1" si="120"/>
        <v>0</v>
      </c>
      <c r="Y113" s="395">
        <f t="shared" ca="1" si="120"/>
        <v>0</v>
      </c>
      <c r="Z113" s="395">
        <f t="shared" ca="1" si="120"/>
        <v>0</v>
      </c>
      <c r="AA113" s="395">
        <f t="shared" ca="1" si="120"/>
        <v>0</v>
      </c>
      <c r="AB113" s="395">
        <f t="shared" ca="1" si="120"/>
        <v>0</v>
      </c>
      <c r="AC113" s="395">
        <f t="shared" ca="1" si="120"/>
        <v>0</v>
      </c>
      <c r="AD113" s="395">
        <f t="shared" ca="1" si="120"/>
        <v>0</v>
      </c>
      <c r="AE113" s="395">
        <f t="shared" ca="1" si="120"/>
        <v>0</v>
      </c>
      <c r="AF113" s="395">
        <f t="shared" ca="1" si="120"/>
        <v>0</v>
      </c>
      <c r="AG113" s="395">
        <f t="shared" ca="1" si="120"/>
        <v>0</v>
      </c>
      <c r="AH113" s="395">
        <f t="shared" ca="1" si="120"/>
        <v>0</v>
      </c>
      <c r="AI113" s="395">
        <f t="shared" ca="1" si="120"/>
        <v>0</v>
      </c>
      <c r="AJ113" s="395">
        <f t="shared" ca="1" si="120"/>
        <v>0</v>
      </c>
      <c r="AK113" s="395">
        <f t="shared" ref="AK113:BP113" ca="1" si="121">AK112*Tier4_CoInvestorPctCF_Case2</f>
        <v>0</v>
      </c>
      <c r="AL113" s="395">
        <f t="shared" ca="1" si="121"/>
        <v>0</v>
      </c>
      <c r="AM113" s="395">
        <f t="shared" ca="1" si="121"/>
        <v>0</v>
      </c>
      <c r="AN113" s="395">
        <f t="shared" ca="1" si="121"/>
        <v>0</v>
      </c>
      <c r="AO113" s="395">
        <f t="shared" ca="1" si="121"/>
        <v>173419.03354900444</v>
      </c>
      <c r="AP113" s="395">
        <f t="shared" ca="1" si="121"/>
        <v>44029.518827534106</v>
      </c>
      <c r="AQ113" s="395">
        <f t="shared" ca="1" si="121"/>
        <v>44029.518827534106</v>
      </c>
      <c r="AR113" s="395">
        <f t="shared" ca="1" si="121"/>
        <v>44029.518827534106</v>
      </c>
      <c r="AS113" s="395">
        <f t="shared" ca="1" si="121"/>
        <v>44029.518827534106</v>
      </c>
      <c r="AT113" s="395">
        <f t="shared" ca="1" si="121"/>
        <v>44029.518827534106</v>
      </c>
      <c r="AU113" s="395">
        <f t="shared" ca="1" si="121"/>
        <v>44029.518827534106</v>
      </c>
      <c r="AV113" s="395">
        <f t="shared" ca="1" si="121"/>
        <v>44029.518827534106</v>
      </c>
      <c r="AW113" s="395">
        <f t="shared" ca="1" si="121"/>
        <v>44029.518827534106</v>
      </c>
      <c r="AX113" s="395">
        <f t="shared" ca="1" si="121"/>
        <v>44029.518827534106</v>
      </c>
      <c r="AY113" s="395">
        <f t="shared" ca="1" si="121"/>
        <v>44029.518827534106</v>
      </c>
      <c r="AZ113" s="395">
        <f t="shared" ca="1" si="121"/>
        <v>44029.518827534106</v>
      </c>
      <c r="BA113" s="395">
        <f t="shared" ca="1" si="121"/>
        <v>44029.518827534106</v>
      </c>
      <c r="BB113" s="395">
        <f t="shared" ca="1" si="121"/>
        <v>36910.579248436974</v>
      </c>
      <c r="BC113" s="395">
        <f t="shared" ca="1" si="121"/>
        <v>36910.579248436974</v>
      </c>
      <c r="BD113" s="395">
        <f t="shared" ca="1" si="121"/>
        <v>36910.579248436974</v>
      </c>
      <c r="BE113" s="395">
        <f t="shared" ca="1" si="121"/>
        <v>36910.579248436974</v>
      </c>
      <c r="BF113" s="395">
        <f t="shared" ca="1" si="121"/>
        <v>36910.579248436974</v>
      </c>
      <c r="BG113" s="395">
        <f t="shared" ca="1" si="121"/>
        <v>36910.579248436974</v>
      </c>
      <c r="BH113" s="395">
        <f t="shared" ca="1" si="121"/>
        <v>36910.579248436974</v>
      </c>
      <c r="BI113" s="395">
        <f t="shared" ca="1" si="121"/>
        <v>36910.579248436974</v>
      </c>
      <c r="BJ113" s="395">
        <f t="shared" ca="1" si="121"/>
        <v>36910.579248436974</v>
      </c>
      <c r="BK113" s="395">
        <f t="shared" ca="1" si="121"/>
        <v>36910.579248436974</v>
      </c>
      <c r="BL113" s="395">
        <f t="shared" ca="1" si="121"/>
        <v>36910.579248436974</v>
      </c>
      <c r="BM113" s="395">
        <f t="shared" ca="1" si="121"/>
        <v>36910.579248436974</v>
      </c>
      <c r="BN113" s="395">
        <f t="shared" ca="1" si="121"/>
        <v>42768.543947955142</v>
      </c>
      <c r="BO113" s="395">
        <f t="shared" ca="1" si="121"/>
        <v>42768.543947955142</v>
      </c>
      <c r="BP113" s="395">
        <f t="shared" ca="1" si="121"/>
        <v>42768.543947955142</v>
      </c>
      <c r="BQ113" s="395">
        <f t="shared" ref="BQ113:CK113" ca="1" si="122">BQ112*Tier4_CoInvestorPctCF_Case2</f>
        <v>42768.543947955142</v>
      </c>
      <c r="BR113" s="395">
        <f t="shared" ca="1" si="122"/>
        <v>42768.543947955142</v>
      </c>
      <c r="BS113" s="395">
        <f t="shared" ca="1" si="122"/>
        <v>42768.543947955142</v>
      </c>
      <c r="BT113" s="395">
        <f t="shared" ca="1" si="122"/>
        <v>42768.543947955142</v>
      </c>
      <c r="BU113" s="395">
        <f t="shared" ca="1" si="122"/>
        <v>42768.543947955142</v>
      </c>
      <c r="BV113" s="395">
        <f t="shared" ca="1" si="122"/>
        <v>42768.543947955142</v>
      </c>
      <c r="BW113" s="395">
        <f t="shared" ca="1" si="122"/>
        <v>42768.543947955142</v>
      </c>
      <c r="BX113" s="395">
        <f t="shared" ca="1" si="122"/>
        <v>42768.543947955142</v>
      </c>
      <c r="BY113" s="395">
        <f t="shared" ca="1" si="122"/>
        <v>5087789.7448465601</v>
      </c>
      <c r="BZ113" s="395">
        <f t="shared" ca="1" si="122"/>
        <v>0</v>
      </c>
      <c r="CA113" s="395">
        <f t="shared" ca="1" si="122"/>
        <v>0</v>
      </c>
      <c r="CB113" s="395">
        <f t="shared" ca="1" si="122"/>
        <v>0</v>
      </c>
      <c r="CC113" s="395">
        <f t="shared" ca="1" si="122"/>
        <v>0</v>
      </c>
      <c r="CD113" s="395">
        <f t="shared" ca="1" si="122"/>
        <v>0</v>
      </c>
      <c r="CE113" s="395">
        <f t="shared" ca="1" si="122"/>
        <v>0</v>
      </c>
      <c r="CF113" s="395">
        <f t="shared" ca="1" si="122"/>
        <v>0</v>
      </c>
      <c r="CG113" s="395">
        <f t="shared" ca="1" si="122"/>
        <v>0</v>
      </c>
      <c r="CH113" s="395">
        <f t="shared" ca="1" si="122"/>
        <v>0</v>
      </c>
      <c r="CI113" s="395">
        <f t="shared" ca="1" si="122"/>
        <v>0</v>
      </c>
      <c r="CJ113" s="395">
        <f t="shared" ca="1" si="122"/>
        <v>0</v>
      </c>
      <c r="CK113" s="395">
        <f t="shared" ca="1" si="122"/>
        <v>0</v>
      </c>
      <c r="CL113" s="133" t="s">
        <v>15</v>
      </c>
    </row>
    <row r="114" spans="2:90" ht="15" customHeight="1" outlineLevel="1" x14ac:dyDescent="0.2">
      <c r="B114" s="133" t="str">
        <f>TEXT(K13,"0.0%")&amp;" to Sponsor"</f>
        <v>60.0% to Sponsor</v>
      </c>
      <c r="C114" s="133"/>
      <c r="D114" s="133"/>
      <c r="E114" s="395">
        <f t="shared" ref="E114:AJ114" ca="1" si="123">E112*Tier4_SponsorPctCF_Case2</f>
        <v>0</v>
      </c>
      <c r="F114" s="395">
        <f t="shared" ca="1" si="123"/>
        <v>0</v>
      </c>
      <c r="G114" s="395">
        <f t="shared" ca="1" si="123"/>
        <v>0</v>
      </c>
      <c r="H114" s="395">
        <f t="shared" ca="1" si="123"/>
        <v>0</v>
      </c>
      <c r="I114" s="395">
        <f t="shared" ca="1" si="123"/>
        <v>0</v>
      </c>
      <c r="J114" s="395">
        <f t="shared" ca="1" si="123"/>
        <v>0</v>
      </c>
      <c r="K114" s="395">
        <f t="shared" ca="1" si="123"/>
        <v>0</v>
      </c>
      <c r="L114" s="395">
        <f t="shared" ca="1" si="123"/>
        <v>0</v>
      </c>
      <c r="M114" s="395">
        <f t="shared" ca="1" si="123"/>
        <v>0</v>
      </c>
      <c r="N114" s="395">
        <f t="shared" ca="1" si="123"/>
        <v>0</v>
      </c>
      <c r="O114" s="395">
        <f t="shared" ca="1" si="123"/>
        <v>0</v>
      </c>
      <c r="P114" s="395">
        <f t="shared" ca="1" si="123"/>
        <v>0</v>
      </c>
      <c r="Q114" s="395">
        <f t="shared" ca="1" si="123"/>
        <v>0</v>
      </c>
      <c r="R114" s="395">
        <f t="shared" ca="1" si="123"/>
        <v>0</v>
      </c>
      <c r="S114" s="395">
        <f t="shared" ca="1" si="123"/>
        <v>0</v>
      </c>
      <c r="T114" s="395">
        <f t="shared" ca="1" si="123"/>
        <v>0</v>
      </c>
      <c r="U114" s="395">
        <f t="shared" ca="1" si="123"/>
        <v>0</v>
      </c>
      <c r="V114" s="395">
        <f t="shared" ca="1" si="123"/>
        <v>0</v>
      </c>
      <c r="W114" s="395">
        <f t="shared" ca="1" si="123"/>
        <v>0</v>
      </c>
      <c r="X114" s="395">
        <f t="shared" ca="1" si="123"/>
        <v>0</v>
      </c>
      <c r="Y114" s="395">
        <f t="shared" ca="1" si="123"/>
        <v>0</v>
      </c>
      <c r="Z114" s="395">
        <f t="shared" ca="1" si="123"/>
        <v>0</v>
      </c>
      <c r="AA114" s="395">
        <f t="shared" ca="1" si="123"/>
        <v>0</v>
      </c>
      <c r="AB114" s="395">
        <f t="shared" ca="1" si="123"/>
        <v>0</v>
      </c>
      <c r="AC114" s="395">
        <f t="shared" ca="1" si="123"/>
        <v>0</v>
      </c>
      <c r="AD114" s="395">
        <f t="shared" ca="1" si="123"/>
        <v>0</v>
      </c>
      <c r="AE114" s="395">
        <f t="shared" ca="1" si="123"/>
        <v>0</v>
      </c>
      <c r="AF114" s="395">
        <f t="shared" ca="1" si="123"/>
        <v>0</v>
      </c>
      <c r="AG114" s="395">
        <f t="shared" ca="1" si="123"/>
        <v>0</v>
      </c>
      <c r="AH114" s="395">
        <f t="shared" ca="1" si="123"/>
        <v>0</v>
      </c>
      <c r="AI114" s="395">
        <f t="shared" ca="1" si="123"/>
        <v>0</v>
      </c>
      <c r="AJ114" s="395">
        <f t="shared" ca="1" si="123"/>
        <v>0</v>
      </c>
      <c r="AK114" s="395">
        <f t="shared" ref="AK114:BP114" ca="1" si="124">AK112*Tier4_SponsorPctCF_Case2</f>
        <v>0</v>
      </c>
      <c r="AL114" s="395">
        <f t="shared" ca="1" si="124"/>
        <v>0</v>
      </c>
      <c r="AM114" s="395">
        <f t="shared" ca="1" si="124"/>
        <v>0</v>
      </c>
      <c r="AN114" s="395">
        <f t="shared" ca="1" si="124"/>
        <v>0</v>
      </c>
      <c r="AO114" s="395">
        <f t="shared" ca="1" si="124"/>
        <v>260128.55032350661</v>
      </c>
      <c r="AP114" s="395">
        <f t="shared" ca="1" si="124"/>
        <v>66044.278241301159</v>
      </c>
      <c r="AQ114" s="395">
        <f t="shared" ca="1" si="124"/>
        <v>66044.278241301159</v>
      </c>
      <c r="AR114" s="395">
        <f t="shared" ca="1" si="124"/>
        <v>66044.278241301159</v>
      </c>
      <c r="AS114" s="395">
        <f t="shared" ca="1" si="124"/>
        <v>66044.278241301159</v>
      </c>
      <c r="AT114" s="395">
        <f t="shared" ca="1" si="124"/>
        <v>66044.278241301159</v>
      </c>
      <c r="AU114" s="395">
        <f t="shared" ca="1" si="124"/>
        <v>66044.278241301159</v>
      </c>
      <c r="AV114" s="395">
        <f t="shared" ca="1" si="124"/>
        <v>66044.278241301159</v>
      </c>
      <c r="AW114" s="395">
        <f t="shared" ca="1" si="124"/>
        <v>66044.278241301159</v>
      </c>
      <c r="AX114" s="395">
        <f t="shared" ca="1" si="124"/>
        <v>66044.278241301159</v>
      </c>
      <c r="AY114" s="395">
        <f t="shared" ca="1" si="124"/>
        <v>66044.278241301159</v>
      </c>
      <c r="AZ114" s="395">
        <f t="shared" ca="1" si="124"/>
        <v>66044.278241301159</v>
      </c>
      <c r="BA114" s="395">
        <f t="shared" ca="1" si="124"/>
        <v>66044.278241301159</v>
      </c>
      <c r="BB114" s="395">
        <f t="shared" ca="1" si="124"/>
        <v>55365.868872655454</v>
      </c>
      <c r="BC114" s="395">
        <f t="shared" ca="1" si="124"/>
        <v>55365.868872655454</v>
      </c>
      <c r="BD114" s="395">
        <f t="shared" ca="1" si="124"/>
        <v>55365.868872655454</v>
      </c>
      <c r="BE114" s="395">
        <f t="shared" ca="1" si="124"/>
        <v>55365.868872655454</v>
      </c>
      <c r="BF114" s="395">
        <f t="shared" ca="1" si="124"/>
        <v>55365.868872655454</v>
      </c>
      <c r="BG114" s="395">
        <f t="shared" ca="1" si="124"/>
        <v>55365.868872655454</v>
      </c>
      <c r="BH114" s="395">
        <f t="shared" ca="1" si="124"/>
        <v>55365.868872655454</v>
      </c>
      <c r="BI114" s="395">
        <f t="shared" ca="1" si="124"/>
        <v>55365.868872655454</v>
      </c>
      <c r="BJ114" s="395">
        <f t="shared" ca="1" si="124"/>
        <v>55365.868872655454</v>
      </c>
      <c r="BK114" s="395">
        <f t="shared" ca="1" si="124"/>
        <v>55365.868872655454</v>
      </c>
      <c r="BL114" s="395">
        <f t="shared" ca="1" si="124"/>
        <v>55365.868872655454</v>
      </c>
      <c r="BM114" s="395">
        <f t="shared" ca="1" si="124"/>
        <v>55365.868872655454</v>
      </c>
      <c r="BN114" s="395">
        <f t="shared" ca="1" si="124"/>
        <v>64152.815921932706</v>
      </c>
      <c r="BO114" s="395">
        <f t="shared" ca="1" si="124"/>
        <v>64152.815921932706</v>
      </c>
      <c r="BP114" s="395">
        <f t="shared" ca="1" si="124"/>
        <v>64152.815921932706</v>
      </c>
      <c r="BQ114" s="395">
        <f t="shared" ref="BQ114:CK114" ca="1" si="125">BQ112*Tier4_SponsorPctCF_Case2</f>
        <v>64152.815921932706</v>
      </c>
      <c r="BR114" s="395">
        <f t="shared" ca="1" si="125"/>
        <v>64152.815921932706</v>
      </c>
      <c r="BS114" s="395">
        <f t="shared" ca="1" si="125"/>
        <v>64152.815921932706</v>
      </c>
      <c r="BT114" s="395">
        <f t="shared" ca="1" si="125"/>
        <v>64152.815921932706</v>
      </c>
      <c r="BU114" s="395">
        <f t="shared" ca="1" si="125"/>
        <v>64152.815921932706</v>
      </c>
      <c r="BV114" s="395">
        <f t="shared" ca="1" si="125"/>
        <v>64152.815921932706</v>
      </c>
      <c r="BW114" s="395">
        <f t="shared" ca="1" si="125"/>
        <v>64152.815921932706</v>
      </c>
      <c r="BX114" s="395">
        <f t="shared" ca="1" si="125"/>
        <v>64152.815921932706</v>
      </c>
      <c r="BY114" s="395">
        <f t="shared" ca="1" si="125"/>
        <v>7631684.6172698401</v>
      </c>
      <c r="BZ114" s="395">
        <f t="shared" ca="1" si="125"/>
        <v>0</v>
      </c>
      <c r="CA114" s="395">
        <f t="shared" ca="1" si="125"/>
        <v>0</v>
      </c>
      <c r="CB114" s="395">
        <f t="shared" ca="1" si="125"/>
        <v>0</v>
      </c>
      <c r="CC114" s="395">
        <f t="shared" ca="1" si="125"/>
        <v>0</v>
      </c>
      <c r="CD114" s="395">
        <f t="shared" ca="1" si="125"/>
        <v>0</v>
      </c>
      <c r="CE114" s="395">
        <f t="shared" ca="1" si="125"/>
        <v>0</v>
      </c>
      <c r="CF114" s="395">
        <f t="shared" ca="1" si="125"/>
        <v>0</v>
      </c>
      <c r="CG114" s="395">
        <f t="shared" ca="1" si="125"/>
        <v>0</v>
      </c>
      <c r="CH114" s="395">
        <f t="shared" ca="1" si="125"/>
        <v>0</v>
      </c>
      <c r="CI114" s="395">
        <f t="shared" ca="1" si="125"/>
        <v>0</v>
      </c>
      <c r="CJ114" s="395">
        <f t="shared" ca="1" si="125"/>
        <v>0</v>
      </c>
      <c r="CK114" s="395">
        <f t="shared" ca="1" si="125"/>
        <v>0</v>
      </c>
      <c r="CL114" s="133" t="s">
        <v>15</v>
      </c>
    </row>
    <row r="115" spans="2:90" ht="15" customHeight="1" outlineLevel="1" x14ac:dyDescent="0.2">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c r="BS115" s="133"/>
      <c r="BT115" s="133"/>
      <c r="BU115" s="133"/>
      <c r="BV115" s="133"/>
      <c r="BW115" s="133"/>
      <c r="BX115" s="133"/>
      <c r="BY115" s="133"/>
      <c r="BZ115" s="133"/>
      <c r="CA115" s="133"/>
      <c r="CB115" s="133"/>
      <c r="CC115" s="133"/>
      <c r="CD115" s="133"/>
      <c r="CE115" s="133"/>
      <c r="CF115" s="133"/>
      <c r="CG115" s="133"/>
      <c r="CH115" s="133"/>
      <c r="CI115" s="133"/>
      <c r="CJ115" s="133"/>
      <c r="CK115" s="133"/>
      <c r="CL115" s="133"/>
    </row>
    <row r="116" spans="2:90" ht="15" customHeight="1" outlineLevel="1" x14ac:dyDescent="0.2">
      <c r="B116" s="133" t="s">
        <v>279</v>
      </c>
      <c r="C116" s="133"/>
      <c r="D116" s="133"/>
      <c r="E116" s="395">
        <f ca="1">E113</f>
        <v>0</v>
      </c>
      <c r="F116" s="395">
        <f t="shared" ref="F116:BQ116" ca="1" si="126">F113</f>
        <v>0</v>
      </c>
      <c r="G116" s="395">
        <f t="shared" ca="1" si="126"/>
        <v>0</v>
      </c>
      <c r="H116" s="395">
        <f t="shared" ca="1" si="126"/>
        <v>0</v>
      </c>
      <c r="I116" s="395">
        <f t="shared" ca="1" si="126"/>
        <v>0</v>
      </c>
      <c r="J116" s="395">
        <f t="shared" ca="1" si="126"/>
        <v>0</v>
      </c>
      <c r="K116" s="395">
        <f t="shared" ca="1" si="126"/>
        <v>0</v>
      </c>
      <c r="L116" s="395">
        <f t="shared" ca="1" si="126"/>
        <v>0</v>
      </c>
      <c r="M116" s="395">
        <f t="shared" ca="1" si="126"/>
        <v>0</v>
      </c>
      <c r="N116" s="395">
        <f t="shared" ca="1" si="126"/>
        <v>0</v>
      </c>
      <c r="O116" s="395">
        <f t="shared" ca="1" si="126"/>
        <v>0</v>
      </c>
      <c r="P116" s="395">
        <f t="shared" ca="1" si="126"/>
        <v>0</v>
      </c>
      <c r="Q116" s="395">
        <f t="shared" ca="1" si="126"/>
        <v>0</v>
      </c>
      <c r="R116" s="395">
        <f t="shared" ca="1" si="126"/>
        <v>0</v>
      </c>
      <c r="S116" s="395">
        <f t="shared" ca="1" si="126"/>
        <v>0</v>
      </c>
      <c r="T116" s="395">
        <f t="shared" ca="1" si="126"/>
        <v>0</v>
      </c>
      <c r="U116" s="395">
        <f t="shared" ca="1" si="126"/>
        <v>0</v>
      </c>
      <c r="V116" s="395">
        <f t="shared" ca="1" si="126"/>
        <v>0</v>
      </c>
      <c r="W116" s="395">
        <f t="shared" ca="1" si="126"/>
        <v>0</v>
      </c>
      <c r="X116" s="395">
        <f t="shared" ca="1" si="126"/>
        <v>0</v>
      </c>
      <c r="Y116" s="395">
        <f t="shared" ca="1" si="126"/>
        <v>0</v>
      </c>
      <c r="Z116" s="395">
        <f t="shared" ca="1" si="126"/>
        <v>0</v>
      </c>
      <c r="AA116" s="395">
        <f t="shared" ca="1" si="126"/>
        <v>0</v>
      </c>
      <c r="AB116" s="395">
        <f t="shared" ca="1" si="126"/>
        <v>0</v>
      </c>
      <c r="AC116" s="395">
        <f t="shared" ca="1" si="126"/>
        <v>0</v>
      </c>
      <c r="AD116" s="395">
        <f t="shared" ca="1" si="126"/>
        <v>0</v>
      </c>
      <c r="AE116" s="395">
        <f t="shared" ca="1" si="126"/>
        <v>0</v>
      </c>
      <c r="AF116" s="395">
        <f t="shared" ca="1" si="126"/>
        <v>0</v>
      </c>
      <c r="AG116" s="395">
        <f t="shared" ca="1" si="126"/>
        <v>0</v>
      </c>
      <c r="AH116" s="395">
        <f t="shared" ca="1" si="126"/>
        <v>0</v>
      </c>
      <c r="AI116" s="395">
        <f t="shared" ca="1" si="126"/>
        <v>0</v>
      </c>
      <c r="AJ116" s="395">
        <f t="shared" ca="1" si="126"/>
        <v>0</v>
      </c>
      <c r="AK116" s="395">
        <f t="shared" ca="1" si="126"/>
        <v>0</v>
      </c>
      <c r="AL116" s="395">
        <f t="shared" ca="1" si="126"/>
        <v>0</v>
      </c>
      <c r="AM116" s="395">
        <f t="shared" ca="1" si="126"/>
        <v>0</v>
      </c>
      <c r="AN116" s="395">
        <f t="shared" ca="1" si="126"/>
        <v>0</v>
      </c>
      <c r="AO116" s="395">
        <f t="shared" ca="1" si="126"/>
        <v>173419.03354900444</v>
      </c>
      <c r="AP116" s="395">
        <f t="shared" ca="1" si="126"/>
        <v>44029.518827534106</v>
      </c>
      <c r="AQ116" s="395">
        <f t="shared" ca="1" si="126"/>
        <v>44029.518827534106</v>
      </c>
      <c r="AR116" s="395">
        <f t="shared" ca="1" si="126"/>
        <v>44029.518827534106</v>
      </c>
      <c r="AS116" s="395">
        <f t="shared" ca="1" si="126"/>
        <v>44029.518827534106</v>
      </c>
      <c r="AT116" s="395">
        <f t="shared" ca="1" si="126"/>
        <v>44029.518827534106</v>
      </c>
      <c r="AU116" s="395">
        <f t="shared" ca="1" si="126"/>
        <v>44029.518827534106</v>
      </c>
      <c r="AV116" s="395">
        <f t="shared" ca="1" si="126"/>
        <v>44029.518827534106</v>
      </c>
      <c r="AW116" s="395">
        <f t="shared" ca="1" si="126"/>
        <v>44029.518827534106</v>
      </c>
      <c r="AX116" s="395">
        <f t="shared" ca="1" si="126"/>
        <v>44029.518827534106</v>
      </c>
      <c r="AY116" s="395">
        <f t="shared" ca="1" si="126"/>
        <v>44029.518827534106</v>
      </c>
      <c r="AZ116" s="395">
        <f t="shared" ca="1" si="126"/>
        <v>44029.518827534106</v>
      </c>
      <c r="BA116" s="395">
        <f t="shared" ca="1" si="126"/>
        <v>44029.518827534106</v>
      </c>
      <c r="BB116" s="395">
        <f t="shared" ca="1" si="126"/>
        <v>36910.579248436974</v>
      </c>
      <c r="BC116" s="395">
        <f t="shared" ca="1" si="126"/>
        <v>36910.579248436974</v>
      </c>
      <c r="BD116" s="395">
        <f t="shared" ca="1" si="126"/>
        <v>36910.579248436974</v>
      </c>
      <c r="BE116" s="395">
        <f t="shared" ca="1" si="126"/>
        <v>36910.579248436974</v>
      </c>
      <c r="BF116" s="395">
        <f t="shared" ca="1" si="126"/>
        <v>36910.579248436974</v>
      </c>
      <c r="BG116" s="395">
        <f t="shared" ca="1" si="126"/>
        <v>36910.579248436974</v>
      </c>
      <c r="BH116" s="395">
        <f t="shared" ca="1" si="126"/>
        <v>36910.579248436974</v>
      </c>
      <c r="BI116" s="395">
        <f t="shared" ca="1" si="126"/>
        <v>36910.579248436974</v>
      </c>
      <c r="BJ116" s="395">
        <f t="shared" ca="1" si="126"/>
        <v>36910.579248436974</v>
      </c>
      <c r="BK116" s="395">
        <f t="shared" ca="1" si="126"/>
        <v>36910.579248436974</v>
      </c>
      <c r="BL116" s="395">
        <f t="shared" ca="1" si="126"/>
        <v>36910.579248436974</v>
      </c>
      <c r="BM116" s="395">
        <f t="shared" ca="1" si="126"/>
        <v>36910.579248436974</v>
      </c>
      <c r="BN116" s="395">
        <f t="shared" ca="1" si="126"/>
        <v>42768.543947955142</v>
      </c>
      <c r="BO116" s="395">
        <f t="shared" ca="1" si="126"/>
        <v>42768.543947955142</v>
      </c>
      <c r="BP116" s="395">
        <f t="shared" ca="1" si="126"/>
        <v>42768.543947955142</v>
      </c>
      <c r="BQ116" s="395">
        <f t="shared" ca="1" si="126"/>
        <v>42768.543947955142</v>
      </c>
      <c r="BR116" s="395">
        <f t="shared" ref="BR116:CK116" ca="1" si="127">BR113</f>
        <v>42768.543947955142</v>
      </c>
      <c r="BS116" s="395">
        <f t="shared" ca="1" si="127"/>
        <v>42768.543947955142</v>
      </c>
      <c r="BT116" s="395">
        <f t="shared" ca="1" si="127"/>
        <v>42768.543947955142</v>
      </c>
      <c r="BU116" s="395">
        <f t="shared" ca="1" si="127"/>
        <v>42768.543947955142</v>
      </c>
      <c r="BV116" s="395">
        <f t="shared" ca="1" si="127"/>
        <v>42768.543947955142</v>
      </c>
      <c r="BW116" s="395">
        <f t="shared" ca="1" si="127"/>
        <v>42768.543947955142</v>
      </c>
      <c r="BX116" s="395">
        <f t="shared" ca="1" si="127"/>
        <v>42768.543947955142</v>
      </c>
      <c r="BY116" s="395">
        <f t="shared" ca="1" si="127"/>
        <v>5087789.7448465601</v>
      </c>
      <c r="BZ116" s="395">
        <f t="shared" ca="1" si="127"/>
        <v>0</v>
      </c>
      <c r="CA116" s="395">
        <f t="shared" ca="1" si="127"/>
        <v>0</v>
      </c>
      <c r="CB116" s="395">
        <f t="shared" ca="1" si="127"/>
        <v>0</v>
      </c>
      <c r="CC116" s="395">
        <f t="shared" ca="1" si="127"/>
        <v>0</v>
      </c>
      <c r="CD116" s="395">
        <f t="shared" ca="1" si="127"/>
        <v>0</v>
      </c>
      <c r="CE116" s="395">
        <f t="shared" ca="1" si="127"/>
        <v>0</v>
      </c>
      <c r="CF116" s="395">
        <f t="shared" ca="1" si="127"/>
        <v>0</v>
      </c>
      <c r="CG116" s="395">
        <f t="shared" ca="1" si="127"/>
        <v>0</v>
      </c>
      <c r="CH116" s="395">
        <f t="shared" ca="1" si="127"/>
        <v>0</v>
      </c>
      <c r="CI116" s="395">
        <f t="shared" ca="1" si="127"/>
        <v>0</v>
      </c>
      <c r="CJ116" s="395">
        <f t="shared" ca="1" si="127"/>
        <v>0</v>
      </c>
      <c r="CK116" s="395">
        <f t="shared" ca="1" si="127"/>
        <v>0</v>
      </c>
      <c r="CL116" s="133" t="s">
        <v>15</v>
      </c>
    </row>
    <row r="117" spans="2:90" ht="15" customHeight="1" outlineLevel="1" x14ac:dyDescent="0.2">
      <c r="B117" s="133" t="s">
        <v>280</v>
      </c>
      <c r="C117" s="133"/>
      <c r="D117" s="133"/>
      <c r="E117" s="395">
        <f ca="1">E114</f>
        <v>0</v>
      </c>
      <c r="F117" s="395">
        <f t="shared" ref="F117:BQ117" ca="1" si="128">F114</f>
        <v>0</v>
      </c>
      <c r="G117" s="395">
        <f t="shared" ca="1" si="128"/>
        <v>0</v>
      </c>
      <c r="H117" s="395">
        <f t="shared" ca="1" si="128"/>
        <v>0</v>
      </c>
      <c r="I117" s="395">
        <f t="shared" ca="1" si="128"/>
        <v>0</v>
      </c>
      <c r="J117" s="395">
        <f t="shared" ca="1" si="128"/>
        <v>0</v>
      </c>
      <c r="K117" s="395">
        <f t="shared" ca="1" si="128"/>
        <v>0</v>
      </c>
      <c r="L117" s="395">
        <f t="shared" ca="1" si="128"/>
        <v>0</v>
      </c>
      <c r="M117" s="395">
        <f t="shared" ca="1" si="128"/>
        <v>0</v>
      </c>
      <c r="N117" s="395">
        <f t="shared" ca="1" si="128"/>
        <v>0</v>
      </c>
      <c r="O117" s="395">
        <f t="shared" ca="1" si="128"/>
        <v>0</v>
      </c>
      <c r="P117" s="395">
        <f t="shared" ca="1" si="128"/>
        <v>0</v>
      </c>
      <c r="Q117" s="395">
        <f t="shared" ca="1" si="128"/>
        <v>0</v>
      </c>
      <c r="R117" s="395">
        <f t="shared" ca="1" si="128"/>
        <v>0</v>
      </c>
      <c r="S117" s="395">
        <f t="shared" ca="1" si="128"/>
        <v>0</v>
      </c>
      <c r="T117" s="395">
        <f t="shared" ca="1" si="128"/>
        <v>0</v>
      </c>
      <c r="U117" s="395">
        <f t="shared" ca="1" si="128"/>
        <v>0</v>
      </c>
      <c r="V117" s="395">
        <f t="shared" ca="1" si="128"/>
        <v>0</v>
      </c>
      <c r="W117" s="395">
        <f t="shared" ca="1" si="128"/>
        <v>0</v>
      </c>
      <c r="X117" s="395">
        <f t="shared" ca="1" si="128"/>
        <v>0</v>
      </c>
      <c r="Y117" s="395">
        <f t="shared" ca="1" si="128"/>
        <v>0</v>
      </c>
      <c r="Z117" s="395">
        <f t="shared" ca="1" si="128"/>
        <v>0</v>
      </c>
      <c r="AA117" s="395">
        <f t="shared" ca="1" si="128"/>
        <v>0</v>
      </c>
      <c r="AB117" s="395">
        <f t="shared" ca="1" si="128"/>
        <v>0</v>
      </c>
      <c r="AC117" s="395">
        <f t="shared" ca="1" si="128"/>
        <v>0</v>
      </c>
      <c r="AD117" s="395">
        <f t="shared" ca="1" si="128"/>
        <v>0</v>
      </c>
      <c r="AE117" s="395">
        <f t="shared" ca="1" si="128"/>
        <v>0</v>
      </c>
      <c r="AF117" s="395">
        <f t="shared" ca="1" si="128"/>
        <v>0</v>
      </c>
      <c r="AG117" s="395">
        <f t="shared" ca="1" si="128"/>
        <v>0</v>
      </c>
      <c r="AH117" s="395">
        <f t="shared" ca="1" si="128"/>
        <v>0</v>
      </c>
      <c r="AI117" s="395">
        <f t="shared" ca="1" si="128"/>
        <v>0</v>
      </c>
      <c r="AJ117" s="395">
        <f t="shared" ca="1" si="128"/>
        <v>0</v>
      </c>
      <c r="AK117" s="395">
        <f t="shared" ca="1" si="128"/>
        <v>0</v>
      </c>
      <c r="AL117" s="395">
        <f t="shared" ca="1" si="128"/>
        <v>0</v>
      </c>
      <c r="AM117" s="395">
        <f t="shared" ca="1" si="128"/>
        <v>0</v>
      </c>
      <c r="AN117" s="395">
        <f t="shared" ca="1" si="128"/>
        <v>0</v>
      </c>
      <c r="AO117" s="395">
        <f t="shared" ca="1" si="128"/>
        <v>260128.55032350661</v>
      </c>
      <c r="AP117" s="395">
        <f t="shared" ca="1" si="128"/>
        <v>66044.278241301159</v>
      </c>
      <c r="AQ117" s="395">
        <f t="shared" ca="1" si="128"/>
        <v>66044.278241301159</v>
      </c>
      <c r="AR117" s="395">
        <f t="shared" ca="1" si="128"/>
        <v>66044.278241301159</v>
      </c>
      <c r="AS117" s="395">
        <f t="shared" ca="1" si="128"/>
        <v>66044.278241301159</v>
      </c>
      <c r="AT117" s="395">
        <f t="shared" ca="1" si="128"/>
        <v>66044.278241301159</v>
      </c>
      <c r="AU117" s="395">
        <f t="shared" ca="1" si="128"/>
        <v>66044.278241301159</v>
      </c>
      <c r="AV117" s="395">
        <f t="shared" ca="1" si="128"/>
        <v>66044.278241301159</v>
      </c>
      <c r="AW117" s="395">
        <f t="shared" ca="1" si="128"/>
        <v>66044.278241301159</v>
      </c>
      <c r="AX117" s="395">
        <f t="shared" ca="1" si="128"/>
        <v>66044.278241301159</v>
      </c>
      <c r="AY117" s="395">
        <f t="shared" ca="1" si="128"/>
        <v>66044.278241301159</v>
      </c>
      <c r="AZ117" s="395">
        <f t="shared" ca="1" si="128"/>
        <v>66044.278241301159</v>
      </c>
      <c r="BA117" s="395">
        <f t="shared" ca="1" si="128"/>
        <v>66044.278241301159</v>
      </c>
      <c r="BB117" s="395">
        <f t="shared" ca="1" si="128"/>
        <v>55365.868872655454</v>
      </c>
      <c r="BC117" s="395">
        <f t="shared" ca="1" si="128"/>
        <v>55365.868872655454</v>
      </c>
      <c r="BD117" s="395">
        <f t="shared" ca="1" si="128"/>
        <v>55365.868872655454</v>
      </c>
      <c r="BE117" s="395">
        <f t="shared" ca="1" si="128"/>
        <v>55365.868872655454</v>
      </c>
      <c r="BF117" s="395">
        <f t="shared" ca="1" si="128"/>
        <v>55365.868872655454</v>
      </c>
      <c r="BG117" s="395">
        <f t="shared" ca="1" si="128"/>
        <v>55365.868872655454</v>
      </c>
      <c r="BH117" s="395">
        <f t="shared" ca="1" si="128"/>
        <v>55365.868872655454</v>
      </c>
      <c r="BI117" s="395">
        <f t="shared" ca="1" si="128"/>
        <v>55365.868872655454</v>
      </c>
      <c r="BJ117" s="395">
        <f t="shared" ca="1" si="128"/>
        <v>55365.868872655454</v>
      </c>
      <c r="BK117" s="395">
        <f t="shared" ca="1" si="128"/>
        <v>55365.868872655454</v>
      </c>
      <c r="BL117" s="395">
        <f t="shared" ca="1" si="128"/>
        <v>55365.868872655454</v>
      </c>
      <c r="BM117" s="395">
        <f t="shared" ca="1" si="128"/>
        <v>55365.868872655454</v>
      </c>
      <c r="BN117" s="395">
        <f t="shared" ca="1" si="128"/>
        <v>64152.815921932706</v>
      </c>
      <c r="BO117" s="395">
        <f t="shared" ca="1" si="128"/>
        <v>64152.815921932706</v>
      </c>
      <c r="BP117" s="395">
        <f t="shared" ca="1" si="128"/>
        <v>64152.815921932706</v>
      </c>
      <c r="BQ117" s="395">
        <f t="shared" ca="1" si="128"/>
        <v>64152.815921932706</v>
      </c>
      <c r="BR117" s="395">
        <f t="shared" ref="BR117:CK117" ca="1" si="129">BR114</f>
        <v>64152.815921932706</v>
      </c>
      <c r="BS117" s="395">
        <f t="shared" ca="1" si="129"/>
        <v>64152.815921932706</v>
      </c>
      <c r="BT117" s="395">
        <f t="shared" ca="1" si="129"/>
        <v>64152.815921932706</v>
      </c>
      <c r="BU117" s="395">
        <f t="shared" ca="1" si="129"/>
        <v>64152.815921932706</v>
      </c>
      <c r="BV117" s="395">
        <f t="shared" ca="1" si="129"/>
        <v>64152.815921932706</v>
      </c>
      <c r="BW117" s="395">
        <f t="shared" ca="1" si="129"/>
        <v>64152.815921932706</v>
      </c>
      <c r="BX117" s="395">
        <f t="shared" ca="1" si="129"/>
        <v>64152.815921932706</v>
      </c>
      <c r="BY117" s="395">
        <f t="shared" ca="1" si="129"/>
        <v>7631684.6172698401</v>
      </c>
      <c r="BZ117" s="395">
        <f t="shared" ca="1" si="129"/>
        <v>0</v>
      </c>
      <c r="CA117" s="395">
        <f t="shared" ca="1" si="129"/>
        <v>0</v>
      </c>
      <c r="CB117" s="395">
        <f t="shared" ca="1" si="129"/>
        <v>0</v>
      </c>
      <c r="CC117" s="395">
        <f t="shared" ca="1" si="129"/>
        <v>0</v>
      </c>
      <c r="CD117" s="395">
        <f t="shared" ca="1" si="129"/>
        <v>0</v>
      </c>
      <c r="CE117" s="395">
        <f t="shared" ca="1" si="129"/>
        <v>0</v>
      </c>
      <c r="CF117" s="395">
        <f t="shared" ca="1" si="129"/>
        <v>0</v>
      </c>
      <c r="CG117" s="395">
        <f t="shared" ca="1" si="129"/>
        <v>0</v>
      </c>
      <c r="CH117" s="395">
        <f t="shared" ca="1" si="129"/>
        <v>0</v>
      </c>
      <c r="CI117" s="395">
        <f t="shared" ca="1" si="129"/>
        <v>0</v>
      </c>
      <c r="CJ117" s="395">
        <f t="shared" ca="1" si="129"/>
        <v>0</v>
      </c>
      <c r="CK117" s="395">
        <f t="shared" ca="1" si="129"/>
        <v>0</v>
      </c>
      <c r="CL117" s="133" t="s">
        <v>15</v>
      </c>
    </row>
    <row r="118" spans="2:90" ht="15" customHeight="1" outlineLevel="1" x14ac:dyDescent="0.2">
      <c r="B118" s="133" t="s">
        <v>30</v>
      </c>
      <c r="C118" s="133"/>
      <c r="D118" s="133"/>
      <c r="E118" s="395">
        <f ca="1">SUM(E116:E117)</f>
        <v>0</v>
      </c>
      <c r="F118" s="395">
        <f t="shared" ref="F118:BQ118" ca="1" si="130">SUM(F116:F117)</f>
        <v>0</v>
      </c>
      <c r="G118" s="395">
        <f t="shared" ca="1" si="130"/>
        <v>0</v>
      </c>
      <c r="H118" s="395">
        <f t="shared" ca="1" si="130"/>
        <v>0</v>
      </c>
      <c r="I118" s="395">
        <f t="shared" ca="1" si="130"/>
        <v>0</v>
      </c>
      <c r="J118" s="395">
        <f t="shared" ca="1" si="130"/>
        <v>0</v>
      </c>
      <c r="K118" s="395">
        <f t="shared" ca="1" si="130"/>
        <v>0</v>
      </c>
      <c r="L118" s="395">
        <f t="shared" ca="1" si="130"/>
        <v>0</v>
      </c>
      <c r="M118" s="395">
        <f t="shared" ca="1" si="130"/>
        <v>0</v>
      </c>
      <c r="N118" s="395">
        <f t="shared" ca="1" si="130"/>
        <v>0</v>
      </c>
      <c r="O118" s="395">
        <f t="shared" ca="1" si="130"/>
        <v>0</v>
      </c>
      <c r="P118" s="395">
        <f t="shared" ca="1" si="130"/>
        <v>0</v>
      </c>
      <c r="Q118" s="395">
        <f t="shared" ca="1" si="130"/>
        <v>0</v>
      </c>
      <c r="R118" s="395">
        <f t="shared" ca="1" si="130"/>
        <v>0</v>
      </c>
      <c r="S118" s="395">
        <f t="shared" ca="1" si="130"/>
        <v>0</v>
      </c>
      <c r="T118" s="395">
        <f t="shared" ca="1" si="130"/>
        <v>0</v>
      </c>
      <c r="U118" s="395">
        <f t="shared" ca="1" si="130"/>
        <v>0</v>
      </c>
      <c r="V118" s="395">
        <f t="shared" ca="1" si="130"/>
        <v>0</v>
      </c>
      <c r="W118" s="395">
        <f t="shared" ca="1" si="130"/>
        <v>0</v>
      </c>
      <c r="X118" s="395">
        <f t="shared" ca="1" si="130"/>
        <v>0</v>
      </c>
      <c r="Y118" s="395">
        <f t="shared" ca="1" si="130"/>
        <v>0</v>
      </c>
      <c r="Z118" s="395">
        <f t="shared" ca="1" si="130"/>
        <v>0</v>
      </c>
      <c r="AA118" s="395">
        <f t="shared" ca="1" si="130"/>
        <v>0</v>
      </c>
      <c r="AB118" s="395">
        <f t="shared" ca="1" si="130"/>
        <v>0</v>
      </c>
      <c r="AC118" s="395">
        <f t="shared" ca="1" si="130"/>
        <v>0</v>
      </c>
      <c r="AD118" s="395">
        <f t="shared" ca="1" si="130"/>
        <v>0</v>
      </c>
      <c r="AE118" s="395">
        <f t="shared" ca="1" si="130"/>
        <v>0</v>
      </c>
      <c r="AF118" s="395">
        <f t="shared" ca="1" si="130"/>
        <v>0</v>
      </c>
      <c r="AG118" s="395">
        <f t="shared" ca="1" si="130"/>
        <v>0</v>
      </c>
      <c r="AH118" s="395">
        <f t="shared" ca="1" si="130"/>
        <v>0</v>
      </c>
      <c r="AI118" s="395">
        <f t="shared" ca="1" si="130"/>
        <v>0</v>
      </c>
      <c r="AJ118" s="395">
        <f t="shared" ca="1" si="130"/>
        <v>0</v>
      </c>
      <c r="AK118" s="395">
        <f t="shared" ca="1" si="130"/>
        <v>0</v>
      </c>
      <c r="AL118" s="395">
        <f t="shared" ca="1" si="130"/>
        <v>0</v>
      </c>
      <c r="AM118" s="395">
        <f t="shared" ca="1" si="130"/>
        <v>0</v>
      </c>
      <c r="AN118" s="395">
        <f t="shared" ca="1" si="130"/>
        <v>0</v>
      </c>
      <c r="AO118" s="395">
        <f t="shared" ca="1" si="130"/>
        <v>433547.58387251105</v>
      </c>
      <c r="AP118" s="395">
        <f t="shared" ca="1" si="130"/>
        <v>110073.79706883527</v>
      </c>
      <c r="AQ118" s="395">
        <f t="shared" ca="1" si="130"/>
        <v>110073.79706883527</v>
      </c>
      <c r="AR118" s="395">
        <f t="shared" ca="1" si="130"/>
        <v>110073.79706883527</v>
      </c>
      <c r="AS118" s="395">
        <f t="shared" ca="1" si="130"/>
        <v>110073.79706883527</v>
      </c>
      <c r="AT118" s="395">
        <f t="shared" ca="1" si="130"/>
        <v>110073.79706883527</v>
      </c>
      <c r="AU118" s="395">
        <f t="shared" ca="1" si="130"/>
        <v>110073.79706883527</v>
      </c>
      <c r="AV118" s="395">
        <f t="shared" ca="1" si="130"/>
        <v>110073.79706883527</v>
      </c>
      <c r="AW118" s="395">
        <f t="shared" ca="1" si="130"/>
        <v>110073.79706883527</v>
      </c>
      <c r="AX118" s="395">
        <f t="shared" ca="1" si="130"/>
        <v>110073.79706883527</v>
      </c>
      <c r="AY118" s="395">
        <f t="shared" ca="1" si="130"/>
        <v>110073.79706883527</v>
      </c>
      <c r="AZ118" s="395">
        <f t="shared" ca="1" si="130"/>
        <v>110073.79706883527</v>
      </c>
      <c r="BA118" s="395">
        <f t="shared" ca="1" si="130"/>
        <v>110073.79706883527</v>
      </c>
      <c r="BB118" s="395">
        <f t="shared" ca="1" si="130"/>
        <v>92276.448121092428</v>
      </c>
      <c r="BC118" s="395">
        <f t="shared" ca="1" si="130"/>
        <v>92276.448121092428</v>
      </c>
      <c r="BD118" s="395">
        <f t="shared" ca="1" si="130"/>
        <v>92276.448121092428</v>
      </c>
      <c r="BE118" s="395">
        <f t="shared" ca="1" si="130"/>
        <v>92276.448121092428</v>
      </c>
      <c r="BF118" s="395">
        <f t="shared" ca="1" si="130"/>
        <v>92276.448121092428</v>
      </c>
      <c r="BG118" s="395">
        <f t="shared" ca="1" si="130"/>
        <v>92276.448121092428</v>
      </c>
      <c r="BH118" s="395">
        <f t="shared" ca="1" si="130"/>
        <v>92276.448121092428</v>
      </c>
      <c r="BI118" s="395">
        <f t="shared" ca="1" si="130"/>
        <v>92276.448121092428</v>
      </c>
      <c r="BJ118" s="395">
        <f t="shared" ca="1" si="130"/>
        <v>92276.448121092428</v>
      </c>
      <c r="BK118" s="395">
        <f t="shared" ca="1" si="130"/>
        <v>92276.448121092428</v>
      </c>
      <c r="BL118" s="395">
        <f t="shared" ca="1" si="130"/>
        <v>92276.448121092428</v>
      </c>
      <c r="BM118" s="395">
        <f t="shared" ca="1" si="130"/>
        <v>92276.448121092428</v>
      </c>
      <c r="BN118" s="395">
        <f t="shared" ca="1" si="130"/>
        <v>106921.35986988785</v>
      </c>
      <c r="BO118" s="395">
        <f t="shared" ca="1" si="130"/>
        <v>106921.35986988785</v>
      </c>
      <c r="BP118" s="395">
        <f t="shared" ca="1" si="130"/>
        <v>106921.35986988785</v>
      </c>
      <c r="BQ118" s="395">
        <f t="shared" ca="1" si="130"/>
        <v>106921.35986988785</v>
      </c>
      <c r="BR118" s="395">
        <f t="shared" ref="BR118:CK118" ca="1" si="131">SUM(BR116:BR117)</f>
        <v>106921.35986988785</v>
      </c>
      <c r="BS118" s="395">
        <f t="shared" ca="1" si="131"/>
        <v>106921.35986988785</v>
      </c>
      <c r="BT118" s="395">
        <f t="shared" ca="1" si="131"/>
        <v>106921.35986988785</v>
      </c>
      <c r="BU118" s="395">
        <f t="shared" ca="1" si="131"/>
        <v>106921.35986988785</v>
      </c>
      <c r="BV118" s="395">
        <f t="shared" ca="1" si="131"/>
        <v>106921.35986988785</v>
      </c>
      <c r="BW118" s="395">
        <f t="shared" ca="1" si="131"/>
        <v>106921.35986988785</v>
      </c>
      <c r="BX118" s="395">
        <f t="shared" ca="1" si="131"/>
        <v>106921.35986988785</v>
      </c>
      <c r="BY118" s="395">
        <f t="shared" ca="1" si="131"/>
        <v>12719474.3621164</v>
      </c>
      <c r="BZ118" s="395">
        <f t="shared" ca="1" si="131"/>
        <v>0</v>
      </c>
      <c r="CA118" s="395">
        <f t="shared" ca="1" si="131"/>
        <v>0</v>
      </c>
      <c r="CB118" s="395">
        <f t="shared" ca="1" si="131"/>
        <v>0</v>
      </c>
      <c r="CC118" s="395">
        <f t="shared" ca="1" si="131"/>
        <v>0</v>
      </c>
      <c r="CD118" s="395">
        <f t="shared" ca="1" si="131"/>
        <v>0</v>
      </c>
      <c r="CE118" s="395">
        <f t="shared" ca="1" si="131"/>
        <v>0</v>
      </c>
      <c r="CF118" s="395">
        <f t="shared" ca="1" si="131"/>
        <v>0</v>
      </c>
      <c r="CG118" s="395">
        <f t="shared" ca="1" si="131"/>
        <v>0</v>
      </c>
      <c r="CH118" s="395">
        <f t="shared" ca="1" si="131"/>
        <v>0</v>
      </c>
      <c r="CI118" s="395">
        <f t="shared" ca="1" si="131"/>
        <v>0</v>
      </c>
      <c r="CJ118" s="395">
        <f t="shared" ca="1" si="131"/>
        <v>0</v>
      </c>
      <c r="CK118" s="395">
        <f t="shared" ca="1" si="131"/>
        <v>0</v>
      </c>
      <c r="CL118" s="133" t="s">
        <v>15</v>
      </c>
    </row>
    <row r="119" spans="2:90" ht="15" customHeight="1" outlineLevel="1" x14ac:dyDescent="0.2">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c r="BS119" s="133"/>
      <c r="BT119" s="133"/>
      <c r="BU119" s="133"/>
      <c r="BV119" s="133"/>
      <c r="BW119" s="133"/>
      <c r="BX119" s="133"/>
      <c r="BY119" s="133"/>
      <c r="BZ119" s="133"/>
      <c r="CA119" s="133"/>
      <c r="CB119" s="133"/>
      <c r="CC119" s="133"/>
      <c r="CD119" s="133"/>
      <c r="CE119" s="133"/>
      <c r="CF119" s="133"/>
      <c r="CG119" s="133"/>
      <c r="CH119" s="133"/>
      <c r="CI119" s="133"/>
      <c r="CJ119" s="133"/>
      <c r="CK119" s="133"/>
      <c r="CL119" s="133"/>
    </row>
    <row r="120" spans="2:90" ht="15" customHeight="1" x14ac:dyDescent="0.2">
      <c r="B120" s="133" t="s">
        <v>267</v>
      </c>
      <c r="C120" s="133"/>
      <c r="D120" s="133"/>
      <c r="E120" s="395">
        <f ca="1">E101+E116</f>
        <v>-3358172.9905319572</v>
      </c>
      <c r="F120" s="395">
        <f t="shared" ref="F120:BQ120" ca="1" si="132">F101+F116</f>
        <v>-128422.48084919996</v>
      </c>
      <c r="G120" s="395">
        <f t="shared" ca="1" si="132"/>
        <v>-128506.5682378714</v>
      </c>
      <c r="H120" s="395">
        <f t="shared" ca="1" si="132"/>
        <v>-158833.09271914329</v>
      </c>
      <c r="I120" s="395">
        <f t="shared" ca="1" si="132"/>
        <v>-288212.83321714279</v>
      </c>
      <c r="J120" s="395">
        <f t="shared" ca="1" si="132"/>
        <v>-244261.56490285712</v>
      </c>
      <c r="K120" s="395">
        <f t="shared" ca="1" si="132"/>
        <v>-413184.54954857146</v>
      </c>
      <c r="L120" s="395">
        <f t="shared" ca="1" si="132"/>
        <v>-631013.1134575489</v>
      </c>
      <c r="M120" s="395">
        <f t="shared" ca="1" si="132"/>
        <v>-631431.44036652637</v>
      </c>
      <c r="N120" s="395">
        <f t="shared" ca="1" si="132"/>
        <v>-631849.76727550384</v>
      </c>
      <c r="O120" s="395">
        <f t="shared" ca="1" si="132"/>
        <v>-632268.09418448119</v>
      </c>
      <c r="P120" s="395">
        <f t="shared" ca="1" si="132"/>
        <v>-632686.42109345866</v>
      </c>
      <c r="Q120" s="395">
        <f t="shared" ca="1" si="132"/>
        <v>-633104.74800243613</v>
      </c>
      <c r="R120" s="395">
        <f t="shared" ca="1" si="132"/>
        <v>-974044.22176741331</v>
      </c>
      <c r="S120" s="395">
        <f t="shared" ca="1" si="132"/>
        <v>-1079788.5309323911</v>
      </c>
      <c r="T120" s="395">
        <f t="shared" ca="1" si="132"/>
        <v>-475749.59246165282</v>
      </c>
      <c r="U120" s="395">
        <f t="shared" ca="1" si="132"/>
        <v>-7287.0918000000011</v>
      </c>
      <c r="V120" s="395">
        <f t="shared" ca="1" si="132"/>
        <v>-7287.0918000000011</v>
      </c>
      <c r="W120" s="395">
        <f t="shared" ca="1" si="132"/>
        <v>-7287.0918000000011</v>
      </c>
      <c r="X120" s="395">
        <f t="shared" ca="1" si="132"/>
        <v>-7287.0918000000011</v>
      </c>
      <c r="Y120" s="395">
        <f t="shared" ca="1" si="132"/>
        <v>-7287.0918000000011</v>
      </c>
      <c r="Z120" s="395">
        <f t="shared" ca="1" si="132"/>
        <v>-7287.0918000000011</v>
      </c>
      <c r="AA120" s="395">
        <f t="shared" ca="1" si="132"/>
        <v>-7287.0918000000011</v>
      </c>
      <c r="AB120" s="395">
        <f t="shared" ca="1" si="132"/>
        <v>-7287.0918000000011</v>
      </c>
      <c r="AC120" s="395">
        <f t="shared" ca="1" si="132"/>
        <v>-7287.0918000000011</v>
      </c>
      <c r="AD120" s="395">
        <f t="shared" ca="1" si="132"/>
        <v>-7287.0918000000011</v>
      </c>
      <c r="AE120" s="395">
        <f t="shared" ca="1" si="132"/>
        <v>-7287.0918000000011</v>
      </c>
      <c r="AF120" s="395">
        <f t="shared" ca="1" si="132"/>
        <v>-7287.0918000000011</v>
      </c>
      <c r="AG120" s="395">
        <f t="shared" ca="1" si="132"/>
        <v>-7287.0918000000011</v>
      </c>
      <c r="AH120" s="395">
        <f t="shared" ca="1" si="132"/>
        <v>-7287.0918000000011</v>
      </c>
      <c r="AI120" s="395">
        <f t="shared" ca="1" si="132"/>
        <v>-7287.0918000000011</v>
      </c>
      <c r="AJ120" s="395">
        <f t="shared" ca="1" si="132"/>
        <v>-7287.0918000000011</v>
      </c>
      <c r="AK120" s="395">
        <f t="shared" ca="1" si="132"/>
        <v>-7287.0918000000011</v>
      </c>
      <c r="AL120" s="395">
        <f t="shared" ca="1" si="132"/>
        <v>-7287.0918000000011</v>
      </c>
      <c r="AM120" s="395">
        <f t="shared" ca="1" si="132"/>
        <v>-7287.0918000000011</v>
      </c>
      <c r="AN120" s="395">
        <f t="shared" ca="1" si="132"/>
        <v>-7287.0918000000011</v>
      </c>
      <c r="AO120" s="395">
        <f t="shared" ca="1" si="132"/>
        <v>15835599.617316414</v>
      </c>
      <c r="AP120" s="395">
        <f t="shared" ca="1" si="132"/>
        <v>44029.518827534106</v>
      </c>
      <c r="AQ120" s="395">
        <f t="shared" ca="1" si="132"/>
        <v>44029.518827534106</v>
      </c>
      <c r="AR120" s="395">
        <f t="shared" ca="1" si="132"/>
        <v>44029.518827534106</v>
      </c>
      <c r="AS120" s="395">
        <f t="shared" ca="1" si="132"/>
        <v>44029.518827534106</v>
      </c>
      <c r="AT120" s="395">
        <f t="shared" ca="1" si="132"/>
        <v>44029.518827534106</v>
      </c>
      <c r="AU120" s="395">
        <f t="shared" ca="1" si="132"/>
        <v>44029.518827534106</v>
      </c>
      <c r="AV120" s="395">
        <f t="shared" ca="1" si="132"/>
        <v>44029.518827534106</v>
      </c>
      <c r="AW120" s="395">
        <f t="shared" ca="1" si="132"/>
        <v>44029.518827534106</v>
      </c>
      <c r="AX120" s="395">
        <f t="shared" ca="1" si="132"/>
        <v>44029.518827534106</v>
      </c>
      <c r="AY120" s="395">
        <f t="shared" ca="1" si="132"/>
        <v>44029.518827534106</v>
      </c>
      <c r="AZ120" s="395">
        <f t="shared" ca="1" si="132"/>
        <v>44029.518827534106</v>
      </c>
      <c r="BA120" s="395">
        <f t="shared" ca="1" si="132"/>
        <v>44029.518827534106</v>
      </c>
      <c r="BB120" s="395">
        <f t="shared" ca="1" si="132"/>
        <v>36910.579248436974</v>
      </c>
      <c r="BC120" s="395">
        <f t="shared" ca="1" si="132"/>
        <v>36910.579248436974</v>
      </c>
      <c r="BD120" s="395">
        <f t="shared" ca="1" si="132"/>
        <v>36910.579248436974</v>
      </c>
      <c r="BE120" s="395">
        <f t="shared" ca="1" si="132"/>
        <v>36910.579248436974</v>
      </c>
      <c r="BF120" s="395">
        <f t="shared" ca="1" si="132"/>
        <v>36910.579248436974</v>
      </c>
      <c r="BG120" s="395">
        <f t="shared" ca="1" si="132"/>
        <v>36910.579248436974</v>
      </c>
      <c r="BH120" s="395">
        <f t="shared" ca="1" si="132"/>
        <v>36910.579248436974</v>
      </c>
      <c r="BI120" s="395">
        <f t="shared" ca="1" si="132"/>
        <v>36910.579248436974</v>
      </c>
      <c r="BJ120" s="395">
        <f t="shared" ca="1" si="132"/>
        <v>36910.579248436974</v>
      </c>
      <c r="BK120" s="395">
        <f t="shared" ca="1" si="132"/>
        <v>36910.579248436974</v>
      </c>
      <c r="BL120" s="395">
        <f t="shared" ca="1" si="132"/>
        <v>36910.579248436974</v>
      </c>
      <c r="BM120" s="395">
        <f t="shared" ca="1" si="132"/>
        <v>36910.579248436974</v>
      </c>
      <c r="BN120" s="395">
        <f t="shared" ca="1" si="132"/>
        <v>42768.543947955142</v>
      </c>
      <c r="BO120" s="395">
        <f t="shared" ca="1" si="132"/>
        <v>42768.543947955142</v>
      </c>
      <c r="BP120" s="395">
        <f t="shared" ca="1" si="132"/>
        <v>42768.543947955142</v>
      </c>
      <c r="BQ120" s="395">
        <f t="shared" ca="1" si="132"/>
        <v>42768.543947955142</v>
      </c>
      <c r="BR120" s="395">
        <f t="shared" ref="BR120:CK120" ca="1" si="133">BR101+BR116</f>
        <v>42768.543947955142</v>
      </c>
      <c r="BS120" s="395">
        <f t="shared" ca="1" si="133"/>
        <v>42768.543947955142</v>
      </c>
      <c r="BT120" s="395">
        <f t="shared" ca="1" si="133"/>
        <v>42768.543947955142</v>
      </c>
      <c r="BU120" s="395">
        <f t="shared" ca="1" si="133"/>
        <v>42768.543947955142</v>
      </c>
      <c r="BV120" s="395">
        <f t="shared" ca="1" si="133"/>
        <v>42768.543947955142</v>
      </c>
      <c r="BW120" s="395">
        <f t="shared" ca="1" si="133"/>
        <v>42768.543947955142</v>
      </c>
      <c r="BX120" s="395">
        <f t="shared" ca="1" si="133"/>
        <v>42768.543947955142</v>
      </c>
      <c r="BY120" s="395">
        <f t="shared" ca="1" si="133"/>
        <v>5087789.7448465601</v>
      </c>
      <c r="BZ120" s="395">
        <f t="shared" ca="1" si="133"/>
        <v>0</v>
      </c>
      <c r="CA120" s="395">
        <f t="shared" ca="1" si="133"/>
        <v>0</v>
      </c>
      <c r="CB120" s="395">
        <f t="shared" ca="1" si="133"/>
        <v>0</v>
      </c>
      <c r="CC120" s="395">
        <f t="shared" ca="1" si="133"/>
        <v>0</v>
      </c>
      <c r="CD120" s="395">
        <f t="shared" ca="1" si="133"/>
        <v>0</v>
      </c>
      <c r="CE120" s="395">
        <f t="shared" ca="1" si="133"/>
        <v>0</v>
      </c>
      <c r="CF120" s="395">
        <f t="shared" ca="1" si="133"/>
        <v>0</v>
      </c>
      <c r="CG120" s="395">
        <f t="shared" ca="1" si="133"/>
        <v>0</v>
      </c>
      <c r="CH120" s="395">
        <f t="shared" ca="1" si="133"/>
        <v>0</v>
      </c>
      <c r="CI120" s="395">
        <f t="shared" ca="1" si="133"/>
        <v>0</v>
      </c>
      <c r="CJ120" s="395">
        <f t="shared" ca="1" si="133"/>
        <v>0</v>
      </c>
      <c r="CK120" s="395">
        <f t="shared" ca="1" si="133"/>
        <v>0</v>
      </c>
      <c r="CL120" s="133" t="s">
        <v>15</v>
      </c>
    </row>
    <row r="121" spans="2:90" ht="15" customHeight="1" x14ac:dyDescent="0.2">
      <c r="B121" s="133" t="s">
        <v>268</v>
      </c>
      <c r="C121" s="133"/>
      <c r="D121" s="133"/>
      <c r="E121" s="395">
        <f ca="1">E102+E117</f>
        <v>-373130.33228132862</v>
      </c>
      <c r="F121" s="395">
        <f t="shared" ref="F121:BQ122" ca="1" si="134">F102+F117</f>
        <v>-14269.164538799996</v>
      </c>
      <c r="G121" s="395">
        <f t="shared" ca="1" si="134"/>
        <v>-14278.50758198571</v>
      </c>
      <c r="H121" s="395">
        <f t="shared" ca="1" si="134"/>
        <v>-17648.121413238143</v>
      </c>
      <c r="I121" s="395">
        <f t="shared" ca="1" si="134"/>
        <v>-32023.648135238091</v>
      </c>
      <c r="J121" s="395">
        <f t="shared" ca="1" si="134"/>
        <v>-27140.173878095236</v>
      </c>
      <c r="K121" s="395">
        <f t="shared" ca="1" si="134"/>
        <v>-45909.394394285715</v>
      </c>
      <c r="L121" s="395">
        <f t="shared" ca="1" si="134"/>
        <v>-70112.568161949879</v>
      </c>
      <c r="M121" s="395">
        <f t="shared" ca="1" si="134"/>
        <v>-70159.048929614044</v>
      </c>
      <c r="N121" s="395">
        <f t="shared" ca="1" si="134"/>
        <v>-70205.529697278209</v>
      </c>
      <c r="O121" s="395">
        <f t="shared" ca="1" si="134"/>
        <v>-70252.010464942359</v>
      </c>
      <c r="P121" s="395">
        <f t="shared" ca="1" si="134"/>
        <v>-70298.49123260651</v>
      </c>
      <c r="Q121" s="395">
        <f t="shared" ca="1" si="134"/>
        <v>-70344.972000270674</v>
      </c>
      <c r="R121" s="395">
        <f t="shared" ca="1" si="134"/>
        <v>-108227.13575193482</v>
      </c>
      <c r="S121" s="395">
        <f t="shared" ca="1" si="134"/>
        <v>-119976.50343693234</v>
      </c>
      <c r="T121" s="395">
        <f t="shared" ca="1" si="134"/>
        <v>-52861.065829072533</v>
      </c>
      <c r="U121" s="395">
        <f t="shared" ca="1" si="134"/>
        <v>-809.6768666666668</v>
      </c>
      <c r="V121" s="395">
        <f t="shared" ca="1" si="134"/>
        <v>-809.6768666666668</v>
      </c>
      <c r="W121" s="395">
        <f t="shared" ca="1" si="134"/>
        <v>-809.6768666666668</v>
      </c>
      <c r="X121" s="395">
        <f t="shared" ca="1" si="134"/>
        <v>-809.6768666666668</v>
      </c>
      <c r="Y121" s="395">
        <f t="shared" ca="1" si="134"/>
        <v>-809.6768666666668</v>
      </c>
      <c r="Z121" s="395">
        <f t="shared" ca="1" si="134"/>
        <v>-809.6768666666668</v>
      </c>
      <c r="AA121" s="395">
        <f t="shared" ca="1" si="134"/>
        <v>-809.6768666666668</v>
      </c>
      <c r="AB121" s="395">
        <f t="shared" ca="1" si="134"/>
        <v>-809.6768666666668</v>
      </c>
      <c r="AC121" s="395">
        <f t="shared" ca="1" si="134"/>
        <v>-809.6768666666668</v>
      </c>
      <c r="AD121" s="395">
        <f t="shared" ca="1" si="134"/>
        <v>-809.6768666666668</v>
      </c>
      <c r="AE121" s="395">
        <f t="shared" ca="1" si="134"/>
        <v>-809.6768666666668</v>
      </c>
      <c r="AF121" s="395">
        <f t="shared" ca="1" si="134"/>
        <v>-809.6768666666668</v>
      </c>
      <c r="AG121" s="395">
        <f t="shared" ca="1" si="134"/>
        <v>-809.6768666666668</v>
      </c>
      <c r="AH121" s="395">
        <f t="shared" ca="1" si="134"/>
        <v>-809.6768666666668</v>
      </c>
      <c r="AI121" s="395">
        <f t="shared" ca="1" si="134"/>
        <v>-809.6768666666668</v>
      </c>
      <c r="AJ121" s="395">
        <f t="shared" ca="1" si="134"/>
        <v>-809.6768666666668</v>
      </c>
      <c r="AK121" s="395">
        <f t="shared" ca="1" si="134"/>
        <v>-809.6768666666668</v>
      </c>
      <c r="AL121" s="395">
        <f t="shared" ca="1" si="134"/>
        <v>-809.6768666666668</v>
      </c>
      <c r="AM121" s="395">
        <f t="shared" ca="1" si="134"/>
        <v>-809.6768666666668</v>
      </c>
      <c r="AN121" s="395">
        <f t="shared" ca="1" si="134"/>
        <v>-809.6768666666668</v>
      </c>
      <c r="AO121" s="395">
        <f t="shared" ca="1" si="134"/>
        <v>3492007.0834818603</v>
      </c>
      <c r="AP121" s="395">
        <f t="shared" ca="1" si="134"/>
        <v>66044.278241301159</v>
      </c>
      <c r="AQ121" s="395">
        <f t="shared" ca="1" si="134"/>
        <v>66044.278241301159</v>
      </c>
      <c r="AR121" s="395">
        <f t="shared" ca="1" si="134"/>
        <v>66044.278241301159</v>
      </c>
      <c r="AS121" s="395">
        <f t="shared" ca="1" si="134"/>
        <v>66044.278241301159</v>
      </c>
      <c r="AT121" s="395">
        <f t="shared" ca="1" si="134"/>
        <v>66044.278241301159</v>
      </c>
      <c r="AU121" s="395">
        <f t="shared" ca="1" si="134"/>
        <v>66044.278241301159</v>
      </c>
      <c r="AV121" s="395">
        <f t="shared" ca="1" si="134"/>
        <v>66044.278241301159</v>
      </c>
      <c r="AW121" s="395">
        <f t="shared" ca="1" si="134"/>
        <v>66044.278241301159</v>
      </c>
      <c r="AX121" s="395">
        <f t="shared" ca="1" si="134"/>
        <v>66044.278241301159</v>
      </c>
      <c r="AY121" s="395">
        <f t="shared" ca="1" si="134"/>
        <v>66044.278241301159</v>
      </c>
      <c r="AZ121" s="395">
        <f t="shared" ca="1" si="134"/>
        <v>66044.278241301159</v>
      </c>
      <c r="BA121" s="395">
        <f t="shared" ca="1" si="134"/>
        <v>66044.278241301159</v>
      </c>
      <c r="BB121" s="395">
        <f t="shared" ca="1" si="134"/>
        <v>55365.868872655454</v>
      </c>
      <c r="BC121" s="395">
        <f t="shared" ca="1" si="134"/>
        <v>55365.868872655454</v>
      </c>
      <c r="BD121" s="395">
        <f t="shared" ca="1" si="134"/>
        <v>55365.868872655454</v>
      </c>
      <c r="BE121" s="395">
        <f t="shared" ca="1" si="134"/>
        <v>55365.868872655454</v>
      </c>
      <c r="BF121" s="395">
        <f t="shared" ca="1" si="134"/>
        <v>55365.868872655454</v>
      </c>
      <c r="BG121" s="395">
        <f t="shared" ca="1" si="134"/>
        <v>55365.868872655454</v>
      </c>
      <c r="BH121" s="395">
        <f t="shared" ca="1" si="134"/>
        <v>55365.868872655454</v>
      </c>
      <c r="BI121" s="395">
        <f t="shared" ca="1" si="134"/>
        <v>55365.868872655454</v>
      </c>
      <c r="BJ121" s="395">
        <f t="shared" ca="1" si="134"/>
        <v>55365.868872655454</v>
      </c>
      <c r="BK121" s="395">
        <f t="shared" ca="1" si="134"/>
        <v>55365.868872655454</v>
      </c>
      <c r="BL121" s="395">
        <f t="shared" ca="1" si="134"/>
        <v>55365.868872655454</v>
      </c>
      <c r="BM121" s="395">
        <f t="shared" ca="1" si="134"/>
        <v>55365.868872655454</v>
      </c>
      <c r="BN121" s="395">
        <f t="shared" ca="1" si="134"/>
        <v>64152.815921932706</v>
      </c>
      <c r="BO121" s="395">
        <f t="shared" ca="1" si="134"/>
        <v>64152.815921932706</v>
      </c>
      <c r="BP121" s="395">
        <f t="shared" ca="1" si="134"/>
        <v>64152.815921932706</v>
      </c>
      <c r="BQ121" s="395">
        <f t="shared" ca="1" si="134"/>
        <v>64152.815921932706</v>
      </c>
      <c r="BR121" s="395">
        <f t="shared" ref="BR121:CK122" ca="1" si="135">BR102+BR117</f>
        <v>64152.815921932706</v>
      </c>
      <c r="BS121" s="395">
        <f t="shared" ca="1" si="135"/>
        <v>64152.815921932706</v>
      </c>
      <c r="BT121" s="395">
        <f t="shared" ca="1" si="135"/>
        <v>64152.815921932706</v>
      </c>
      <c r="BU121" s="395">
        <f t="shared" ca="1" si="135"/>
        <v>64152.815921932706</v>
      </c>
      <c r="BV121" s="395">
        <f t="shared" ca="1" si="135"/>
        <v>64152.815921932706</v>
      </c>
      <c r="BW121" s="395">
        <f t="shared" ca="1" si="135"/>
        <v>64152.815921932706</v>
      </c>
      <c r="BX121" s="395">
        <f t="shared" ca="1" si="135"/>
        <v>64152.815921932706</v>
      </c>
      <c r="BY121" s="395">
        <f t="shared" ca="1" si="135"/>
        <v>7631684.6172698401</v>
      </c>
      <c r="BZ121" s="395">
        <f t="shared" ca="1" si="135"/>
        <v>0</v>
      </c>
      <c r="CA121" s="395">
        <f t="shared" ca="1" si="135"/>
        <v>0</v>
      </c>
      <c r="CB121" s="395">
        <f t="shared" ca="1" si="135"/>
        <v>0</v>
      </c>
      <c r="CC121" s="395">
        <f t="shared" ca="1" si="135"/>
        <v>0</v>
      </c>
      <c r="CD121" s="395">
        <f t="shared" ca="1" si="135"/>
        <v>0</v>
      </c>
      <c r="CE121" s="395">
        <f t="shared" ca="1" si="135"/>
        <v>0</v>
      </c>
      <c r="CF121" s="395">
        <f t="shared" ca="1" si="135"/>
        <v>0</v>
      </c>
      <c r="CG121" s="395">
        <f t="shared" ca="1" si="135"/>
        <v>0</v>
      </c>
      <c r="CH121" s="395">
        <f t="shared" ca="1" si="135"/>
        <v>0</v>
      </c>
      <c r="CI121" s="395">
        <f t="shared" ca="1" si="135"/>
        <v>0</v>
      </c>
      <c r="CJ121" s="395">
        <f t="shared" ca="1" si="135"/>
        <v>0</v>
      </c>
      <c r="CK121" s="395">
        <f t="shared" ca="1" si="135"/>
        <v>0</v>
      </c>
      <c r="CL121" s="133" t="s">
        <v>15</v>
      </c>
    </row>
    <row r="122" spans="2:90" ht="15" customHeight="1" x14ac:dyDescent="0.2">
      <c r="B122" s="133" t="s">
        <v>30</v>
      </c>
      <c r="C122" s="133"/>
      <c r="D122" s="133"/>
      <c r="E122" s="395">
        <f t="shared" ref="E122:T122" ca="1" si="136">E103+E118</f>
        <v>-3731303.322813286</v>
      </c>
      <c r="F122" s="395">
        <f t="shared" ca="1" si="136"/>
        <v>-142691.64538799995</v>
      </c>
      <c r="G122" s="395">
        <f t="shared" ca="1" si="136"/>
        <v>-142785.0758198571</v>
      </c>
      <c r="H122" s="395">
        <f t="shared" ca="1" si="136"/>
        <v>-176481.21413238143</v>
      </c>
      <c r="I122" s="395">
        <f t="shared" ca="1" si="136"/>
        <v>-320236.48135238088</v>
      </c>
      <c r="J122" s="395">
        <f t="shared" ca="1" si="136"/>
        <v>-271401.73878095235</v>
      </c>
      <c r="K122" s="395">
        <f t="shared" ca="1" si="136"/>
        <v>-459093.94394285721</v>
      </c>
      <c r="L122" s="395">
        <f t="shared" ca="1" si="136"/>
        <v>-701125.68161949876</v>
      </c>
      <c r="M122" s="395">
        <f t="shared" ca="1" si="136"/>
        <v>-701590.48929614038</v>
      </c>
      <c r="N122" s="395">
        <f t="shared" ca="1" si="136"/>
        <v>-702055.296972782</v>
      </c>
      <c r="O122" s="395">
        <f t="shared" ca="1" si="136"/>
        <v>-702520.10464942351</v>
      </c>
      <c r="P122" s="395">
        <f t="shared" ca="1" si="136"/>
        <v>-702984.91232606512</v>
      </c>
      <c r="Q122" s="395">
        <f t="shared" ca="1" si="136"/>
        <v>-703449.72000270686</v>
      </c>
      <c r="R122" s="395">
        <f t="shared" ca="1" si="136"/>
        <v>-1082271.3575193482</v>
      </c>
      <c r="S122" s="395">
        <f t="shared" ca="1" si="136"/>
        <v>-1199765.0343693234</v>
      </c>
      <c r="T122" s="395">
        <f t="shared" ca="1" si="136"/>
        <v>-528610.65829072532</v>
      </c>
      <c r="U122" s="395">
        <f t="shared" ca="1" si="134"/>
        <v>-8096.7686666666677</v>
      </c>
      <c r="V122" s="395">
        <f t="shared" ca="1" si="134"/>
        <v>-8096.7686666666677</v>
      </c>
      <c r="W122" s="395">
        <f t="shared" ca="1" si="134"/>
        <v>-8096.7686666666677</v>
      </c>
      <c r="X122" s="395">
        <f t="shared" ca="1" si="134"/>
        <v>-8096.7686666666677</v>
      </c>
      <c r="Y122" s="395">
        <f t="shared" ca="1" si="134"/>
        <v>-8096.7686666666677</v>
      </c>
      <c r="Z122" s="395">
        <f t="shared" ca="1" si="134"/>
        <v>-8096.7686666666677</v>
      </c>
      <c r="AA122" s="395">
        <f t="shared" ca="1" si="134"/>
        <v>-8096.7686666666677</v>
      </c>
      <c r="AB122" s="395">
        <f t="shared" ca="1" si="134"/>
        <v>-8096.7686666666677</v>
      </c>
      <c r="AC122" s="395">
        <f t="shared" ca="1" si="134"/>
        <v>-8096.7686666666677</v>
      </c>
      <c r="AD122" s="395">
        <f t="shared" ca="1" si="134"/>
        <v>-8096.7686666666677</v>
      </c>
      <c r="AE122" s="395">
        <f t="shared" ca="1" si="134"/>
        <v>-8096.7686666666677</v>
      </c>
      <c r="AF122" s="395">
        <f t="shared" ca="1" si="134"/>
        <v>-8096.7686666666677</v>
      </c>
      <c r="AG122" s="395">
        <f t="shared" ca="1" si="134"/>
        <v>-8096.7686666666677</v>
      </c>
      <c r="AH122" s="395">
        <f t="shared" ca="1" si="134"/>
        <v>-8096.7686666666677</v>
      </c>
      <c r="AI122" s="395">
        <f t="shared" ca="1" si="134"/>
        <v>-8096.7686666666677</v>
      </c>
      <c r="AJ122" s="395">
        <f t="shared" ca="1" si="134"/>
        <v>-8096.7686666666677</v>
      </c>
      <c r="AK122" s="395">
        <f t="shared" ca="1" si="134"/>
        <v>-8096.7686666666677</v>
      </c>
      <c r="AL122" s="395">
        <f t="shared" ca="1" si="134"/>
        <v>-8096.7686666666677</v>
      </c>
      <c r="AM122" s="395">
        <f t="shared" ca="1" si="134"/>
        <v>-8096.7686666666677</v>
      </c>
      <c r="AN122" s="395">
        <f t="shared" ca="1" si="134"/>
        <v>-8096.7686666666677</v>
      </c>
      <c r="AO122" s="395">
        <f t="shared" ca="1" si="134"/>
        <v>19327606.700798273</v>
      </c>
      <c r="AP122" s="395">
        <f t="shared" ca="1" si="134"/>
        <v>110073.79706883527</v>
      </c>
      <c r="AQ122" s="395">
        <f t="shared" ca="1" si="134"/>
        <v>110073.79706883527</v>
      </c>
      <c r="AR122" s="395">
        <f t="shared" ca="1" si="134"/>
        <v>110073.79706883527</v>
      </c>
      <c r="AS122" s="395">
        <f t="shared" ca="1" si="134"/>
        <v>110073.79706883527</v>
      </c>
      <c r="AT122" s="395">
        <f t="shared" ca="1" si="134"/>
        <v>110073.79706883527</v>
      </c>
      <c r="AU122" s="395">
        <f t="shared" ca="1" si="134"/>
        <v>110073.79706883527</v>
      </c>
      <c r="AV122" s="395">
        <f t="shared" ca="1" si="134"/>
        <v>110073.79706883527</v>
      </c>
      <c r="AW122" s="395">
        <f t="shared" ca="1" si="134"/>
        <v>110073.79706883527</v>
      </c>
      <c r="AX122" s="395">
        <f t="shared" ca="1" si="134"/>
        <v>110073.79706883527</v>
      </c>
      <c r="AY122" s="395">
        <f t="shared" ca="1" si="134"/>
        <v>110073.79706883527</v>
      </c>
      <c r="AZ122" s="395">
        <f t="shared" ca="1" si="134"/>
        <v>110073.79706883527</v>
      </c>
      <c r="BA122" s="395">
        <f t="shared" ca="1" si="134"/>
        <v>110073.79706883527</v>
      </c>
      <c r="BB122" s="395">
        <f t="shared" ca="1" si="134"/>
        <v>92276.448121092428</v>
      </c>
      <c r="BC122" s="395">
        <f t="shared" ca="1" si="134"/>
        <v>92276.448121092428</v>
      </c>
      <c r="BD122" s="395">
        <f t="shared" ca="1" si="134"/>
        <v>92276.448121092428</v>
      </c>
      <c r="BE122" s="395">
        <f t="shared" ca="1" si="134"/>
        <v>92276.448121092428</v>
      </c>
      <c r="BF122" s="395">
        <f t="shared" ca="1" si="134"/>
        <v>92276.448121092428</v>
      </c>
      <c r="BG122" s="395">
        <f t="shared" ca="1" si="134"/>
        <v>92276.448121092428</v>
      </c>
      <c r="BH122" s="395">
        <f t="shared" ca="1" si="134"/>
        <v>92276.448121092428</v>
      </c>
      <c r="BI122" s="395">
        <f t="shared" ca="1" si="134"/>
        <v>92276.448121092428</v>
      </c>
      <c r="BJ122" s="395">
        <f t="shared" ca="1" si="134"/>
        <v>92276.448121092428</v>
      </c>
      <c r="BK122" s="395">
        <f t="shared" ca="1" si="134"/>
        <v>92276.448121092428</v>
      </c>
      <c r="BL122" s="395">
        <f t="shared" ca="1" si="134"/>
        <v>92276.448121092428</v>
      </c>
      <c r="BM122" s="395">
        <f t="shared" ca="1" si="134"/>
        <v>92276.448121092428</v>
      </c>
      <c r="BN122" s="395">
        <f t="shared" ca="1" si="134"/>
        <v>106921.35986988785</v>
      </c>
      <c r="BO122" s="395">
        <f t="shared" ca="1" si="134"/>
        <v>106921.35986988785</v>
      </c>
      <c r="BP122" s="395">
        <f t="shared" ca="1" si="134"/>
        <v>106921.35986988785</v>
      </c>
      <c r="BQ122" s="395">
        <f t="shared" ca="1" si="134"/>
        <v>106921.35986988785</v>
      </c>
      <c r="BR122" s="395">
        <f t="shared" ca="1" si="135"/>
        <v>106921.35986988785</v>
      </c>
      <c r="BS122" s="395">
        <f t="shared" ca="1" si="135"/>
        <v>106921.35986988785</v>
      </c>
      <c r="BT122" s="395">
        <f t="shared" ca="1" si="135"/>
        <v>106921.35986988785</v>
      </c>
      <c r="BU122" s="395">
        <f t="shared" ca="1" si="135"/>
        <v>106921.35986988785</v>
      </c>
      <c r="BV122" s="395">
        <f t="shared" ca="1" si="135"/>
        <v>106921.35986988785</v>
      </c>
      <c r="BW122" s="395">
        <f t="shared" ca="1" si="135"/>
        <v>106921.35986988785</v>
      </c>
      <c r="BX122" s="395">
        <f t="shared" ca="1" si="135"/>
        <v>106921.35986988785</v>
      </c>
      <c r="BY122" s="395">
        <f t="shared" ca="1" si="135"/>
        <v>12719474.3621164</v>
      </c>
      <c r="BZ122" s="395">
        <f t="shared" ca="1" si="135"/>
        <v>0</v>
      </c>
      <c r="CA122" s="395">
        <f t="shared" ca="1" si="135"/>
        <v>0</v>
      </c>
      <c r="CB122" s="395">
        <f t="shared" ca="1" si="135"/>
        <v>0</v>
      </c>
      <c r="CC122" s="395">
        <f t="shared" ca="1" si="135"/>
        <v>0</v>
      </c>
      <c r="CD122" s="395">
        <f t="shared" ca="1" si="135"/>
        <v>0</v>
      </c>
      <c r="CE122" s="395">
        <f t="shared" ca="1" si="135"/>
        <v>0</v>
      </c>
      <c r="CF122" s="395">
        <f t="shared" ca="1" si="135"/>
        <v>0</v>
      </c>
      <c r="CG122" s="395">
        <f t="shared" ca="1" si="135"/>
        <v>0</v>
      </c>
      <c r="CH122" s="395">
        <f t="shared" ca="1" si="135"/>
        <v>0</v>
      </c>
      <c r="CI122" s="395">
        <f t="shared" ca="1" si="135"/>
        <v>0</v>
      </c>
      <c r="CJ122" s="395">
        <f t="shared" ca="1" si="135"/>
        <v>0</v>
      </c>
      <c r="CK122" s="395">
        <f t="shared" ca="1" si="135"/>
        <v>0</v>
      </c>
      <c r="CL122" s="133" t="s">
        <v>15</v>
      </c>
    </row>
    <row r="123" spans="2:90" ht="15" customHeight="1" x14ac:dyDescent="0.2">
      <c r="CL123" s="133"/>
    </row>
    <row r="124" spans="2:90" ht="15" customHeight="1" x14ac:dyDescent="0.25">
      <c r="B124" s="146" t="s">
        <v>281</v>
      </c>
      <c r="C124" s="146"/>
      <c r="D124" s="146"/>
      <c r="E124" s="134" t="s">
        <v>164</v>
      </c>
      <c r="F124" s="134" t="s">
        <v>161</v>
      </c>
      <c r="G124" s="134" t="s">
        <v>30</v>
      </c>
      <c r="CL124" s="133"/>
    </row>
    <row r="125" spans="2:90" ht="15" customHeight="1" x14ac:dyDescent="0.2">
      <c r="B125" s="272" t="s">
        <v>217</v>
      </c>
      <c r="C125" s="309"/>
      <c r="D125" s="309"/>
      <c r="E125" s="404">
        <f ca="1">XIRR(E120:CK120,HoldingDates)</f>
        <v>0.25566821694374087</v>
      </c>
      <c r="F125" s="404">
        <f ca="1">XIRR(E121:CK121,HoldingDates)</f>
        <v>0.84934204816818237</v>
      </c>
      <c r="G125" s="405">
        <f ca="1">XIRR(E122:CK122,HoldingDates)</f>
        <v>0.36700208783149713</v>
      </c>
      <c r="CL125" s="133"/>
    </row>
    <row r="126" spans="2:90" ht="15" customHeight="1" x14ac:dyDescent="0.2">
      <c r="B126" s="275" t="s">
        <v>218</v>
      </c>
      <c r="C126" s="133"/>
      <c r="D126" s="133"/>
      <c r="E126" s="400">
        <f ca="1">-SUMIF(E120:CK120,"&gt;"&amp;0)/SUMIF(E120:CK120,"&lt;"&amp;0)</f>
        <v>1.9991580459718636</v>
      </c>
      <c r="F126" s="414">
        <f ca="1">-SUMIF(E121:CK121,"&gt;"&amp;0)/SUMIF(E121:CK121,"&lt;"&amp;0)</f>
        <v>10.688633620620212</v>
      </c>
      <c r="G126" s="416">
        <f ca="1">-SUMIF(E122:CK122,"&gt;"&amp;0)/SUMIF(E122:CK122,"&lt;"&amp;0)</f>
        <v>2.8681056034367032</v>
      </c>
      <c r="CL126" s="133"/>
    </row>
    <row r="127" spans="2:90" ht="15" customHeight="1" x14ac:dyDescent="0.2">
      <c r="B127" s="277" t="s">
        <v>220</v>
      </c>
      <c r="C127" s="311"/>
      <c r="D127" s="311"/>
      <c r="E127" s="406">
        <f ca="1">SUM(E120:CK120)</f>
        <v>11177852.676953971</v>
      </c>
      <c r="F127" s="406">
        <f ca="1">SUM(E121:CK121)</f>
        <v>12043264.236199534</v>
      </c>
      <c r="G127" s="394">
        <f ca="1">SUM(E122:CK122)</f>
        <v>23221116.913153533</v>
      </c>
      <c r="CL127" s="133"/>
    </row>
    <row r="128" spans="2:90" ht="15" customHeight="1" x14ac:dyDescent="0.2">
      <c r="CL128" s="133"/>
    </row>
    <row r="129" spans="2:90" ht="15" customHeight="1" x14ac:dyDescent="0.25">
      <c r="B129" s="132" t="s">
        <v>285</v>
      </c>
      <c r="CL129" s="133"/>
    </row>
    <row r="130" spans="2:90" s="21" customFormat="1" ht="10.15" customHeight="1" x14ac:dyDescent="0.25">
      <c r="B130" s="22"/>
      <c r="C130" s="23"/>
      <c r="D130" s="23"/>
      <c r="E130" s="23"/>
      <c r="O130" s="13"/>
      <c r="P130" s="13"/>
      <c r="Q130" s="13"/>
      <c r="R130" s="13"/>
      <c r="S130" s="13"/>
      <c r="T130" s="13"/>
      <c r="U130" s="13"/>
      <c r="V130" s="13"/>
      <c r="W130" s="13"/>
      <c r="X130" s="13"/>
      <c r="Y130" s="13"/>
      <c r="Z130" s="13"/>
      <c r="AA130" s="13"/>
      <c r="AB130" s="13"/>
      <c r="AC130" s="13"/>
      <c r="AD130" s="13"/>
      <c r="AE130" s="13"/>
      <c r="AF130" s="13"/>
      <c r="AG130" s="13"/>
    </row>
    <row r="131" spans="2:90" ht="15" customHeight="1" x14ac:dyDescent="0.2">
      <c r="B131" s="133" t="s">
        <v>268</v>
      </c>
      <c r="E131" s="395">
        <f ca="1">E121</f>
        <v>-373130.33228132862</v>
      </c>
      <c r="F131" s="395">
        <f t="shared" ref="F131:BQ131" ca="1" si="137">F121</f>
        <v>-14269.164538799996</v>
      </c>
      <c r="G131" s="395">
        <f t="shared" ca="1" si="137"/>
        <v>-14278.50758198571</v>
      </c>
      <c r="H131" s="395">
        <f t="shared" ca="1" si="137"/>
        <v>-17648.121413238143</v>
      </c>
      <c r="I131" s="395">
        <f t="shared" ca="1" si="137"/>
        <v>-32023.648135238091</v>
      </c>
      <c r="J131" s="395">
        <f t="shared" ca="1" si="137"/>
        <v>-27140.173878095236</v>
      </c>
      <c r="K131" s="395">
        <f t="shared" ca="1" si="137"/>
        <v>-45909.394394285715</v>
      </c>
      <c r="L131" s="395">
        <f t="shared" ca="1" si="137"/>
        <v>-70112.568161949879</v>
      </c>
      <c r="M131" s="395">
        <f t="shared" ca="1" si="137"/>
        <v>-70159.048929614044</v>
      </c>
      <c r="N131" s="395">
        <f t="shared" ca="1" si="137"/>
        <v>-70205.529697278209</v>
      </c>
      <c r="O131" s="395">
        <f t="shared" ca="1" si="137"/>
        <v>-70252.010464942359</v>
      </c>
      <c r="P131" s="395">
        <f t="shared" ca="1" si="137"/>
        <v>-70298.49123260651</v>
      </c>
      <c r="Q131" s="395">
        <f t="shared" ca="1" si="137"/>
        <v>-70344.972000270674</v>
      </c>
      <c r="R131" s="395">
        <f t="shared" ca="1" si="137"/>
        <v>-108227.13575193482</v>
      </c>
      <c r="S131" s="395">
        <f t="shared" ca="1" si="137"/>
        <v>-119976.50343693234</v>
      </c>
      <c r="T131" s="395">
        <f t="shared" ca="1" si="137"/>
        <v>-52861.065829072533</v>
      </c>
      <c r="U131" s="395">
        <f t="shared" ca="1" si="137"/>
        <v>-809.6768666666668</v>
      </c>
      <c r="V131" s="395">
        <f t="shared" ca="1" si="137"/>
        <v>-809.6768666666668</v>
      </c>
      <c r="W131" s="395">
        <f t="shared" ca="1" si="137"/>
        <v>-809.6768666666668</v>
      </c>
      <c r="X131" s="395">
        <f t="shared" ca="1" si="137"/>
        <v>-809.6768666666668</v>
      </c>
      <c r="Y131" s="395">
        <f t="shared" ca="1" si="137"/>
        <v>-809.6768666666668</v>
      </c>
      <c r="Z131" s="395">
        <f t="shared" ca="1" si="137"/>
        <v>-809.6768666666668</v>
      </c>
      <c r="AA131" s="395">
        <f t="shared" ca="1" si="137"/>
        <v>-809.6768666666668</v>
      </c>
      <c r="AB131" s="395">
        <f t="shared" ca="1" si="137"/>
        <v>-809.6768666666668</v>
      </c>
      <c r="AC131" s="395">
        <f t="shared" ca="1" si="137"/>
        <v>-809.6768666666668</v>
      </c>
      <c r="AD131" s="395">
        <f t="shared" ca="1" si="137"/>
        <v>-809.6768666666668</v>
      </c>
      <c r="AE131" s="395">
        <f t="shared" ca="1" si="137"/>
        <v>-809.6768666666668</v>
      </c>
      <c r="AF131" s="395">
        <f t="shared" ca="1" si="137"/>
        <v>-809.6768666666668</v>
      </c>
      <c r="AG131" s="395">
        <f t="shared" ca="1" si="137"/>
        <v>-809.6768666666668</v>
      </c>
      <c r="AH131" s="395">
        <f t="shared" ca="1" si="137"/>
        <v>-809.6768666666668</v>
      </c>
      <c r="AI131" s="395">
        <f t="shared" ca="1" si="137"/>
        <v>-809.6768666666668</v>
      </c>
      <c r="AJ131" s="395">
        <f t="shared" ca="1" si="137"/>
        <v>-809.6768666666668</v>
      </c>
      <c r="AK131" s="395">
        <f t="shared" ca="1" si="137"/>
        <v>-809.6768666666668</v>
      </c>
      <c r="AL131" s="395">
        <f t="shared" ca="1" si="137"/>
        <v>-809.6768666666668</v>
      </c>
      <c r="AM131" s="395">
        <f t="shared" ca="1" si="137"/>
        <v>-809.6768666666668</v>
      </c>
      <c r="AN131" s="395">
        <f t="shared" ca="1" si="137"/>
        <v>-809.6768666666668</v>
      </c>
      <c r="AO131" s="395">
        <f t="shared" ca="1" si="137"/>
        <v>3492007.0834818603</v>
      </c>
      <c r="AP131" s="395">
        <f t="shared" ca="1" si="137"/>
        <v>66044.278241301159</v>
      </c>
      <c r="AQ131" s="395">
        <f t="shared" ca="1" si="137"/>
        <v>66044.278241301159</v>
      </c>
      <c r="AR131" s="395">
        <f t="shared" ca="1" si="137"/>
        <v>66044.278241301159</v>
      </c>
      <c r="AS131" s="395">
        <f t="shared" ca="1" si="137"/>
        <v>66044.278241301159</v>
      </c>
      <c r="AT131" s="395">
        <f t="shared" ca="1" si="137"/>
        <v>66044.278241301159</v>
      </c>
      <c r="AU131" s="395">
        <f t="shared" ca="1" si="137"/>
        <v>66044.278241301159</v>
      </c>
      <c r="AV131" s="395">
        <f t="shared" ca="1" si="137"/>
        <v>66044.278241301159</v>
      </c>
      <c r="AW131" s="395">
        <f t="shared" ca="1" si="137"/>
        <v>66044.278241301159</v>
      </c>
      <c r="AX131" s="395">
        <f t="shared" ca="1" si="137"/>
        <v>66044.278241301159</v>
      </c>
      <c r="AY131" s="395">
        <f t="shared" ca="1" si="137"/>
        <v>66044.278241301159</v>
      </c>
      <c r="AZ131" s="395">
        <f t="shared" ca="1" si="137"/>
        <v>66044.278241301159</v>
      </c>
      <c r="BA131" s="395">
        <f t="shared" ca="1" si="137"/>
        <v>66044.278241301159</v>
      </c>
      <c r="BB131" s="395">
        <f t="shared" ca="1" si="137"/>
        <v>55365.868872655454</v>
      </c>
      <c r="BC131" s="395">
        <f t="shared" ca="1" si="137"/>
        <v>55365.868872655454</v>
      </c>
      <c r="BD131" s="395">
        <f t="shared" ca="1" si="137"/>
        <v>55365.868872655454</v>
      </c>
      <c r="BE131" s="395">
        <f t="shared" ca="1" si="137"/>
        <v>55365.868872655454</v>
      </c>
      <c r="BF131" s="395">
        <f t="shared" ca="1" si="137"/>
        <v>55365.868872655454</v>
      </c>
      <c r="BG131" s="395">
        <f t="shared" ca="1" si="137"/>
        <v>55365.868872655454</v>
      </c>
      <c r="BH131" s="395">
        <f t="shared" ca="1" si="137"/>
        <v>55365.868872655454</v>
      </c>
      <c r="BI131" s="395">
        <f t="shared" ca="1" si="137"/>
        <v>55365.868872655454</v>
      </c>
      <c r="BJ131" s="395">
        <f t="shared" ca="1" si="137"/>
        <v>55365.868872655454</v>
      </c>
      <c r="BK131" s="395">
        <f t="shared" ca="1" si="137"/>
        <v>55365.868872655454</v>
      </c>
      <c r="BL131" s="395">
        <f t="shared" ca="1" si="137"/>
        <v>55365.868872655454</v>
      </c>
      <c r="BM131" s="395">
        <f t="shared" ca="1" si="137"/>
        <v>55365.868872655454</v>
      </c>
      <c r="BN131" s="395">
        <f t="shared" ca="1" si="137"/>
        <v>64152.815921932706</v>
      </c>
      <c r="BO131" s="395">
        <f t="shared" ca="1" si="137"/>
        <v>64152.815921932706</v>
      </c>
      <c r="BP131" s="395">
        <f t="shared" ca="1" si="137"/>
        <v>64152.815921932706</v>
      </c>
      <c r="BQ131" s="395">
        <f t="shared" ca="1" si="137"/>
        <v>64152.815921932706</v>
      </c>
      <c r="BR131" s="395">
        <f t="shared" ref="BR131:CK131" ca="1" si="138">BR121</f>
        <v>64152.815921932706</v>
      </c>
      <c r="BS131" s="395">
        <f t="shared" ca="1" si="138"/>
        <v>64152.815921932706</v>
      </c>
      <c r="BT131" s="395">
        <f t="shared" ca="1" si="138"/>
        <v>64152.815921932706</v>
      </c>
      <c r="BU131" s="395">
        <f t="shared" ca="1" si="138"/>
        <v>64152.815921932706</v>
      </c>
      <c r="BV131" s="395">
        <f t="shared" ca="1" si="138"/>
        <v>64152.815921932706</v>
      </c>
      <c r="BW131" s="395">
        <f t="shared" ca="1" si="138"/>
        <v>64152.815921932706</v>
      </c>
      <c r="BX131" s="395">
        <f t="shared" ca="1" si="138"/>
        <v>64152.815921932706</v>
      </c>
      <c r="BY131" s="395">
        <f t="shared" ca="1" si="138"/>
        <v>7631684.6172698401</v>
      </c>
      <c r="BZ131" s="395">
        <f t="shared" ca="1" si="138"/>
        <v>0</v>
      </c>
      <c r="CA131" s="395">
        <f t="shared" ca="1" si="138"/>
        <v>0</v>
      </c>
      <c r="CB131" s="395">
        <f t="shared" ca="1" si="138"/>
        <v>0</v>
      </c>
      <c r="CC131" s="395">
        <f t="shared" ca="1" si="138"/>
        <v>0</v>
      </c>
      <c r="CD131" s="395">
        <f t="shared" ca="1" si="138"/>
        <v>0</v>
      </c>
      <c r="CE131" s="395">
        <f t="shared" ca="1" si="138"/>
        <v>0</v>
      </c>
      <c r="CF131" s="395">
        <f t="shared" ca="1" si="138"/>
        <v>0</v>
      </c>
      <c r="CG131" s="395">
        <f t="shared" ca="1" si="138"/>
        <v>0</v>
      </c>
      <c r="CH131" s="395">
        <f t="shared" ca="1" si="138"/>
        <v>0</v>
      </c>
      <c r="CI131" s="395">
        <f t="shared" ca="1" si="138"/>
        <v>0</v>
      </c>
      <c r="CJ131" s="395">
        <f t="shared" ca="1" si="138"/>
        <v>0</v>
      </c>
      <c r="CK131" s="395">
        <f t="shared" ca="1" si="138"/>
        <v>0</v>
      </c>
      <c r="CL131" s="133" t="s">
        <v>15</v>
      </c>
    </row>
    <row r="132" spans="2:90" ht="15" customHeight="1" x14ac:dyDescent="0.2">
      <c r="B132" s="133" t="s">
        <v>286</v>
      </c>
      <c r="E132" s="395">
        <f ca="1">SUM('Q1 - CAP Acct. 2'!I115:I117)</f>
        <v>-52452.567170428571</v>
      </c>
      <c r="F132" s="395">
        <f ca="1">SUM('Q1 - CAP Acct. 2'!J115:J117)</f>
        <v>-2545.9976022857145</v>
      </c>
      <c r="G132" s="395">
        <f ca="1">SUM('Q1 - CAP Acct. 2'!K115:K117)</f>
        <v>-2639.4280341428575</v>
      </c>
      <c r="H132" s="395">
        <f ca="1">SUM('Q1 - CAP Acct. 2'!L115:L117)</f>
        <v>-2755.245346666667</v>
      </c>
      <c r="I132" s="395">
        <f ca="1">SUM('Q1 - CAP Acct. 2'!M115:M117)</f>
        <v>-2966.7584952380953</v>
      </c>
      <c r="J132" s="395">
        <f ca="1">SUM('Q1 - CAP Acct. 2'!N115:N117)</f>
        <v>-3145.5959238095238</v>
      </c>
      <c r="K132" s="395">
        <f ca="1">SUM('Q1 - CAP Acct. 2'!O115:O117)</f>
        <v>-3449.3589804511284</v>
      </c>
      <c r="L132" s="395">
        <f ca="1">SUM('Q1 - CAP Acct. 2'!P115:P117)</f>
        <v>-3914.1666570927323</v>
      </c>
      <c r="M132" s="395">
        <f ca="1">SUM('Q1 - CAP Acct. 2'!Q115:Q117)</f>
        <v>-4378.9743337343361</v>
      </c>
      <c r="N132" s="395">
        <f ca="1">SUM('Q1 - CAP Acct. 2'!R115:R117)</f>
        <v>-4843.7820103759395</v>
      </c>
      <c r="O132" s="395">
        <f ca="1">SUM('Q1 - CAP Acct. 2'!S115:S117)</f>
        <v>-5308.5896870175438</v>
      </c>
      <c r="P132" s="395">
        <f ca="1">SUM('Q1 - CAP Acct. 2'!T115:T117)</f>
        <v>-5773.3973636591481</v>
      </c>
      <c r="Q132" s="395">
        <f ca="1">SUM('Q1 - CAP Acct. 2'!U115:U117)</f>
        <v>-6238.2050403007534</v>
      </c>
      <c r="R132" s="395">
        <f ca="1">SUM('Q1 - CAP Acct. 2'!V115:V117)</f>
        <v>-6955.0825569423578</v>
      </c>
      <c r="S132" s="395">
        <f ca="1">SUM('Q1 - CAP Acct. 2'!W115:W117)</f>
        <v>-7749.7594069172956</v>
      </c>
      <c r="T132" s="395">
        <f ca="1">SUM('Q1 - CAP Acct. 2'!X115:X117)</f>
        <v>-8096.7686666666677</v>
      </c>
      <c r="U132" s="395">
        <f ca="1">SUM('Q1 - CAP Acct. 2'!Y115:Y117)</f>
        <v>-8096.7686666666677</v>
      </c>
      <c r="V132" s="395">
        <f ca="1">SUM('Q1 - CAP Acct. 2'!Z115:Z117)</f>
        <v>-8096.7686666666677</v>
      </c>
      <c r="W132" s="395">
        <f ca="1">SUM('Q1 - CAP Acct. 2'!AA115:AA117)</f>
        <v>-8096.7686666666677</v>
      </c>
      <c r="X132" s="395">
        <f ca="1">SUM('Q1 - CAP Acct. 2'!AB115:AB117)</f>
        <v>-8096.7686666666677</v>
      </c>
      <c r="Y132" s="395">
        <f ca="1">SUM('Q1 - CAP Acct. 2'!AC115:AC117)</f>
        <v>-8096.7686666666677</v>
      </c>
      <c r="Z132" s="395">
        <f ca="1">SUM('Q1 - CAP Acct. 2'!AD115:AD117)</f>
        <v>-8096.7686666666677</v>
      </c>
      <c r="AA132" s="395">
        <f ca="1">SUM('Q1 - CAP Acct. 2'!AE115:AE117)</f>
        <v>-8096.7686666666677</v>
      </c>
      <c r="AB132" s="395">
        <f ca="1">SUM('Q1 - CAP Acct. 2'!AF115:AF117)</f>
        <v>-8096.7686666666677</v>
      </c>
      <c r="AC132" s="395">
        <f ca="1">SUM('Q1 - CAP Acct. 2'!AG115:AG117)</f>
        <v>-8096.7686666666677</v>
      </c>
      <c r="AD132" s="395">
        <f ca="1">SUM('Q1 - CAP Acct. 2'!AH115:AH117)</f>
        <v>-8096.7686666666677</v>
      </c>
      <c r="AE132" s="395">
        <f ca="1">SUM('Q1 - CAP Acct. 2'!AI115:AI117)</f>
        <v>-8096.7686666666677</v>
      </c>
      <c r="AF132" s="395">
        <f ca="1">SUM('Q1 - CAP Acct. 2'!AJ115:AJ117)</f>
        <v>-8096.7686666666677</v>
      </c>
      <c r="AG132" s="395">
        <f ca="1">SUM('Q1 - CAP Acct. 2'!AK115:AK117)</f>
        <v>-8096.7686666666677</v>
      </c>
      <c r="AH132" s="395">
        <f ca="1">SUM('Q1 - CAP Acct. 2'!AL115:AL117)</f>
        <v>-8096.7686666666677</v>
      </c>
      <c r="AI132" s="395">
        <f ca="1">SUM('Q1 - CAP Acct. 2'!AM115:AM117)</f>
        <v>-8096.7686666666677</v>
      </c>
      <c r="AJ132" s="395">
        <f ca="1">SUM('Q1 - CAP Acct. 2'!AN115:AN117)</f>
        <v>-8096.7686666666677</v>
      </c>
      <c r="AK132" s="395">
        <f ca="1">SUM('Q1 - CAP Acct. 2'!AO115:AO117)</f>
        <v>-8096.7686666666677</v>
      </c>
      <c r="AL132" s="395">
        <f ca="1">SUM('Q1 - CAP Acct. 2'!AP115:AP117)</f>
        <v>-8096.7686666666677</v>
      </c>
      <c r="AM132" s="395">
        <f ca="1">SUM('Q1 - CAP Acct. 2'!AQ115:AQ117)</f>
        <v>-8096.7686666666677</v>
      </c>
      <c r="AN132" s="395">
        <f ca="1">SUM('Q1 - CAP Acct. 2'!AR115:AR117)</f>
        <v>-8096.7686666666677</v>
      </c>
      <c r="AO132" s="395">
        <f ca="1">SUM('Q1 - CAP Acct. 2'!AS115:AS117)</f>
        <v>0</v>
      </c>
      <c r="AP132" s="395">
        <f ca="1">SUM('Q1 - CAP Acct. 2'!AT115:AT117)</f>
        <v>0</v>
      </c>
      <c r="AQ132" s="395">
        <f ca="1">SUM('Q1 - CAP Acct. 2'!AU115:AU117)</f>
        <v>0</v>
      </c>
      <c r="AR132" s="395">
        <f ca="1">SUM('Q1 - CAP Acct. 2'!AV115:AV117)</f>
        <v>0</v>
      </c>
      <c r="AS132" s="395">
        <f ca="1">SUM('Q1 - CAP Acct. 2'!AW115:AW117)</f>
        <v>0</v>
      </c>
      <c r="AT132" s="395">
        <f ca="1">SUM('Q1 - CAP Acct. 2'!AX115:AX117)</f>
        <v>0</v>
      </c>
      <c r="AU132" s="395">
        <f ca="1">SUM('Q1 - CAP Acct. 2'!AY115:AY117)</f>
        <v>0</v>
      </c>
      <c r="AV132" s="395">
        <f ca="1">SUM('Q1 - CAP Acct. 2'!AZ115:AZ117)</f>
        <v>0</v>
      </c>
      <c r="AW132" s="395">
        <f ca="1">SUM('Q1 - CAP Acct. 2'!BA115:BA117)</f>
        <v>0</v>
      </c>
      <c r="AX132" s="395">
        <f ca="1">SUM('Q1 - CAP Acct. 2'!BB115:BB117)</f>
        <v>0</v>
      </c>
      <c r="AY132" s="395">
        <f ca="1">SUM('Q1 - CAP Acct. 2'!BC115:BC117)</f>
        <v>0</v>
      </c>
      <c r="AZ132" s="395">
        <f ca="1">SUM('Q1 - CAP Acct. 2'!BD115:BD117)</f>
        <v>0</v>
      </c>
      <c r="BA132" s="395">
        <f ca="1">SUM('Q1 - CAP Acct. 2'!BE115:BE117)</f>
        <v>0</v>
      </c>
      <c r="BB132" s="395">
        <f ca="1">SUM('Q1 - CAP Acct. 2'!BF115:BF117)</f>
        <v>0</v>
      </c>
      <c r="BC132" s="395">
        <f ca="1">SUM('Q1 - CAP Acct. 2'!BG115:BG117)</f>
        <v>0</v>
      </c>
      <c r="BD132" s="395">
        <f ca="1">SUM('Q1 - CAP Acct. 2'!BH115:BH117)</f>
        <v>0</v>
      </c>
      <c r="BE132" s="395">
        <f ca="1">SUM('Q1 - CAP Acct. 2'!BI115:BI117)</f>
        <v>0</v>
      </c>
      <c r="BF132" s="395">
        <f ca="1">SUM('Q1 - CAP Acct. 2'!BJ115:BJ117)</f>
        <v>0</v>
      </c>
      <c r="BG132" s="395">
        <f ca="1">SUM('Q1 - CAP Acct. 2'!BK115:BK117)</f>
        <v>0</v>
      </c>
      <c r="BH132" s="395">
        <f ca="1">SUM('Q1 - CAP Acct. 2'!BL115:BL117)</f>
        <v>0</v>
      </c>
      <c r="BI132" s="395">
        <f ca="1">SUM('Q1 - CAP Acct. 2'!BM115:BM117)</f>
        <v>0</v>
      </c>
      <c r="BJ132" s="395">
        <f ca="1">SUM('Q1 - CAP Acct. 2'!BN115:BN117)</f>
        <v>0</v>
      </c>
      <c r="BK132" s="395">
        <f ca="1">SUM('Q1 - CAP Acct. 2'!BO115:BO117)</f>
        <v>0</v>
      </c>
      <c r="BL132" s="395">
        <f ca="1">SUM('Q1 - CAP Acct. 2'!BP115:BP117)</f>
        <v>0</v>
      </c>
      <c r="BM132" s="395">
        <f ca="1">SUM('Q1 - CAP Acct. 2'!BQ115:BQ117)</f>
        <v>0</v>
      </c>
      <c r="BN132" s="395">
        <f ca="1">SUM('Q1 - CAP Acct. 2'!BR115:BR117)</f>
        <v>0</v>
      </c>
      <c r="BO132" s="395">
        <f ca="1">SUM('Q1 - CAP Acct. 2'!BS115:BS117)</f>
        <v>0</v>
      </c>
      <c r="BP132" s="395">
        <f ca="1">SUM('Q1 - CAP Acct. 2'!BT115:BT117)</f>
        <v>0</v>
      </c>
      <c r="BQ132" s="395">
        <f ca="1">SUM('Q1 - CAP Acct. 2'!BU115:BU117)</f>
        <v>0</v>
      </c>
      <c r="BR132" s="395">
        <f ca="1">SUM('Q1 - CAP Acct. 2'!BV115:BV117)</f>
        <v>0</v>
      </c>
      <c r="BS132" s="395">
        <f ca="1">SUM('Q1 - CAP Acct. 2'!BW115:BW117)</f>
        <v>0</v>
      </c>
      <c r="BT132" s="395">
        <f ca="1">SUM('Q1 - CAP Acct. 2'!BX115:BX117)</f>
        <v>0</v>
      </c>
      <c r="BU132" s="395">
        <f ca="1">SUM('Q1 - CAP Acct. 2'!BY115:BY117)</f>
        <v>0</v>
      </c>
      <c r="BV132" s="395">
        <f ca="1">SUM('Q1 - CAP Acct. 2'!BZ115:BZ117)</f>
        <v>0</v>
      </c>
      <c r="BW132" s="395">
        <f ca="1">SUM('Q1 - CAP Acct. 2'!CA115:CA117)</f>
        <v>0</v>
      </c>
      <c r="BX132" s="395">
        <f ca="1">SUM('Q1 - CAP Acct. 2'!CB115:CB117)</f>
        <v>0</v>
      </c>
      <c r="BY132" s="395">
        <f ca="1">SUM('Q1 - CAP Acct. 2'!CC115:CC117)</f>
        <v>-62209.358048518152</v>
      </c>
      <c r="BZ132" s="395">
        <f ca="1">SUM('Q1 - CAP Acct. 2'!CD115:CD117)</f>
        <v>0</v>
      </c>
      <c r="CA132" s="395">
        <f ca="1">SUM('Q1 - CAP Acct. 2'!CE115:CE117)</f>
        <v>0</v>
      </c>
      <c r="CB132" s="395">
        <f ca="1">SUM('Q1 - CAP Acct. 2'!CF115:CF117)</f>
        <v>0</v>
      </c>
      <c r="CC132" s="395">
        <f ca="1">SUM('Q1 - CAP Acct. 2'!CG115:CG117)</f>
        <v>0</v>
      </c>
      <c r="CD132" s="395">
        <f ca="1">SUM('Q1 - CAP Acct. 2'!CH115:CH117)</f>
        <v>0</v>
      </c>
      <c r="CE132" s="395">
        <f ca="1">SUM('Q1 - CAP Acct. 2'!CI115:CI117)</f>
        <v>0</v>
      </c>
      <c r="CF132" s="395">
        <f ca="1">SUM('Q1 - CAP Acct. 2'!CJ115:CJ117)</f>
        <v>0</v>
      </c>
      <c r="CG132" s="395">
        <f ca="1">SUM('Q1 - CAP Acct. 2'!CK115:CK117)</f>
        <v>0</v>
      </c>
      <c r="CH132" s="395">
        <f ca="1">SUM('Q1 - CAP Acct. 2'!CL115:CL117)</f>
        <v>0</v>
      </c>
      <c r="CI132" s="395">
        <f ca="1">SUM('Q1 - CAP Acct. 2'!CM115:CM117)</f>
        <v>0</v>
      </c>
      <c r="CJ132" s="395">
        <f ca="1">SUM('Q1 - CAP Acct. 2'!CN115:CN117)</f>
        <v>0</v>
      </c>
      <c r="CK132" s="395">
        <f ca="1">SUM('Q1 - CAP Acct. 2'!CO115:CO117)</f>
        <v>0</v>
      </c>
      <c r="CL132" s="133" t="s">
        <v>15</v>
      </c>
    </row>
    <row r="133" spans="2:90" ht="15" customHeight="1" x14ac:dyDescent="0.2">
      <c r="B133" s="133" t="s">
        <v>334</v>
      </c>
      <c r="E133" s="395">
        <f ca="1">E131-E132</f>
        <v>-320677.76511090004</v>
      </c>
      <c r="F133" s="395">
        <f t="shared" ref="F133:BQ133" ca="1" si="139">F131-F132</f>
        <v>-11723.166936514281</v>
      </c>
      <c r="G133" s="395">
        <f t="shared" ca="1" si="139"/>
        <v>-11639.079547842852</v>
      </c>
      <c r="H133" s="395">
        <f t="shared" ca="1" si="139"/>
        <v>-14892.876066571476</v>
      </c>
      <c r="I133" s="395">
        <f t="shared" ca="1" si="139"/>
        <v>-29056.889639999994</v>
      </c>
      <c r="J133" s="395">
        <f t="shared" ca="1" si="139"/>
        <v>-23994.577954285713</v>
      </c>
      <c r="K133" s="395">
        <f t="shared" ca="1" si="139"/>
        <v>-42460.035413834587</v>
      </c>
      <c r="L133" s="395">
        <f t="shared" ca="1" si="139"/>
        <v>-66198.401504857145</v>
      </c>
      <c r="M133" s="395">
        <f t="shared" ca="1" si="139"/>
        <v>-65780.074595879705</v>
      </c>
      <c r="N133" s="395">
        <f t="shared" ca="1" si="139"/>
        <v>-65361.747686902272</v>
      </c>
      <c r="O133" s="395">
        <f t="shared" ca="1" si="139"/>
        <v>-64943.420777924817</v>
      </c>
      <c r="P133" s="395">
        <f t="shared" ca="1" si="139"/>
        <v>-64525.093868947362</v>
      </c>
      <c r="Q133" s="395">
        <f t="shared" ca="1" si="139"/>
        <v>-64106.766959969922</v>
      </c>
      <c r="R133" s="395">
        <f t="shared" ca="1" si="139"/>
        <v>-101272.05319499246</v>
      </c>
      <c r="S133" s="395">
        <f t="shared" ca="1" si="139"/>
        <v>-112226.74403001505</v>
      </c>
      <c r="T133" s="395">
        <f t="shared" ca="1" si="139"/>
        <v>-44764.297162405863</v>
      </c>
      <c r="U133" s="395">
        <f t="shared" ca="1" si="139"/>
        <v>7287.0918000000011</v>
      </c>
      <c r="V133" s="395">
        <f t="shared" ca="1" si="139"/>
        <v>7287.0918000000011</v>
      </c>
      <c r="W133" s="395">
        <f t="shared" ca="1" si="139"/>
        <v>7287.0918000000011</v>
      </c>
      <c r="X133" s="395">
        <f t="shared" ca="1" si="139"/>
        <v>7287.0918000000011</v>
      </c>
      <c r="Y133" s="395">
        <f t="shared" ca="1" si="139"/>
        <v>7287.0918000000011</v>
      </c>
      <c r="Z133" s="395">
        <f t="shared" ca="1" si="139"/>
        <v>7287.0918000000011</v>
      </c>
      <c r="AA133" s="395">
        <f t="shared" ca="1" si="139"/>
        <v>7287.0918000000011</v>
      </c>
      <c r="AB133" s="395">
        <f t="shared" ca="1" si="139"/>
        <v>7287.0918000000011</v>
      </c>
      <c r="AC133" s="395">
        <f t="shared" ca="1" si="139"/>
        <v>7287.0918000000011</v>
      </c>
      <c r="AD133" s="395">
        <f t="shared" ca="1" si="139"/>
        <v>7287.0918000000011</v>
      </c>
      <c r="AE133" s="395">
        <f t="shared" ca="1" si="139"/>
        <v>7287.0918000000011</v>
      </c>
      <c r="AF133" s="395">
        <f t="shared" ca="1" si="139"/>
        <v>7287.0918000000011</v>
      </c>
      <c r="AG133" s="395">
        <f t="shared" ca="1" si="139"/>
        <v>7287.0918000000011</v>
      </c>
      <c r="AH133" s="395">
        <f t="shared" ca="1" si="139"/>
        <v>7287.0918000000011</v>
      </c>
      <c r="AI133" s="395">
        <f t="shared" ca="1" si="139"/>
        <v>7287.0918000000011</v>
      </c>
      <c r="AJ133" s="395">
        <f t="shared" ca="1" si="139"/>
        <v>7287.0918000000011</v>
      </c>
      <c r="AK133" s="395">
        <f t="shared" ca="1" si="139"/>
        <v>7287.0918000000011</v>
      </c>
      <c r="AL133" s="395">
        <f t="shared" ca="1" si="139"/>
        <v>7287.0918000000011</v>
      </c>
      <c r="AM133" s="395">
        <f t="shared" ca="1" si="139"/>
        <v>7287.0918000000011</v>
      </c>
      <c r="AN133" s="395">
        <f t="shared" ca="1" si="139"/>
        <v>7287.0918000000011</v>
      </c>
      <c r="AO133" s="395">
        <f t="shared" ca="1" si="139"/>
        <v>3492007.0834818603</v>
      </c>
      <c r="AP133" s="395">
        <f t="shared" ca="1" si="139"/>
        <v>66044.278241301159</v>
      </c>
      <c r="AQ133" s="395">
        <f t="shared" ca="1" si="139"/>
        <v>66044.278241301159</v>
      </c>
      <c r="AR133" s="395">
        <f t="shared" ca="1" si="139"/>
        <v>66044.278241301159</v>
      </c>
      <c r="AS133" s="395">
        <f t="shared" ca="1" si="139"/>
        <v>66044.278241301159</v>
      </c>
      <c r="AT133" s="395">
        <f t="shared" ca="1" si="139"/>
        <v>66044.278241301159</v>
      </c>
      <c r="AU133" s="395">
        <f t="shared" ca="1" si="139"/>
        <v>66044.278241301159</v>
      </c>
      <c r="AV133" s="395">
        <f t="shared" ca="1" si="139"/>
        <v>66044.278241301159</v>
      </c>
      <c r="AW133" s="395">
        <f t="shared" ca="1" si="139"/>
        <v>66044.278241301159</v>
      </c>
      <c r="AX133" s="395">
        <f t="shared" ca="1" si="139"/>
        <v>66044.278241301159</v>
      </c>
      <c r="AY133" s="395">
        <f t="shared" ca="1" si="139"/>
        <v>66044.278241301159</v>
      </c>
      <c r="AZ133" s="395">
        <f t="shared" ca="1" si="139"/>
        <v>66044.278241301159</v>
      </c>
      <c r="BA133" s="395">
        <f t="shared" ca="1" si="139"/>
        <v>66044.278241301159</v>
      </c>
      <c r="BB133" s="395">
        <f t="shared" ca="1" si="139"/>
        <v>55365.868872655454</v>
      </c>
      <c r="BC133" s="395">
        <f t="shared" ca="1" si="139"/>
        <v>55365.868872655454</v>
      </c>
      <c r="BD133" s="395">
        <f t="shared" ca="1" si="139"/>
        <v>55365.868872655454</v>
      </c>
      <c r="BE133" s="395">
        <f t="shared" ca="1" si="139"/>
        <v>55365.868872655454</v>
      </c>
      <c r="BF133" s="395">
        <f t="shared" ca="1" si="139"/>
        <v>55365.868872655454</v>
      </c>
      <c r="BG133" s="395">
        <f t="shared" ca="1" si="139"/>
        <v>55365.868872655454</v>
      </c>
      <c r="BH133" s="395">
        <f t="shared" ca="1" si="139"/>
        <v>55365.868872655454</v>
      </c>
      <c r="BI133" s="395">
        <f t="shared" ca="1" si="139"/>
        <v>55365.868872655454</v>
      </c>
      <c r="BJ133" s="395">
        <f t="shared" ca="1" si="139"/>
        <v>55365.868872655454</v>
      </c>
      <c r="BK133" s="395">
        <f t="shared" ca="1" si="139"/>
        <v>55365.868872655454</v>
      </c>
      <c r="BL133" s="395">
        <f t="shared" ca="1" si="139"/>
        <v>55365.868872655454</v>
      </c>
      <c r="BM133" s="395">
        <f t="shared" ca="1" si="139"/>
        <v>55365.868872655454</v>
      </c>
      <c r="BN133" s="395">
        <f t="shared" ca="1" si="139"/>
        <v>64152.815921932706</v>
      </c>
      <c r="BO133" s="395">
        <f t="shared" ca="1" si="139"/>
        <v>64152.815921932706</v>
      </c>
      <c r="BP133" s="395">
        <f t="shared" ca="1" si="139"/>
        <v>64152.815921932706</v>
      </c>
      <c r="BQ133" s="395">
        <f t="shared" ca="1" si="139"/>
        <v>64152.815921932706</v>
      </c>
      <c r="BR133" s="395">
        <f t="shared" ref="BR133:CK133" ca="1" si="140">BR131-BR132</f>
        <v>64152.815921932706</v>
      </c>
      <c r="BS133" s="395">
        <f t="shared" ca="1" si="140"/>
        <v>64152.815921932706</v>
      </c>
      <c r="BT133" s="395">
        <f t="shared" ca="1" si="140"/>
        <v>64152.815921932706</v>
      </c>
      <c r="BU133" s="395">
        <f t="shared" ca="1" si="140"/>
        <v>64152.815921932706</v>
      </c>
      <c r="BV133" s="395">
        <f t="shared" ca="1" si="140"/>
        <v>64152.815921932706</v>
      </c>
      <c r="BW133" s="395">
        <f t="shared" ca="1" si="140"/>
        <v>64152.815921932706</v>
      </c>
      <c r="BX133" s="395">
        <f t="shared" ca="1" si="140"/>
        <v>64152.815921932706</v>
      </c>
      <c r="BY133" s="395">
        <f t="shared" ca="1" si="140"/>
        <v>7693893.9753183583</v>
      </c>
      <c r="BZ133" s="395">
        <f t="shared" ca="1" si="140"/>
        <v>0</v>
      </c>
      <c r="CA133" s="395">
        <f t="shared" ca="1" si="140"/>
        <v>0</v>
      </c>
      <c r="CB133" s="395">
        <f t="shared" ca="1" si="140"/>
        <v>0</v>
      </c>
      <c r="CC133" s="395">
        <f t="shared" ca="1" si="140"/>
        <v>0</v>
      </c>
      <c r="CD133" s="395">
        <f t="shared" ca="1" si="140"/>
        <v>0</v>
      </c>
      <c r="CE133" s="395">
        <f t="shared" ca="1" si="140"/>
        <v>0</v>
      </c>
      <c r="CF133" s="395">
        <f t="shared" ca="1" si="140"/>
        <v>0</v>
      </c>
      <c r="CG133" s="395">
        <f t="shared" ca="1" si="140"/>
        <v>0</v>
      </c>
      <c r="CH133" s="395">
        <f t="shared" ca="1" si="140"/>
        <v>0</v>
      </c>
      <c r="CI133" s="395">
        <f t="shared" ca="1" si="140"/>
        <v>0</v>
      </c>
      <c r="CJ133" s="395">
        <f t="shared" ca="1" si="140"/>
        <v>0</v>
      </c>
      <c r="CK133" s="395">
        <f t="shared" ca="1" si="140"/>
        <v>0</v>
      </c>
      <c r="CL133" s="133" t="s">
        <v>15</v>
      </c>
    </row>
    <row r="134" spans="2:90" ht="15" customHeight="1" x14ac:dyDescent="0.2">
      <c r="B134" s="133"/>
      <c r="CL134" s="133"/>
    </row>
    <row r="135" spans="2:90" ht="15" customHeight="1" x14ac:dyDescent="0.2">
      <c r="B135" s="272" t="s">
        <v>287</v>
      </c>
      <c r="C135" s="273"/>
      <c r="D135" s="273"/>
      <c r="E135" s="310">
        <f ca="1">IFERROR(XIRR(E133:CK133,HoldingDates,-0.1),XIRR(E133:CK133,HoldingDates))</f>
        <v>0.9464397549629211</v>
      </c>
      <c r="CL135" s="133"/>
    </row>
    <row r="136" spans="2:90" ht="15" customHeight="1" x14ac:dyDescent="0.2">
      <c r="B136" s="275" t="s">
        <v>218</v>
      </c>
      <c r="E136" s="276">
        <f ca="1">-SUMIF(E133:CK133,"&gt;"&amp;0)/SUMIF(E133:CK133,"&lt;"&amp;0)</f>
        <v>12.227224108283721</v>
      </c>
      <c r="CL136" s="133"/>
    </row>
    <row r="137" spans="2:90" ht="15" customHeight="1" x14ac:dyDescent="0.2">
      <c r="B137" s="277" t="s">
        <v>220</v>
      </c>
      <c r="C137" s="278"/>
      <c r="D137" s="278"/>
      <c r="E137" s="279">
        <f ca="1">SUM(E133:CK133)</f>
        <v>12390622.644857112</v>
      </c>
      <c r="CL137" s="133"/>
    </row>
    <row r="138" spans="2:90" ht="15" customHeight="1" x14ac:dyDescent="0.2">
      <c r="CL138" s="133"/>
    </row>
    <row r="139" spans="2:90" ht="15" customHeight="1" x14ac:dyDescent="0.25">
      <c r="B139" s="132" t="s">
        <v>331</v>
      </c>
      <c r="CL139" s="133"/>
    </row>
    <row r="140" spans="2:90" s="21" customFormat="1" ht="10.15" customHeight="1" x14ac:dyDescent="0.25">
      <c r="B140" s="22"/>
      <c r="C140" s="23"/>
      <c r="D140" s="23"/>
      <c r="E140" s="23"/>
      <c r="O140" s="13"/>
      <c r="P140" s="13"/>
      <c r="Q140" s="13"/>
      <c r="R140" s="13"/>
      <c r="S140" s="13"/>
      <c r="T140" s="13"/>
      <c r="U140" s="13"/>
      <c r="V140" s="13"/>
      <c r="W140" s="13"/>
      <c r="X140" s="13"/>
      <c r="Y140" s="13"/>
      <c r="Z140" s="13"/>
      <c r="AA140" s="13"/>
      <c r="AB140" s="13"/>
      <c r="AC140" s="13"/>
      <c r="AD140" s="13"/>
      <c r="AE140" s="13"/>
      <c r="AF140" s="13"/>
      <c r="AG140" s="13"/>
    </row>
    <row r="141" spans="2:90" ht="15" customHeight="1" x14ac:dyDescent="0.2">
      <c r="B141" s="133" t="s">
        <v>267</v>
      </c>
      <c r="E141" s="395">
        <f ca="1">E120</f>
        <v>-3358172.9905319572</v>
      </c>
      <c r="F141" s="395">
        <f t="shared" ref="F141:BQ141" ca="1" si="141">F120</f>
        <v>-128422.48084919996</v>
      </c>
      <c r="G141" s="395">
        <f t="shared" ca="1" si="141"/>
        <v>-128506.5682378714</v>
      </c>
      <c r="H141" s="395">
        <f t="shared" ca="1" si="141"/>
        <v>-158833.09271914329</v>
      </c>
      <c r="I141" s="395">
        <f t="shared" ca="1" si="141"/>
        <v>-288212.83321714279</v>
      </c>
      <c r="J141" s="395">
        <f t="shared" ca="1" si="141"/>
        <v>-244261.56490285712</v>
      </c>
      <c r="K141" s="395">
        <f t="shared" ca="1" si="141"/>
        <v>-413184.54954857146</v>
      </c>
      <c r="L141" s="395">
        <f t="shared" ca="1" si="141"/>
        <v>-631013.1134575489</v>
      </c>
      <c r="M141" s="395">
        <f t="shared" ca="1" si="141"/>
        <v>-631431.44036652637</v>
      </c>
      <c r="N141" s="395">
        <f t="shared" ca="1" si="141"/>
        <v>-631849.76727550384</v>
      </c>
      <c r="O141" s="395">
        <f t="shared" ca="1" si="141"/>
        <v>-632268.09418448119</v>
      </c>
      <c r="P141" s="395">
        <f t="shared" ca="1" si="141"/>
        <v>-632686.42109345866</v>
      </c>
      <c r="Q141" s="395">
        <f t="shared" ca="1" si="141"/>
        <v>-633104.74800243613</v>
      </c>
      <c r="R141" s="395">
        <f t="shared" ca="1" si="141"/>
        <v>-974044.22176741331</v>
      </c>
      <c r="S141" s="395">
        <f t="shared" ca="1" si="141"/>
        <v>-1079788.5309323911</v>
      </c>
      <c r="T141" s="395">
        <f t="shared" ca="1" si="141"/>
        <v>-475749.59246165282</v>
      </c>
      <c r="U141" s="395">
        <f t="shared" ca="1" si="141"/>
        <v>-7287.0918000000011</v>
      </c>
      <c r="V141" s="395">
        <f t="shared" ca="1" si="141"/>
        <v>-7287.0918000000011</v>
      </c>
      <c r="W141" s="395">
        <f t="shared" ca="1" si="141"/>
        <v>-7287.0918000000011</v>
      </c>
      <c r="X141" s="395">
        <f t="shared" ca="1" si="141"/>
        <v>-7287.0918000000011</v>
      </c>
      <c r="Y141" s="395">
        <f t="shared" ca="1" si="141"/>
        <v>-7287.0918000000011</v>
      </c>
      <c r="Z141" s="395">
        <f t="shared" ca="1" si="141"/>
        <v>-7287.0918000000011</v>
      </c>
      <c r="AA141" s="395">
        <f t="shared" ca="1" si="141"/>
        <v>-7287.0918000000011</v>
      </c>
      <c r="AB141" s="395">
        <f t="shared" ca="1" si="141"/>
        <v>-7287.0918000000011</v>
      </c>
      <c r="AC141" s="395">
        <f t="shared" ca="1" si="141"/>
        <v>-7287.0918000000011</v>
      </c>
      <c r="AD141" s="395">
        <f t="shared" ca="1" si="141"/>
        <v>-7287.0918000000011</v>
      </c>
      <c r="AE141" s="395">
        <f t="shared" ca="1" si="141"/>
        <v>-7287.0918000000011</v>
      </c>
      <c r="AF141" s="395">
        <f t="shared" ca="1" si="141"/>
        <v>-7287.0918000000011</v>
      </c>
      <c r="AG141" s="395">
        <f t="shared" ca="1" si="141"/>
        <v>-7287.0918000000011</v>
      </c>
      <c r="AH141" s="395">
        <f t="shared" ca="1" si="141"/>
        <v>-7287.0918000000011</v>
      </c>
      <c r="AI141" s="395">
        <f t="shared" ca="1" si="141"/>
        <v>-7287.0918000000011</v>
      </c>
      <c r="AJ141" s="395">
        <f t="shared" ca="1" si="141"/>
        <v>-7287.0918000000011</v>
      </c>
      <c r="AK141" s="395">
        <f t="shared" ca="1" si="141"/>
        <v>-7287.0918000000011</v>
      </c>
      <c r="AL141" s="395">
        <f t="shared" ca="1" si="141"/>
        <v>-7287.0918000000011</v>
      </c>
      <c r="AM141" s="395">
        <f t="shared" ca="1" si="141"/>
        <v>-7287.0918000000011</v>
      </c>
      <c r="AN141" s="395">
        <f t="shared" ca="1" si="141"/>
        <v>-7287.0918000000011</v>
      </c>
      <c r="AO141" s="395">
        <f t="shared" ca="1" si="141"/>
        <v>15835599.617316414</v>
      </c>
      <c r="AP141" s="395">
        <f t="shared" ca="1" si="141"/>
        <v>44029.518827534106</v>
      </c>
      <c r="AQ141" s="395">
        <f t="shared" ca="1" si="141"/>
        <v>44029.518827534106</v>
      </c>
      <c r="AR141" s="395">
        <f t="shared" ca="1" si="141"/>
        <v>44029.518827534106</v>
      </c>
      <c r="AS141" s="395">
        <f t="shared" ca="1" si="141"/>
        <v>44029.518827534106</v>
      </c>
      <c r="AT141" s="395">
        <f t="shared" ca="1" si="141"/>
        <v>44029.518827534106</v>
      </c>
      <c r="AU141" s="395">
        <f t="shared" ca="1" si="141"/>
        <v>44029.518827534106</v>
      </c>
      <c r="AV141" s="395">
        <f t="shared" ca="1" si="141"/>
        <v>44029.518827534106</v>
      </c>
      <c r="AW141" s="395">
        <f t="shared" ca="1" si="141"/>
        <v>44029.518827534106</v>
      </c>
      <c r="AX141" s="395">
        <f t="shared" ca="1" si="141"/>
        <v>44029.518827534106</v>
      </c>
      <c r="AY141" s="395">
        <f t="shared" ca="1" si="141"/>
        <v>44029.518827534106</v>
      </c>
      <c r="AZ141" s="395">
        <f t="shared" ca="1" si="141"/>
        <v>44029.518827534106</v>
      </c>
      <c r="BA141" s="395">
        <f t="shared" ca="1" si="141"/>
        <v>44029.518827534106</v>
      </c>
      <c r="BB141" s="395">
        <f t="shared" ca="1" si="141"/>
        <v>36910.579248436974</v>
      </c>
      <c r="BC141" s="395">
        <f t="shared" ca="1" si="141"/>
        <v>36910.579248436974</v>
      </c>
      <c r="BD141" s="395">
        <f t="shared" ca="1" si="141"/>
        <v>36910.579248436974</v>
      </c>
      <c r="BE141" s="395">
        <f t="shared" ca="1" si="141"/>
        <v>36910.579248436974</v>
      </c>
      <c r="BF141" s="395">
        <f t="shared" ca="1" si="141"/>
        <v>36910.579248436974</v>
      </c>
      <c r="BG141" s="395">
        <f t="shared" ca="1" si="141"/>
        <v>36910.579248436974</v>
      </c>
      <c r="BH141" s="395">
        <f t="shared" ca="1" si="141"/>
        <v>36910.579248436974</v>
      </c>
      <c r="BI141" s="395">
        <f t="shared" ca="1" si="141"/>
        <v>36910.579248436974</v>
      </c>
      <c r="BJ141" s="395">
        <f t="shared" ca="1" si="141"/>
        <v>36910.579248436974</v>
      </c>
      <c r="BK141" s="395">
        <f t="shared" ca="1" si="141"/>
        <v>36910.579248436974</v>
      </c>
      <c r="BL141" s="395">
        <f t="shared" ca="1" si="141"/>
        <v>36910.579248436974</v>
      </c>
      <c r="BM141" s="395">
        <f t="shared" ca="1" si="141"/>
        <v>36910.579248436974</v>
      </c>
      <c r="BN141" s="395">
        <f t="shared" ca="1" si="141"/>
        <v>42768.543947955142</v>
      </c>
      <c r="BO141" s="395">
        <f t="shared" ca="1" si="141"/>
        <v>42768.543947955142</v>
      </c>
      <c r="BP141" s="395">
        <f t="shared" ca="1" si="141"/>
        <v>42768.543947955142</v>
      </c>
      <c r="BQ141" s="395">
        <f t="shared" ca="1" si="141"/>
        <v>42768.543947955142</v>
      </c>
      <c r="BR141" s="395">
        <f t="shared" ref="BR141:CK141" ca="1" si="142">BR120</f>
        <v>42768.543947955142</v>
      </c>
      <c r="BS141" s="395">
        <f t="shared" ca="1" si="142"/>
        <v>42768.543947955142</v>
      </c>
      <c r="BT141" s="395">
        <f t="shared" ca="1" si="142"/>
        <v>42768.543947955142</v>
      </c>
      <c r="BU141" s="395">
        <f t="shared" ca="1" si="142"/>
        <v>42768.543947955142</v>
      </c>
      <c r="BV141" s="395">
        <f t="shared" ca="1" si="142"/>
        <v>42768.543947955142</v>
      </c>
      <c r="BW141" s="395">
        <f t="shared" ca="1" si="142"/>
        <v>42768.543947955142</v>
      </c>
      <c r="BX141" s="395">
        <f t="shared" ca="1" si="142"/>
        <v>42768.543947955142</v>
      </c>
      <c r="BY141" s="395">
        <f t="shared" ca="1" si="142"/>
        <v>5087789.7448465601</v>
      </c>
      <c r="BZ141" s="395">
        <f t="shared" ca="1" si="142"/>
        <v>0</v>
      </c>
      <c r="CA141" s="395">
        <f t="shared" ca="1" si="142"/>
        <v>0</v>
      </c>
      <c r="CB141" s="395">
        <f t="shared" ca="1" si="142"/>
        <v>0</v>
      </c>
      <c r="CC141" s="395">
        <f t="shared" ca="1" si="142"/>
        <v>0</v>
      </c>
      <c r="CD141" s="395">
        <f t="shared" ca="1" si="142"/>
        <v>0</v>
      </c>
      <c r="CE141" s="395">
        <f t="shared" ca="1" si="142"/>
        <v>0</v>
      </c>
      <c r="CF141" s="395">
        <f t="shared" ca="1" si="142"/>
        <v>0</v>
      </c>
      <c r="CG141" s="395">
        <f t="shared" ca="1" si="142"/>
        <v>0</v>
      </c>
      <c r="CH141" s="395">
        <f t="shared" ca="1" si="142"/>
        <v>0</v>
      </c>
      <c r="CI141" s="395">
        <f t="shared" ca="1" si="142"/>
        <v>0</v>
      </c>
      <c r="CJ141" s="395">
        <f t="shared" ca="1" si="142"/>
        <v>0</v>
      </c>
      <c r="CK141" s="395">
        <f t="shared" ca="1" si="142"/>
        <v>0</v>
      </c>
      <c r="CL141" s="133" t="s">
        <v>15</v>
      </c>
    </row>
    <row r="142" spans="2:90" ht="15" customHeight="1" x14ac:dyDescent="0.2">
      <c r="B142" s="133" t="s">
        <v>332</v>
      </c>
      <c r="E142" s="395">
        <f ca="1">-SUM('Q1 - CAP Acct. 2'!I83:I84)</f>
        <v>-4496373.1457857145</v>
      </c>
      <c r="F142" s="395">
        <f ca="1">-SUM('Q1 - CAP Acct. 2'!J83:J84)</f>
        <v>-171289.12507142854</v>
      </c>
      <c r="G142" s="395">
        <f ca="1">-SUM('Q1 - CAP Acct. 2'!K83:K84)</f>
        <v>-171289.12507142854</v>
      </c>
      <c r="H142" s="395">
        <f ca="1">-SUM('Q1 - CAP Acct. 2'!L83:L84)</f>
        <v>-161048.60407142807</v>
      </c>
      <c r="I142" s="395">
        <f ca="1">-SUM('Q1 - CAP Acct. 2'!M83:M84)</f>
        <v>0</v>
      </c>
      <c r="J142" s="395">
        <f ca="1">-SUM('Q1 - CAP Acct. 2'!N83:N84)</f>
        <v>0</v>
      </c>
      <c r="K142" s="395">
        <f ca="1">-SUM('Q1 - CAP Acct. 2'!O83:O84)</f>
        <v>0</v>
      </c>
      <c r="L142" s="395">
        <f ca="1">-SUM('Q1 - CAP Acct. 2'!P83:P84)</f>
        <v>0</v>
      </c>
      <c r="M142" s="395">
        <f ca="1">-SUM('Q1 - CAP Acct. 2'!Q83:Q84)</f>
        <v>0</v>
      </c>
      <c r="N142" s="395">
        <f ca="1">-SUM('Q1 - CAP Acct. 2'!R83:R84)</f>
        <v>0</v>
      </c>
      <c r="O142" s="395">
        <f ca="1">-SUM('Q1 - CAP Acct. 2'!S83:S84)</f>
        <v>0</v>
      </c>
      <c r="P142" s="395">
        <f ca="1">-SUM('Q1 - CAP Acct. 2'!T83:T84)</f>
        <v>0</v>
      </c>
      <c r="Q142" s="395">
        <f ca="1">-SUM('Q1 - CAP Acct. 2'!U83:U84)</f>
        <v>0</v>
      </c>
      <c r="R142" s="395">
        <f ca="1">-SUM('Q1 - CAP Acct. 2'!V83:V84)</f>
        <v>0</v>
      </c>
      <c r="S142" s="395">
        <f ca="1">-SUM('Q1 - CAP Acct. 2'!W83:W84)</f>
        <v>0</v>
      </c>
      <c r="T142" s="395">
        <f ca="1">-SUM('Q1 - CAP Acct. 2'!X83:X84)</f>
        <v>0</v>
      </c>
      <c r="U142" s="395">
        <f ca="1">-SUM('Q1 - CAP Acct. 2'!Y83:Y84)</f>
        <v>0</v>
      </c>
      <c r="V142" s="395">
        <f ca="1">-SUM('Q1 - CAP Acct. 2'!Z83:Z84)</f>
        <v>0</v>
      </c>
      <c r="W142" s="395">
        <f ca="1">-SUM('Q1 - CAP Acct. 2'!AA83:AA84)</f>
        <v>0</v>
      </c>
      <c r="X142" s="395">
        <f ca="1">-SUM('Q1 - CAP Acct. 2'!AB83:AB84)</f>
        <v>0</v>
      </c>
      <c r="Y142" s="395">
        <f ca="1">-SUM('Q1 - CAP Acct. 2'!AC83:AC84)</f>
        <v>0</v>
      </c>
      <c r="Z142" s="395">
        <f ca="1">-SUM('Q1 - CAP Acct. 2'!AD83:AD84)</f>
        <v>0</v>
      </c>
      <c r="AA142" s="395">
        <f ca="1">-SUM('Q1 - CAP Acct. 2'!AE83:AE84)</f>
        <v>0</v>
      </c>
      <c r="AB142" s="395">
        <f ca="1">-SUM('Q1 - CAP Acct. 2'!AF83:AF84)</f>
        <v>0</v>
      </c>
      <c r="AC142" s="395">
        <f ca="1">-SUM('Q1 - CAP Acct. 2'!AG83:AG84)</f>
        <v>0</v>
      </c>
      <c r="AD142" s="395">
        <f ca="1">-SUM('Q1 - CAP Acct. 2'!AH83:AH84)</f>
        <v>267267.30637668417</v>
      </c>
      <c r="AE142" s="395">
        <f ca="1">-SUM('Q1 - CAP Acct. 2'!AI83:AI84)</f>
        <v>271713.22820647666</v>
      </c>
      <c r="AF142" s="395">
        <f ca="1">-SUM('Q1 - CAP Acct. 2'!AJ83:AJ84)</f>
        <v>266982.73735482426</v>
      </c>
      <c r="AG142" s="395">
        <f ca="1">-SUM('Q1 - CAP Acct. 2'!AK83:AK84)</f>
        <v>268361.01650197932</v>
      </c>
      <c r="AH142" s="395">
        <f ca="1">-SUM('Q1 - CAP Acct. 2'!AL83:AL84)</f>
        <v>266698.57126255275</v>
      </c>
      <c r="AI142" s="395">
        <f ca="1">-SUM('Q1 - CAP Acct. 2'!AM83:AM84)</f>
        <v>268106.58596345084</v>
      </c>
      <c r="AJ142" s="395">
        <f ca="1">-SUM('Q1 - CAP Acct. 2'!AN83:AN84)</f>
        <v>266418.33373376896</v>
      </c>
      <c r="AK142" s="395">
        <f ca="1">-SUM('Q1 - CAP Acct. 2'!AO83:AO84)</f>
        <v>266294.83581490163</v>
      </c>
      <c r="AL142" s="395">
        <f ca="1">-SUM('Q1 - CAP Acct. 2'!AP83:AP84)</f>
        <v>267713.43716579361</v>
      </c>
      <c r="AM142" s="395">
        <f ca="1">-SUM('Q1 - CAP Acct. 2'!AQ83:AQ84)</f>
        <v>266007.6477507166</v>
      </c>
      <c r="AN142" s="395">
        <f ca="1">-SUM('Q1 - CAP Acct. 2'!AR83:AR84)</f>
        <v>267434.7333689917</v>
      </c>
      <c r="AO142" s="395">
        <f ca="1">-SUM('Q1 - CAP Acct. 2'!AS83:AS84)</f>
        <v>3895345.6441083681</v>
      </c>
      <c r="AP142" s="395">
        <f ca="1">-SUM('Q1 - CAP Acct. 2'!AT83:AT84)</f>
        <v>0</v>
      </c>
      <c r="AQ142" s="395">
        <f ca="1">-SUM('Q1 - CAP Acct. 2'!AU83:AU84)</f>
        <v>0</v>
      </c>
      <c r="AR142" s="395">
        <f ca="1">-SUM('Q1 - CAP Acct. 2'!AV83:AV84)</f>
        <v>0</v>
      </c>
      <c r="AS142" s="395">
        <f ca="1">-SUM('Q1 - CAP Acct. 2'!AW83:AW84)</f>
        <v>0</v>
      </c>
      <c r="AT142" s="395">
        <f ca="1">-SUM('Q1 - CAP Acct. 2'!AX83:AX84)</f>
        <v>0</v>
      </c>
      <c r="AU142" s="395">
        <f ca="1">-SUM('Q1 - CAP Acct. 2'!AY83:AY84)</f>
        <v>0</v>
      </c>
      <c r="AV142" s="395">
        <f ca="1">-SUM('Q1 - CAP Acct. 2'!AZ83:AZ84)</f>
        <v>0</v>
      </c>
      <c r="AW142" s="395">
        <f ca="1">-SUM('Q1 - CAP Acct. 2'!BA83:BA84)</f>
        <v>0</v>
      </c>
      <c r="AX142" s="395">
        <f ca="1">-SUM('Q1 - CAP Acct. 2'!BB83:BB84)</f>
        <v>0</v>
      </c>
      <c r="AY142" s="395">
        <f ca="1">-SUM('Q1 - CAP Acct. 2'!BC83:BC84)</f>
        <v>0</v>
      </c>
      <c r="AZ142" s="395">
        <f ca="1">-SUM('Q1 - CAP Acct. 2'!BD83:BD84)</f>
        <v>0</v>
      </c>
      <c r="BA142" s="395">
        <f ca="1">-SUM('Q1 - CAP Acct. 2'!BE83:BE84)</f>
        <v>0</v>
      </c>
      <c r="BB142" s="395">
        <f ca="1">-SUM('Q1 - CAP Acct. 2'!BF83:BF84)</f>
        <v>0</v>
      </c>
      <c r="BC142" s="395">
        <f ca="1">-SUM('Q1 - CAP Acct. 2'!BG83:BG84)</f>
        <v>0</v>
      </c>
      <c r="BD142" s="395">
        <f ca="1">-SUM('Q1 - CAP Acct. 2'!BH83:BH84)</f>
        <v>0</v>
      </c>
      <c r="BE142" s="395">
        <f ca="1">-SUM('Q1 - CAP Acct. 2'!BI83:BI84)</f>
        <v>0</v>
      </c>
      <c r="BF142" s="395">
        <f ca="1">-SUM('Q1 - CAP Acct. 2'!BJ83:BJ84)</f>
        <v>0</v>
      </c>
      <c r="BG142" s="395">
        <f ca="1">-SUM('Q1 - CAP Acct. 2'!BK83:BK84)</f>
        <v>0</v>
      </c>
      <c r="BH142" s="395">
        <f ca="1">-SUM('Q1 - CAP Acct. 2'!BL83:BL84)</f>
        <v>0</v>
      </c>
      <c r="BI142" s="395">
        <f ca="1">-SUM('Q1 - CAP Acct. 2'!BM83:BM84)</f>
        <v>0</v>
      </c>
      <c r="BJ142" s="395">
        <f ca="1">-SUM('Q1 - CAP Acct. 2'!BN83:BN84)</f>
        <v>0</v>
      </c>
      <c r="BK142" s="395">
        <f ca="1">-SUM('Q1 - CAP Acct. 2'!BO83:BO84)</f>
        <v>0</v>
      </c>
      <c r="BL142" s="395">
        <f ca="1">-SUM('Q1 - CAP Acct. 2'!BP83:BP84)</f>
        <v>0</v>
      </c>
      <c r="BM142" s="395">
        <f ca="1">-SUM('Q1 - CAP Acct. 2'!BQ83:BQ84)</f>
        <v>0</v>
      </c>
      <c r="BN142" s="395">
        <f ca="1">-SUM('Q1 - CAP Acct. 2'!BR83:BR84)</f>
        <v>0</v>
      </c>
      <c r="BO142" s="395">
        <f ca="1">-SUM('Q1 - CAP Acct. 2'!BS83:BS84)</f>
        <v>0</v>
      </c>
      <c r="BP142" s="395">
        <f ca="1">-SUM('Q1 - CAP Acct. 2'!BT83:BT84)</f>
        <v>0</v>
      </c>
      <c r="BQ142" s="395">
        <f ca="1">-SUM('Q1 - CAP Acct. 2'!BU83:BU84)</f>
        <v>0</v>
      </c>
      <c r="BR142" s="395">
        <f ca="1">-SUM('Q1 - CAP Acct. 2'!BV83:BV84)</f>
        <v>0</v>
      </c>
      <c r="BS142" s="395">
        <f ca="1">-SUM('Q1 - CAP Acct. 2'!BW83:BW84)</f>
        <v>0</v>
      </c>
      <c r="BT142" s="395">
        <f ca="1">-SUM('Q1 - CAP Acct. 2'!BX83:BX84)</f>
        <v>0</v>
      </c>
      <c r="BU142" s="395">
        <f ca="1">-SUM('Q1 - CAP Acct. 2'!BY83:BY84)</f>
        <v>0</v>
      </c>
      <c r="BV142" s="395">
        <f ca="1">-SUM('Q1 - CAP Acct. 2'!BZ83:BZ84)</f>
        <v>0</v>
      </c>
      <c r="BW142" s="395">
        <f ca="1">-SUM('Q1 - CAP Acct. 2'!CA83:CA84)</f>
        <v>0</v>
      </c>
      <c r="BX142" s="395">
        <f ca="1">-SUM('Q1 - CAP Acct. 2'!CB83:CB84)</f>
        <v>0</v>
      </c>
      <c r="BY142" s="395">
        <f ca="1">-SUM('Q1 - CAP Acct. 2'!CC83:CC84)</f>
        <v>0</v>
      </c>
      <c r="BZ142" s="395">
        <f ca="1">-SUM('Q1 - CAP Acct. 2'!CD83:CD84)</f>
        <v>0</v>
      </c>
      <c r="CA142" s="395">
        <f ca="1">-SUM('Q1 - CAP Acct. 2'!CE83:CE84)</f>
        <v>0</v>
      </c>
      <c r="CB142" s="395">
        <f ca="1">-SUM('Q1 - CAP Acct. 2'!CF83:CF84)</f>
        <v>0</v>
      </c>
      <c r="CC142" s="395">
        <f ca="1">-SUM('Q1 - CAP Acct. 2'!CG83:CG84)</f>
        <v>0</v>
      </c>
      <c r="CD142" s="395">
        <f ca="1">-SUM('Q1 - CAP Acct. 2'!CH83:CH84)</f>
        <v>0</v>
      </c>
      <c r="CE142" s="395">
        <f ca="1">-SUM('Q1 - CAP Acct. 2'!CI83:CI84)</f>
        <v>0</v>
      </c>
      <c r="CF142" s="395">
        <f ca="1">-SUM('Q1 - CAP Acct. 2'!CJ83:CJ84)</f>
        <v>0</v>
      </c>
      <c r="CG142" s="395">
        <f ca="1">-SUM('Q1 - CAP Acct. 2'!CK83:CK84)</f>
        <v>0</v>
      </c>
      <c r="CH142" s="395">
        <f ca="1">-SUM('Q1 - CAP Acct. 2'!CL83:CL84)</f>
        <v>0</v>
      </c>
      <c r="CI142" s="395">
        <f ca="1">-SUM('Q1 - CAP Acct. 2'!CM83:CM84)</f>
        <v>0</v>
      </c>
      <c r="CJ142" s="395">
        <f ca="1">-SUM('Q1 - CAP Acct. 2'!CN83:CN84)</f>
        <v>0</v>
      </c>
      <c r="CK142" s="395">
        <f ca="1">-SUM('Q1 - CAP Acct. 2'!CO83:CO84)</f>
        <v>0</v>
      </c>
      <c r="CL142" s="133" t="s">
        <v>15</v>
      </c>
    </row>
    <row r="143" spans="2:90" ht="15" customHeight="1" x14ac:dyDescent="0.2">
      <c r="B143" s="133" t="s">
        <v>335</v>
      </c>
      <c r="E143" s="395">
        <f ca="1">SUM(E141:E142)</f>
        <v>-7854546.1363176722</v>
      </c>
      <c r="F143" s="395">
        <f t="shared" ref="F143:BQ143" ca="1" si="143">SUM(F141:F142)</f>
        <v>-299711.60592062853</v>
      </c>
      <c r="G143" s="395">
        <f t="shared" ca="1" si="143"/>
        <v>-299795.69330929994</v>
      </c>
      <c r="H143" s="395">
        <f t="shared" ca="1" si="143"/>
        <v>-319881.69679057132</v>
      </c>
      <c r="I143" s="395">
        <f t="shared" ca="1" si="143"/>
        <v>-288212.83321714279</v>
      </c>
      <c r="J143" s="395">
        <f t="shared" ca="1" si="143"/>
        <v>-244261.56490285712</v>
      </c>
      <c r="K143" s="395">
        <f t="shared" ca="1" si="143"/>
        <v>-413184.54954857146</v>
      </c>
      <c r="L143" s="395">
        <f t="shared" ca="1" si="143"/>
        <v>-631013.1134575489</v>
      </c>
      <c r="M143" s="395">
        <f t="shared" ca="1" si="143"/>
        <v>-631431.44036652637</v>
      </c>
      <c r="N143" s="395">
        <f t="shared" ca="1" si="143"/>
        <v>-631849.76727550384</v>
      </c>
      <c r="O143" s="395">
        <f t="shared" ca="1" si="143"/>
        <v>-632268.09418448119</v>
      </c>
      <c r="P143" s="395">
        <f t="shared" ca="1" si="143"/>
        <v>-632686.42109345866</v>
      </c>
      <c r="Q143" s="395">
        <f t="shared" ca="1" si="143"/>
        <v>-633104.74800243613</v>
      </c>
      <c r="R143" s="395">
        <f t="shared" ca="1" si="143"/>
        <v>-974044.22176741331</v>
      </c>
      <c r="S143" s="395">
        <f t="shared" ca="1" si="143"/>
        <v>-1079788.5309323911</v>
      </c>
      <c r="T143" s="395">
        <f t="shared" ca="1" si="143"/>
        <v>-475749.59246165282</v>
      </c>
      <c r="U143" s="395">
        <f t="shared" ca="1" si="143"/>
        <v>-7287.0918000000011</v>
      </c>
      <c r="V143" s="395">
        <f t="shared" ca="1" si="143"/>
        <v>-7287.0918000000011</v>
      </c>
      <c r="W143" s="395">
        <f t="shared" ca="1" si="143"/>
        <v>-7287.0918000000011</v>
      </c>
      <c r="X143" s="395">
        <f t="shared" ca="1" si="143"/>
        <v>-7287.0918000000011</v>
      </c>
      <c r="Y143" s="395">
        <f t="shared" ca="1" si="143"/>
        <v>-7287.0918000000011</v>
      </c>
      <c r="Z143" s="395">
        <f t="shared" ca="1" si="143"/>
        <v>-7287.0918000000011</v>
      </c>
      <c r="AA143" s="395">
        <f t="shared" ca="1" si="143"/>
        <v>-7287.0918000000011</v>
      </c>
      <c r="AB143" s="395">
        <f t="shared" ca="1" si="143"/>
        <v>-7287.0918000000011</v>
      </c>
      <c r="AC143" s="395">
        <f t="shared" ca="1" si="143"/>
        <v>-7287.0918000000011</v>
      </c>
      <c r="AD143" s="395">
        <f t="shared" ca="1" si="143"/>
        <v>259980.21457668417</v>
      </c>
      <c r="AE143" s="395">
        <f t="shared" ca="1" si="143"/>
        <v>264426.13640647667</v>
      </c>
      <c r="AF143" s="395">
        <f t="shared" ca="1" si="143"/>
        <v>259695.64555482427</v>
      </c>
      <c r="AG143" s="395">
        <f t="shared" ca="1" si="143"/>
        <v>261073.92470197933</v>
      </c>
      <c r="AH143" s="395">
        <f t="shared" ca="1" si="143"/>
        <v>259411.47946255276</v>
      </c>
      <c r="AI143" s="395">
        <f t="shared" ca="1" si="143"/>
        <v>260819.49416345084</v>
      </c>
      <c r="AJ143" s="395">
        <f t="shared" ca="1" si="143"/>
        <v>259131.24193376896</v>
      </c>
      <c r="AK143" s="395">
        <f t="shared" ca="1" si="143"/>
        <v>259007.74401490163</v>
      </c>
      <c r="AL143" s="395">
        <f t="shared" ca="1" si="143"/>
        <v>260426.34536579362</v>
      </c>
      <c r="AM143" s="395">
        <f t="shared" ca="1" si="143"/>
        <v>258720.5559507166</v>
      </c>
      <c r="AN143" s="395">
        <f t="shared" ca="1" si="143"/>
        <v>260147.6415689917</v>
      </c>
      <c r="AO143" s="395">
        <f t="shared" ca="1" si="143"/>
        <v>19730945.26142478</v>
      </c>
      <c r="AP143" s="395">
        <f t="shared" ca="1" si="143"/>
        <v>44029.518827534106</v>
      </c>
      <c r="AQ143" s="395">
        <f t="shared" ca="1" si="143"/>
        <v>44029.518827534106</v>
      </c>
      <c r="AR143" s="395">
        <f t="shared" ca="1" si="143"/>
        <v>44029.518827534106</v>
      </c>
      <c r="AS143" s="395">
        <f t="shared" ca="1" si="143"/>
        <v>44029.518827534106</v>
      </c>
      <c r="AT143" s="395">
        <f t="shared" ca="1" si="143"/>
        <v>44029.518827534106</v>
      </c>
      <c r="AU143" s="395">
        <f t="shared" ca="1" si="143"/>
        <v>44029.518827534106</v>
      </c>
      <c r="AV143" s="395">
        <f t="shared" ca="1" si="143"/>
        <v>44029.518827534106</v>
      </c>
      <c r="AW143" s="395">
        <f t="shared" ca="1" si="143"/>
        <v>44029.518827534106</v>
      </c>
      <c r="AX143" s="395">
        <f t="shared" ca="1" si="143"/>
        <v>44029.518827534106</v>
      </c>
      <c r="AY143" s="395">
        <f t="shared" ca="1" si="143"/>
        <v>44029.518827534106</v>
      </c>
      <c r="AZ143" s="395">
        <f t="shared" ca="1" si="143"/>
        <v>44029.518827534106</v>
      </c>
      <c r="BA143" s="395">
        <f t="shared" ca="1" si="143"/>
        <v>44029.518827534106</v>
      </c>
      <c r="BB143" s="395">
        <f t="shared" ca="1" si="143"/>
        <v>36910.579248436974</v>
      </c>
      <c r="BC143" s="395">
        <f t="shared" ca="1" si="143"/>
        <v>36910.579248436974</v>
      </c>
      <c r="BD143" s="395">
        <f t="shared" ca="1" si="143"/>
        <v>36910.579248436974</v>
      </c>
      <c r="BE143" s="395">
        <f t="shared" ca="1" si="143"/>
        <v>36910.579248436974</v>
      </c>
      <c r="BF143" s="395">
        <f t="shared" ca="1" si="143"/>
        <v>36910.579248436974</v>
      </c>
      <c r="BG143" s="395">
        <f t="shared" ca="1" si="143"/>
        <v>36910.579248436974</v>
      </c>
      <c r="BH143" s="395">
        <f t="shared" ca="1" si="143"/>
        <v>36910.579248436974</v>
      </c>
      <c r="BI143" s="395">
        <f t="shared" ca="1" si="143"/>
        <v>36910.579248436974</v>
      </c>
      <c r="BJ143" s="395">
        <f t="shared" ca="1" si="143"/>
        <v>36910.579248436974</v>
      </c>
      <c r="BK143" s="395">
        <f t="shared" ca="1" si="143"/>
        <v>36910.579248436974</v>
      </c>
      <c r="BL143" s="395">
        <f t="shared" ca="1" si="143"/>
        <v>36910.579248436974</v>
      </c>
      <c r="BM143" s="395">
        <f t="shared" ca="1" si="143"/>
        <v>36910.579248436974</v>
      </c>
      <c r="BN143" s="395">
        <f t="shared" ca="1" si="143"/>
        <v>42768.543947955142</v>
      </c>
      <c r="BO143" s="395">
        <f t="shared" ca="1" si="143"/>
        <v>42768.543947955142</v>
      </c>
      <c r="BP143" s="395">
        <f t="shared" ca="1" si="143"/>
        <v>42768.543947955142</v>
      </c>
      <c r="BQ143" s="395">
        <f t="shared" ca="1" si="143"/>
        <v>42768.543947955142</v>
      </c>
      <c r="BR143" s="395">
        <f t="shared" ref="BR143:CK143" ca="1" si="144">SUM(BR141:BR142)</f>
        <v>42768.543947955142</v>
      </c>
      <c r="BS143" s="395">
        <f t="shared" ca="1" si="144"/>
        <v>42768.543947955142</v>
      </c>
      <c r="BT143" s="395">
        <f t="shared" ca="1" si="144"/>
        <v>42768.543947955142</v>
      </c>
      <c r="BU143" s="395">
        <f t="shared" ca="1" si="144"/>
        <v>42768.543947955142</v>
      </c>
      <c r="BV143" s="395">
        <f t="shared" ca="1" si="144"/>
        <v>42768.543947955142</v>
      </c>
      <c r="BW143" s="395">
        <f t="shared" ca="1" si="144"/>
        <v>42768.543947955142</v>
      </c>
      <c r="BX143" s="395">
        <f t="shared" ca="1" si="144"/>
        <v>42768.543947955142</v>
      </c>
      <c r="BY143" s="395">
        <f t="shared" ca="1" si="144"/>
        <v>5087789.7448465601</v>
      </c>
      <c r="BZ143" s="395">
        <f t="shared" ca="1" si="144"/>
        <v>0</v>
      </c>
      <c r="CA143" s="395">
        <f t="shared" ca="1" si="144"/>
        <v>0</v>
      </c>
      <c r="CB143" s="395">
        <f t="shared" ca="1" si="144"/>
        <v>0</v>
      </c>
      <c r="CC143" s="395">
        <f t="shared" ca="1" si="144"/>
        <v>0</v>
      </c>
      <c r="CD143" s="395">
        <f t="shared" ca="1" si="144"/>
        <v>0</v>
      </c>
      <c r="CE143" s="395">
        <f t="shared" ca="1" si="144"/>
        <v>0</v>
      </c>
      <c r="CF143" s="395">
        <f t="shared" ca="1" si="144"/>
        <v>0</v>
      </c>
      <c r="CG143" s="395">
        <f t="shared" ca="1" si="144"/>
        <v>0</v>
      </c>
      <c r="CH143" s="395">
        <f t="shared" ca="1" si="144"/>
        <v>0</v>
      </c>
      <c r="CI143" s="395">
        <f t="shared" ca="1" si="144"/>
        <v>0</v>
      </c>
      <c r="CJ143" s="395">
        <f t="shared" ca="1" si="144"/>
        <v>0</v>
      </c>
      <c r="CK143" s="395">
        <f t="shared" ca="1" si="144"/>
        <v>0</v>
      </c>
      <c r="CL143" s="133" t="s">
        <v>15</v>
      </c>
    </row>
    <row r="144" spans="2:90" ht="15" customHeight="1" x14ac:dyDescent="0.2">
      <c r="B144" s="133"/>
      <c r="CL144" s="133"/>
    </row>
    <row r="145" spans="1:90" ht="15" customHeight="1" x14ac:dyDescent="0.2">
      <c r="B145" s="272" t="s">
        <v>333</v>
      </c>
      <c r="C145" s="273"/>
      <c r="D145" s="273"/>
      <c r="E145" s="405">
        <f ca="1">IFERROR(XIRR(E143:CK143,HoldingDates,-0.1),XIRR(E143:CK143,HoldingDates))</f>
        <v>0.21543372273445133</v>
      </c>
      <c r="CL145" s="133"/>
    </row>
    <row r="146" spans="1:90" ht="15" customHeight="1" x14ac:dyDescent="0.2">
      <c r="B146" s="275" t="s">
        <v>218</v>
      </c>
      <c r="E146" s="393">
        <f ca="1">-SUMIF(E143:CK143,"&gt;"&amp;0)/SUMIF(E143:CK143,"&lt;"&amp;0)</f>
        <v>1.8081023631728665</v>
      </c>
      <c r="CL146" s="133"/>
    </row>
    <row r="147" spans="1:90" ht="15" customHeight="1" x14ac:dyDescent="0.2">
      <c r="B147" s="277" t="s">
        <v>220</v>
      </c>
      <c r="C147" s="278"/>
      <c r="D147" s="278"/>
      <c r="E147" s="394">
        <f ca="1">SUM(E143:CK143)</f>
        <v>13016196.754562486</v>
      </c>
      <c r="CL147" s="133"/>
    </row>
    <row r="148" spans="1:90" s="329" customFormat="1" ht="15" customHeight="1" x14ac:dyDescent="0.2">
      <c r="CL148" s="330"/>
    </row>
    <row r="149" spans="1:90" s="329" customFormat="1" ht="10.35" customHeight="1" x14ac:dyDescent="0.2">
      <c r="B149" s="330"/>
      <c r="C149" s="330"/>
      <c r="D149" s="330"/>
    </row>
    <row r="150" spans="1:90" s="329" customFormat="1" ht="15" customHeight="1" x14ac:dyDescent="0.2">
      <c r="A150" s="11"/>
      <c r="B150" s="338"/>
      <c r="C150" s="339"/>
      <c r="D150" s="341"/>
      <c r="J150" s="419"/>
      <c r="K150" s="419"/>
      <c r="L150" s="419"/>
    </row>
    <row r="151" spans="1:90" s="329" customFormat="1" ht="15" customHeight="1" x14ac:dyDescent="0.2">
      <c r="A151" s="11"/>
      <c r="B151" s="338"/>
      <c r="C151" s="339"/>
      <c r="D151" s="341"/>
      <c r="J151" s="419"/>
      <c r="K151" s="419"/>
      <c r="L151" s="419"/>
    </row>
    <row r="152" spans="1:90" s="329" customFormat="1" ht="15" customHeight="1" x14ac:dyDescent="0.2">
      <c r="A152" s="11"/>
      <c r="B152" s="338"/>
      <c r="D152" s="341"/>
    </row>
    <row r="153" spans="1:90" s="329" customFormat="1" ht="15" customHeight="1" x14ac:dyDescent="0.2">
      <c r="A153" s="11"/>
      <c r="B153" s="338"/>
      <c r="D153" s="325"/>
      <c r="E153" s="325"/>
      <c r="F153" s="321"/>
    </row>
    <row r="154" spans="1:90" s="329" customFormat="1" ht="15" customHeight="1" x14ac:dyDescent="0.2">
      <c r="F154" s="321"/>
      <c r="CL154" s="330"/>
    </row>
    <row r="155" spans="1:90" ht="15" customHeight="1" x14ac:dyDescent="0.2">
      <c r="CL155" s="133"/>
    </row>
    <row r="156" spans="1:90" ht="15" customHeight="1" x14ac:dyDescent="0.2">
      <c r="CL156" s="133"/>
    </row>
    <row r="157" spans="1:90" ht="15" customHeight="1" x14ac:dyDescent="0.2">
      <c r="CL157" s="133"/>
    </row>
    <row r="158" spans="1:90" ht="15" customHeight="1" x14ac:dyDescent="0.2">
      <c r="CL158" s="133"/>
    </row>
    <row r="159" spans="1:90" ht="15" customHeight="1" x14ac:dyDescent="0.2">
      <c r="CL159" s="133"/>
    </row>
    <row r="160" spans="1:90" ht="15" customHeight="1" x14ac:dyDescent="0.2">
      <c r="CL160" s="133"/>
    </row>
    <row r="161" spans="90:90" ht="15" customHeight="1" x14ac:dyDescent="0.2">
      <c r="CL161" s="133"/>
    </row>
    <row r="162" spans="90:90" ht="15" customHeight="1" x14ac:dyDescent="0.2">
      <c r="CL162" s="133"/>
    </row>
    <row r="163" spans="90:90" ht="15" customHeight="1" x14ac:dyDescent="0.2">
      <c r="CL163" s="133"/>
    </row>
    <row r="164" spans="90:90" ht="15" customHeight="1" x14ac:dyDescent="0.2">
      <c r="CL164" s="133"/>
    </row>
    <row r="165" spans="90:90" ht="15" customHeight="1" x14ac:dyDescent="0.2">
      <c r="CL165" s="133"/>
    </row>
    <row r="166" spans="90:90" ht="15" customHeight="1" x14ac:dyDescent="0.2">
      <c r="CL166" s="133"/>
    </row>
    <row r="167" spans="90:90" ht="15" customHeight="1" x14ac:dyDescent="0.2">
      <c r="CL167" s="133"/>
    </row>
    <row r="168" spans="90:90" ht="15" customHeight="1" x14ac:dyDescent="0.2">
      <c r="CL168" s="133"/>
    </row>
    <row r="169" spans="90:90" ht="15" customHeight="1" x14ac:dyDescent="0.2">
      <c r="CL169" s="133"/>
    </row>
    <row r="170" spans="90:90" ht="15" customHeight="1" x14ac:dyDescent="0.2">
      <c r="CL170" s="133"/>
    </row>
    <row r="171" spans="90:90" ht="15" customHeight="1" x14ac:dyDescent="0.2">
      <c r="CL171" s="133"/>
    </row>
    <row r="172" spans="90:90" ht="15" customHeight="1" x14ac:dyDescent="0.2">
      <c r="CL172" s="133"/>
    </row>
    <row r="173" spans="90:90" ht="15" customHeight="1" x14ac:dyDescent="0.2">
      <c r="CL173" s="133"/>
    </row>
    <row r="174" spans="90:90" ht="15" customHeight="1" x14ac:dyDescent="0.2">
      <c r="CL174" s="133"/>
    </row>
    <row r="175" spans="90:90" ht="15" customHeight="1" x14ac:dyDescent="0.2">
      <c r="CL175" s="133"/>
    </row>
    <row r="176" spans="90:90" ht="15" customHeight="1" x14ac:dyDescent="0.2">
      <c r="CL176" s="133"/>
    </row>
    <row r="177" spans="90:90" ht="15" customHeight="1" x14ac:dyDescent="0.2">
      <c r="CL177" s="133"/>
    </row>
    <row r="178" spans="90:90" ht="15" customHeight="1" x14ac:dyDescent="0.2">
      <c r="CL178" s="133"/>
    </row>
    <row r="179" spans="90:90" ht="15" customHeight="1" x14ac:dyDescent="0.2">
      <c r="CL179" s="133"/>
    </row>
    <row r="180" spans="90:90" ht="15" customHeight="1" x14ac:dyDescent="0.2">
      <c r="CL180" s="133"/>
    </row>
    <row r="181" spans="90:90" ht="15" customHeight="1" x14ac:dyDescent="0.2">
      <c r="CL181" s="133"/>
    </row>
    <row r="182" spans="90:90" ht="15" customHeight="1" x14ac:dyDescent="0.2">
      <c r="CL182" s="133"/>
    </row>
    <row r="183" spans="90:90" ht="15" customHeight="1" x14ac:dyDescent="0.2">
      <c r="CL183" s="133"/>
    </row>
    <row r="184" spans="90:90" ht="15" customHeight="1" x14ac:dyDescent="0.2">
      <c r="CL184" s="133"/>
    </row>
    <row r="185" spans="90:90" ht="15" customHeight="1" x14ac:dyDescent="0.2">
      <c r="CL185" s="133"/>
    </row>
    <row r="186" spans="90:90" ht="15" customHeight="1" x14ac:dyDescent="0.2">
      <c r="CL186" s="133"/>
    </row>
    <row r="187" spans="90:90" ht="15" customHeight="1" x14ac:dyDescent="0.2">
      <c r="CL187" s="133"/>
    </row>
    <row r="188" spans="90:90" ht="15" customHeight="1" x14ac:dyDescent="0.2">
      <c r="CL188" s="133"/>
    </row>
    <row r="189" spans="90:90" ht="15" customHeight="1" x14ac:dyDescent="0.2">
      <c r="CL189" s="133"/>
    </row>
    <row r="190" spans="90:90" ht="15" customHeight="1" x14ac:dyDescent="0.2">
      <c r="CL190" s="133"/>
    </row>
    <row r="191" spans="90:90" ht="15" customHeight="1" x14ac:dyDescent="0.2">
      <c r="CL191" s="133"/>
    </row>
    <row r="192" spans="90:90" ht="15" customHeight="1" x14ac:dyDescent="0.2">
      <c r="CL192" s="133"/>
    </row>
    <row r="193" spans="90:90" ht="15" customHeight="1" x14ac:dyDescent="0.2">
      <c r="CL193" s="133"/>
    </row>
    <row r="194" spans="90:90" ht="15" customHeight="1" x14ac:dyDescent="0.2">
      <c r="CL194" s="133"/>
    </row>
    <row r="195" spans="90:90" ht="15" customHeight="1" x14ac:dyDescent="0.2">
      <c r="CL195" s="133"/>
    </row>
    <row r="196" spans="90:90" ht="15" customHeight="1" x14ac:dyDescent="0.2">
      <c r="CL196" s="133"/>
    </row>
    <row r="197" spans="90:90" ht="15" customHeight="1" x14ac:dyDescent="0.2">
      <c r="CL197" s="133"/>
    </row>
    <row r="198" spans="90:90" ht="15" customHeight="1" x14ac:dyDescent="0.2">
      <c r="CL198" s="133"/>
    </row>
    <row r="199" spans="90:90" ht="15" customHeight="1" x14ac:dyDescent="0.2">
      <c r="CL199" s="133"/>
    </row>
    <row r="200" spans="90:90" ht="15" customHeight="1" x14ac:dyDescent="0.2">
      <c r="CL200" s="133"/>
    </row>
    <row r="201" spans="90:90" ht="15" customHeight="1" x14ac:dyDescent="0.2">
      <c r="CL201" s="133"/>
    </row>
    <row r="202" spans="90:90" ht="15" customHeight="1" x14ac:dyDescent="0.2">
      <c r="CL202" s="133"/>
    </row>
    <row r="203" spans="90:90" ht="15" customHeight="1" x14ac:dyDescent="0.2">
      <c r="CL203" s="133"/>
    </row>
    <row r="204" spans="90:90" ht="15" customHeight="1" x14ac:dyDescent="0.2">
      <c r="CL204" s="133"/>
    </row>
    <row r="205" spans="90:90" ht="15" customHeight="1" x14ac:dyDescent="0.2">
      <c r="CL205" s="133"/>
    </row>
    <row r="206" spans="90:90" ht="15" customHeight="1" x14ac:dyDescent="0.2">
      <c r="CL206" s="133"/>
    </row>
    <row r="207" spans="90:90" ht="15" customHeight="1" x14ac:dyDescent="0.2">
      <c r="CL207" s="133"/>
    </row>
    <row r="208" spans="90:90" ht="15" customHeight="1" x14ac:dyDescent="0.2">
      <c r="CL208" s="133"/>
    </row>
    <row r="209" spans="90:90" ht="15" customHeight="1" x14ac:dyDescent="0.2">
      <c r="CL209" s="133"/>
    </row>
    <row r="210" spans="90:90" ht="15" customHeight="1" x14ac:dyDescent="0.2">
      <c r="CL210" s="133"/>
    </row>
    <row r="211" spans="90:90" ht="15" customHeight="1" x14ac:dyDescent="0.2">
      <c r="CL211" s="133"/>
    </row>
    <row r="212" spans="90:90" ht="15" customHeight="1" x14ac:dyDescent="0.2">
      <c r="CL212" s="133"/>
    </row>
    <row r="213" spans="90:90" ht="15" customHeight="1" x14ac:dyDescent="0.2">
      <c r="CL213" s="133"/>
    </row>
    <row r="214" spans="90:90" ht="15" customHeight="1" x14ac:dyDescent="0.2">
      <c r="CL214" s="133"/>
    </row>
    <row r="215" spans="90:90" ht="15" customHeight="1" x14ac:dyDescent="0.2">
      <c r="CL215" s="133"/>
    </row>
    <row r="216" spans="90:90" ht="15" customHeight="1" x14ac:dyDescent="0.2">
      <c r="CL216" s="133"/>
    </row>
    <row r="217" spans="90:90" ht="15" customHeight="1" x14ac:dyDescent="0.2">
      <c r="CL217" s="133"/>
    </row>
    <row r="218" spans="90:90" ht="15" customHeight="1" x14ac:dyDescent="0.2">
      <c r="CL218" s="133"/>
    </row>
    <row r="219" spans="90:90" ht="15" customHeight="1" x14ac:dyDescent="0.2">
      <c r="CL219" s="133"/>
    </row>
    <row r="220" spans="90:90" ht="15" customHeight="1" x14ac:dyDescent="0.2">
      <c r="CL220" s="133"/>
    </row>
    <row r="221" spans="90:90" ht="15" customHeight="1" x14ac:dyDescent="0.2">
      <c r="CL221" s="133"/>
    </row>
    <row r="222" spans="90:90" ht="15" customHeight="1" x14ac:dyDescent="0.2">
      <c r="CL222" s="133"/>
    </row>
    <row r="223" spans="90:90" ht="15" customHeight="1" x14ac:dyDescent="0.2">
      <c r="CL223" s="133"/>
    </row>
    <row r="224" spans="90:90" ht="15" customHeight="1" x14ac:dyDescent="0.2">
      <c r="CL224" s="133"/>
    </row>
    <row r="225" spans="90:90" ht="15" customHeight="1" x14ac:dyDescent="0.2">
      <c r="CL225" s="133"/>
    </row>
    <row r="226" spans="90:90" ht="15" customHeight="1" x14ac:dyDescent="0.2">
      <c r="CL226" s="133"/>
    </row>
    <row r="227" spans="90:90" ht="15" customHeight="1" x14ac:dyDescent="0.2">
      <c r="CL227" s="133"/>
    </row>
    <row r="228" spans="90:90" ht="15" customHeight="1" x14ac:dyDescent="0.2">
      <c r="CL228" s="133"/>
    </row>
    <row r="229" spans="90:90" ht="15" customHeight="1" x14ac:dyDescent="0.2">
      <c r="CL229" s="133"/>
    </row>
    <row r="230" spans="90:90" ht="15" customHeight="1" x14ac:dyDescent="0.2">
      <c r="CL230" s="133"/>
    </row>
    <row r="231" spans="90:90" ht="15" customHeight="1" x14ac:dyDescent="0.2">
      <c r="CL231" s="133"/>
    </row>
    <row r="232" spans="90:90" ht="15" customHeight="1" x14ac:dyDescent="0.2">
      <c r="CL232" s="133"/>
    </row>
    <row r="233" spans="90:90" ht="15" customHeight="1" x14ac:dyDescent="0.2">
      <c r="CL233" s="133"/>
    </row>
    <row r="234" spans="90:90" ht="15" customHeight="1" x14ac:dyDescent="0.2">
      <c r="CL234" s="133"/>
    </row>
    <row r="235" spans="90:90" ht="15" customHeight="1" x14ac:dyDescent="0.2">
      <c r="CL235" s="133"/>
    </row>
    <row r="236" spans="90:90" ht="15" customHeight="1" x14ac:dyDescent="0.2">
      <c r="CL236" s="133"/>
    </row>
    <row r="237" spans="90:90" ht="15" customHeight="1" x14ac:dyDescent="0.2">
      <c r="CL237" s="133"/>
    </row>
    <row r="238" spans="90:90" ht="15" customHeight="1" x14ac:dyDescent="0.2">
      <c r="CL238" s="133"/>
    </row>
    <row r="239" spans="90:90" ht="15" customHeight="1" x14ac:dyDescent="0.2">
      <c r="CL239" s="133"/>
    </row>
    <row r="240" spans="90:90" ht="15" customHeight="1" x14ac:dyDescent="0.2">
      <c r="CL240" s="133"/>
    </row>
    <row r="241" spans="90:90" ht="15" customHeight="1" x14ac:dyDescent="0.2">
      <c r="CL241" s="133"/>
    </row>
    <row r="242" spans="90:90" ht="15" customHeight="1" x14ac:dyDescent="0.2">
      <c r="CL242" s="133"/>
    </row>
    <row r="243" spans="90:90" ht="15" customHeight="1" x14ac:dyDescent="0.2">
      <c r="CL243" s="133"/>
    </row>
    <row r="244" spans="90:90" ht="15" customHeight="1" x14ac:dyDescent="0.2">
      <c r="CL244" s="133"/>
    </row>
    <row r="245" spans="90:90" ht="15" customHeight="1" x14ac:dyDescent="0.2">
      <c r="CL245" s="133"/>
    </row>
    <row r="246" spans="90:90" ht="15" customHeight="1" x14ac:dyDescent="0.2">
      <c r="CL246" s="133"/>
    </row>
    <row r="247" spans="90:90" ht="15" customHeight="1" x14ac:dyDescent="0.2">
      <c r="CL247" s="133"/>
    </row>
    <row r="248" spans="90:90" ht="15" customHeight="1" x14ac:dyDescent="0.2">
      <c r="CL248" s="133"/>
    </row>
    <row r="249" spans="90:90" ht="15" customHeight="1" x14ac:dyDescent="0.2">
      <c r="CL249" s="133"/>
    </row>
    <row r="250" spans="90:90" ht="15" customHeight="1" x14ac:dyDescent="0.2">
      <c r="CL250" s="133"/>
    </row>
    <row r="251" spans="90:90" ht="15" customHeight="1" x14ac:dyDescent="0.2">
      <c r="CL251" s="133"/>
    </row>
    <row r="252" spans="90:90" ht="15" customHeight="1" x14ac:dyDescent="0.2">
      <c r="CL252" s="133"/>
    </row>
    <row r="253" spans="90:90" ht="15" customHeight="1" x14ac:dyDescent="0.2">
      <c r="CL253" s="133"/>
    </row>
    <row r="254" spans="90:90" ht="15" customHeight="1" x14ac:dyDescent="0.2">
      <c r="CL254" s="133"/>
    </row>
    <row r="255" spans="90:90" ht="15" customHeight="1" x14ac:dyDescent="0.2">
      <c r="CL255" s="133"/>
    </row>
    <row r="256" spans="90:90" ht="15" customHeight="1" x14ac:dyDescent="0.2">
      <c r="CL256" s="133"/>
    </row>
    <row r="257" spans="90:90" ht="15" customHeight="1" x14ac:dyDescent="0.2">
      <c r="CL257" s="133"/>
    </row>
    <row r="258" spans="90:90" ht="15" customHeight="1" x14ac:dyDescent="0.2">
      <c r="CL258" s="133"/>
    </row>
    <row r="259" spans="90:90" ht="15" customHeight="1" x14ac:dyDescent="0.2">
      <c r="CL259" s="133"/>
    </row>
    <row r="260" spans="90:90" ht="15" customHeight="1" x14ac:dyDescent="0.2">
      <c r="CL260" s="133"/>
    </row>
    <row r="261" spans="90:90" ht="15" customHeight="1" x14ac:dyDescent="0.2">
      <c r="CL261" s="133"/>
    </row>
    <row r="262" spans="90:90" ht="15" customHeight="1" x14ac:dyDescent="0.2">
      <c r="CL262" s="133"/>
    </row>
    <row r="263" spans="90:90" ht="15" customHeight="1" x14ac:dyDescent="0.2">
      <c r="CL263" s="133"/>
    </row>
    <row r="264" spans="90:90" ht="15" customHeight="1" x14ac:dyDescent="0.2">
      <c r="CL264" s="133"/>
    </row>
    <row r="265" spans="90:90" ht="15" customHeight="1" x14ac:dyDescent="0.2">
      <c r="CL265" s="133"/>
    </row>
    <row r="266" spans="90:90" ht="15" customHeight="1" x14ac:dyDescent="0.2">
      <c r="CL266" s="133"/>
    </row>
    <row r="267" spans="90:90" ht="15" customHeight="1" x14ac:dyDescent="0.2">
      <c r="CL267" s="133"/>
    </row>
    <row r="268" spans="90:90" ht="15" customHeight="1" x14ac:dyDescent="0.2">
      <c r="CL268" s="133"/>
    </row>
    <row r="269" spans="90:90" ht="15" customHeight="1" x14ac:dyDescent="0.2">
      <c r="CL269" s="133"/>
    </row>
    <row r="270" spans="90:90" ht="15" customHeight="1" x14ac:dyDescent="0.2">
      <c r="CL270" s="133"/>
    </row>
    <row r="271" spans="90:90" ht="15" customHeight="1" x14ac:dyDescent="0.2">
      <c r="CL271" s="133"/>
    </row>
    <row r="272" spans="90:90" ht="15" customHeight="1" x14ac:dyDescent="0.2">
      <c r="CL272" s="133"/>
    </row>
    <row r="273" spans="90:90" ht="15" customHeight="1" x14ac:dyDescent="0.2">
      <c r="CL273" s="133"/>
    </row>
    <row r="274" spans="90:90" ht="15" customHeight="1" x14ac:dyDescent="0.2">
      <c r="CL274" s="133"/>
    </row>
    <row r="275" spans="90:90" ht="15" customHeight="1" x14ac:dyDescent="0.2">
      <c r="CL275" s="133"/>
    </row>
    <row r="276" spans="90:90" ht="15" customHeight="1" x14ac:dyDescent="0.2">
      <c r="CL276" s="133"/>
    </row>
    <row r="277" spans="90:90" ht="15" customHeight="1" x14ac:dyDescent="0.2">
      <c r="CL277" s="133"/>
    </row>
    <row r="278" spans="90:90" ht="15" customHeight="1" x14ac:dyDescent="0.2">
      <c r="CL278" s="133"/>
    </row>
    <row r="279" spans="90:90" ht="15" customHeight="1" x14ac:dyDescent="0.2">
      <c r="CL279" s="133"/>
    </row>
    <row r="280" spans="90:90" ht="15" customHeight="1" x14ac:dyDescent="0.2">
      <c r="CL280" s="133"/>
    </row>
    <row r="281" spans="90:90" ht="15" customHeight="1" x14ac:dyDescent="0.2">
      <c r="CL281" s="133"/>
    </row>
    <row r="282" spans="90:90" ht="15" customHeight="1" x14ac:dyDescent="0.2">
      <c r="CL282" s="133"/>
    </row>
    <row r="283" spans="90:90" ht="15" customHeight="1" x14ac:dyDescent="0.2">
      <c r="CL283" s="133"/>
    </row>
    <row r="284" spans="90:90" ht="15" customHeight="1" x14ac:dyDescent="0.2">
      <c r="CL284" s="133"/>
    </row>
    <row r="285" spans="90:90" ht="15" customHeight="1" x14ac:dyDescent="0.2">
      <c r="CL285" s="133"/>
    </row>
    <row r="286" spans="90:90" ht="15" customHeight="1" x14ac:dyDescent="0.2">
      <c r="CL286" s="133"/>
    </row>
    <row r="287" spans="90:90" ht="15" customHeight="1" x14ac:dyDescent="0.2">
      <c r="CL287" s="133"/>
    </row>
    <row r="288" spans="90:90" ht="15" customHeight="1" x14ac:dyDescent="0.2">
      <c r="CL288" s="133"/>
    </row>
    <row r="289" spans="90:90" ht="15" customHeight="1" x14ac:dyDescent="0.2">
      <c r="CL289" s="133"/>
    </row>
    <row r="290" spans="90:90" ht="15" customHeight="1" x14ac:dyDescent="0.2">
      <c r="CL290" s="133"/>
    </row>
    <row r="291" spans="90:90" ht="15" customHeight="1" x14ac:dyDescent="0.2"/>
    <row r="292" spans="90:90" ht="15" customHeight="1" x14ac:dyDescent="0.2"/>
    <row r="293" spans="90:90" ht="15" customHeight="1" x14ac:dyDescent="0.2"/>
    <row r="294" spans="90:90" ht="15" customHeight="1" x14ac:dyDescent="0.2"/>
  </sheetData>
  <mergeCells count="8">
    <mergeCell ref="J150:L150"/>
    <mergeCell ref="J151:L151"/>
    <mergeCell ref="L4:M4"/>
    <mergeCell ref="D8:F8"/>
    <mergeCell ref="B4:D4"/>
    <mergeCell ref="E4:F4"/>
    <mergeCell ref="G4:H4"/>
    <mergeCell ref="J4:K4"/>
  </mergeCells>
  <pageMargins left="0.7" right="0.7" top="0.75" bottom="0.75" header="0.3" footer="0.3"/>
  <pageSetup scale="22" fitToWidth="3"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116</vt:i4>
      </vt:variant>
    </vt:vector>
  </HeadingPairs>
  <TitlesOfParts>
    <vt:vector size="130" baseType="lpstr">
      <vt:lpstr>Instructions</vt:lpstr>
      <vt:lpstr>Inputs</vt:lpstr>
      <vt:lpstr>Construction</vt:lpstr>
      <vt:lpstr>Libor</vt:lpstr>
      <vt:lpstr>Diagram 1</vt:lpstr>
      <vt:lpstr>Diagram 2</vt:lpstr>
      <vt:lpstr>Scenario</vt:lpstr>
      <vt:lpstr>Summary Analysis</vt:lpstr>
      <vt:lpstr>NOI</vt:lpstr>
      <vt:lpstr>Valuation</vt:lpstr>
      <vt:lpstr>Provided - CAP Acct. 1</vt:lpstr>
      <vt:lpstr>Q1 - CAP Acct. 2</vt:lpstr>
      <vt:lpstr>Q2 - Equity Waterfall 1</vt:lpstr>
      <vt:lpstr>Q3 - Equity Waterfall 2</vt:lpstr>
      <vt:lpstr>AcquisitionFee</vt:lpstr>
      <vt:lpstr>AssetManagementFee</vt:lpstr>
      <vt:lpstr>ClosingDate</vt:lpstr>
      <vt:lpstr>CoInvestorEquityContributionPct</vt:lpstr>
      <vt:lpstr>CommonEquityOBalance</vt:lpstr>
      <vt:lpstr>CommonEquityWeight</vt:lpstr>
      <vt:lpstr>ConstLoanExtensionDate</vt:lpstr>
      <vt:lpstr>ConstLoanExtensionDummy</vt:lpstr>
      <vt:lpstr>ConstLoanExtensionFee</vt:lpstr>
      <vt:lpstr>ConstLoanMaturity</vt:lpstr>
      <vt:lpstr>ConstLoanMaturityDate</vt:lpstr>
      <vt:lpstr>ConstLoanOBalance</vt:lpstr>
      <vt:lpstr>ConstLoanOFees</vt:lpstr>
      <vt:lpstr>ConstLoanOriginationDate</vt:lpstr>
      <vt:lpstr>ConstLoanSpread</vt:lpstr>
      <vt:lpstr>ConstLoanType</vt:lpstr>
      <vt:lpstr>Contingency</vt:lpstr>
      <vt:lpstr>CumulEquityInvested</vt:lpstr>
      <vt:lpstr>DaysInMonth</vt:lpstr>
      <vt:lpstr>DaysOpen</vt:lpstr>
      <vt:lpstr>DiscountRateHotel</vt:lpstr>
      <vt:lpstr>DispositionFee</vt:lpstr>
      <vt:lpstr>ExitDate</vt:lpstr>
      <vt:lpstr>GraphVariable</vt:lpstr>
      <vt:lpstr>GrossSaleProceedsHotel</vt:lpstr>
      <vt:lpstr>GroupADR</vt:lpstr>
      <vt:lpstr>GroupFBWeight</vt:lpstr>
      <vt:lpstr>HardCost</vt:lpstr>
      <vt:lpstr>HistOccupancy</vt:lpstr>
      <vt:lpstr>HoldingDates</vt:lpstr>
      <vt:lpstr>HoldingPeriod</vt:lpstr>
      <vt:lpstr>HotelForecastTable</vt:lpstr>
      <vt:lpstr>InterestReserve</vt:lpstr>
      <vt:lpstr>LandCost</vt:lpstr>
      <vt:lpstr>MiscRate</vt:lpstr>
      <vt:lpstr>NOI_Today</vt:lpstr>
      <vt:lpstr>NumberRooms</vt:lpstr>
      <vt:lpstr>OccGroupWeight</vt:lpstr>
      <vt:lpstr>OccTransientWeight</vt:lpstr>
      <vt:lpstr>OpeningDate</vt:lpstr>
      <vt:lpstr>PermanentLoanAmortization</vt:lpstr>
      <vt:lpstr>PermanentLoanDebtServiceDummy</vt:lpstr>
      <vt:lpstr>PermanentLoanDSCR</vt:lpstr>
      <vt:lpstr>PermanentLoanMaturityDate</vt:lpstr>
      <vt:lpstr>PermanentLoanMortgageConstant</vt:lpstr>
      <vt:lpstr>PermanentLoanNOI</vt:lpstr>
      <vt:lpstr>PermanentLoanOBalance</vt:lpstr>
      <vt:lpstr>PermanentLoanOriginationDate</vt:lpstr>
      <vt:lpstr>PermanentLoanPoints</vt:lpstr>
      <vt:lpstr>PermanentLoanPPMTDummy</vt:lpstr>
      <vt:lpstr>PermanentLoanPPMTFee</vt:lpstr>
      <vt:lpstr>PermanentLoanRate</vt:lpstr>
      <vt:lpstr>PreferredEquityOBalance</vt:lpstr>
      <vt:lpstr>PreferredEquityReturn_Case1</vt:lpstr>
      <vt:lpstr>PreferredEquityReturn_Case2</vt:lpstr>
      <vt:lpstr>PreferredEquityWeight</vt:lpstr>
      <vt:lpstr>Construction!Print_Area</vt:lpstr>
      <vt:lpstr>'Diagram 1'!Print_Area</vt:lpstr>
      <vt:lpstr>'Diagram 2'!Print_Area</vt:lpstr>
      <vt:lpstr>Inputs!Print_Area</vt:lpstr>
      <vt:lpstr>Instructions!Print_Area</vt:lpstr>
      <vt:lpstr>Libor!Print_Area</vt:lpstr>
      <vt:lpstr>NOI!Print_Area</vt:lpstr>
      <vt:lpstr>'Provided - CAP Acct. 1'!Print_Area</vt:lpstr>
      <vt:lpstr>'Q1 - CAP Acct. 2'!Print_Area</vt:lpstr>
      <vt:lpstr>'Q2 - Equity Waterfall 1'!Print_Area</vt:lpstr>
      <vt:lpstr>'Q3 - Equity Waterfall 2'!Print_Area</vt:lpstr>
      <vt:lpstr>Scenario!Print_Area</vt:lpstr>
      <vt:lpstr>'Summary Analysis'!Print_Area</vt:lpstr>
      <vt:lpstr>Valuation!Print_Area</vt:lpstr>
      <vt:lpstr>Probabilities</vt:lpstr>
      <vt:lpstr>ScenarioTable</vt:lpstr>
      <vt:lpstr>SellingCost</vt:lpstr>
      <vt:lpstr>SoftCost</vt:lpstr>
      <vt:lpstr>SponsorEquityContributionPct</vt:lpstr>
      <vt:lpstr>TerminalCapRateHotel</vt:lpstr>
      <vt:lpstr>ThereafterPromote</vt:lpstr>
      <vt:lpstr>Tier1_CoInvestorPctCF_Case1</vt:lpstr>
      <vt:lpstr>Tier1_CoInvestorPctCF_Case2</vt:lpstr>
      <vt:lpstr>Tier1_Hurdle_Case1</vt:lpstr>
      <vt:lpstr>Tier1_Hurdle_EM_Case2</vt:lpstr>
      <vt:lpstr>Tier1_HurdleMonthly_Case2</vt:lpstr>
      <vt:lpstr>Tier1_HurdleRate_Case2</vt:lpstr>
      <vt:lpstr>Tier1_Promote_Case1</vt:lpstr>
      <vt:lpstr>Tier1_Promote_Case2</vt:lpstr>
      <vt:lpstr>Tier1_SponsorPctCF_Case1</vt:lpstr>
      <vt:lpstr>Tier1_SponsorPctCF_Case2</vt:lpstr>
      <vt:lpstr>Tier2_CoInvestorPctCF_Case1</vt:lpstr>
      <vt:lpstr>Tier2_CoInvestorPctCF_Case2</vt:lpstr>
      <vt:lpstr>Tier2_Hurdle_Case1</vt:lpstr>
      <vt:lpstr>Tier2_Hurdle_EM_Case2</vt:lpstr>
      <vt:lpstr>Tier2_HurdleMonthly_Case2</vt:lpstr>
      <vt:lpstr>Tier2_HurdleRate_Case2</vt:lpstr>
      <vt:lpstr>Tier2_Promote_Case1</vt:lpstr>
      <vt:lpstr>Tier2_Promote_Case2</vt:lpstr>
      <vt:lpstr>Tier2_SponsorPctCF_Case1</vt:lpstr>
      <vt:lpstr>Tier2_SponsorPctCF_Case2</vt:lpstr>
      <vt:lpstr>Tier3_CoInvestorPctCF_Case1</vt:lpstr>
      <vt:lpstr>Tier3_CoInvestorPctCF_Case2</vt:lpstr>
      <vt:lpstr>Tier3_Hurdle_Case1</vt:lpstr>
      <vt:lpstr>Tier3_Hurdle_EM_Case2</vt:lpstr>
      <vt:lpstr>Tier3_HurdleMonthly_Case2</vt:lpstr>
      <vt:lpstr>Tier3_HurdleRate_Case2</vt:lpstr>
      <vt:lpstr>Tier3_Promote_Case1</vt:lpstr>
      <vt:lpstr>Tier3_Promote_Case2</vt:lpstr>
      <vt:lpstr>Tier3_SponsorPctCF_Case1</vt:lpstr>
      <vt:lpstr>Tier3_SponsorPctCF_Case2</vt:lpstr>
      <vt:lpstr>Tier4_CoInvestorPctCF_Case1</vt:lpstr>
      <vt:lpstr>Tier4_CoInvestorPctCF_Case2</vt:lpstr>
      <vt:lpstr>Tier4_Promote_Case2</vt:lpstr>
      <vt:lpstr>Tier4_SponsorPctCF_Case1</vt:lpstr>
      <vt:lpstr>Tier4_SponsorPctCF_Case2</vt:lpstr>
      <vt:lpstr>Today</vt:lpstr>
      <vt:lpstr>TotalUses</vt:lpstr>
      <vt:lpstr>TransientADR</vt:lpstr>
      <vt:lpstr>TransientFBWeight</vt:lpstr>
    </vt:vector>
  </TitlesOfParts>
  <Company>SHA Cornell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 belin</dc:creator>
  <cp:lastModifiedBy>Theo Belin</cp:lastModifiedBy>
  <cp:lastPrinted>2026-05-12T20:20:15Z</cp:lastPrinted>
  <dcterms:created xsi:type="dcterms:W3CDTF">2009-02-10T16:04:42Z</dcterms:created>
  <dcterms:modified xsi:type="dcterms:W3CDTF">2026-05-12T20:28:07Z</dcterms:modified>
</cp:coreProperties>
</file>